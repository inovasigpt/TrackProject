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namedSheetViews/namedSheetView1.xml" ContentType="application/vnd.ms-excel.namedsheetviews+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namedSheetViews/namedSheetView2.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3.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Download\"/>
    </mc:Choice>
  </mc:AlternateContent>
  <xr:revisionPtr revIDLastSave="0" documentId="8_{FEC88027-D8A2-4A17-956A-E69CE172E0BF}" xr6:coauthVersionLast="47" xr6:coauthVersionMax="47" xr10:uidLastSave="{00000000-0000-0000-0000-000000000000}"/>
  <bookViews>
    <workbookView xWindow="-110" yWindow="-110" windowWidth="25820" windowHeight="15500" firstSheet="3" activeTab="4" xr2:uid="{4FD15A00-54C5-4D45-A1A5-60761BE6BC5E}"/>
  </bookViews>
  <sheets>
    <sheet name="WG BI Wide 2026 (2)" sheetId="29" state="hidden" r:id="rId1"/>
    <sheet name="WG BI Wide 2026" sheetId="24" r:id="rId2"/>
    <sheet name="SIT Deliverables" sheetId="27" r:id="rId3"/>
    <sheet name="Sheet2" sheetId="43" r:id="rId4"/>
    <sheet name="Proyek" sheetId="2" r:id="rId5"/>
    <sheet name="UKER RBT" sheetId="41" state="hidden" r:id="rId6"/>
    <sheet name="Non Proyek" sheetId="3" r:id="rId7"/>
    <sheet name="Proyek PPT" sheetId="23" r:id="rId8"/>
    <sheet name="Non Proyek PPT" sheetId="22" r:id="rId9"/>
    <sheet name="PIVOT" sheetId="5" r:id="rId10"/>
    <sheet name="Tabel 1" sheetId="25" r:id="rId11"/>
    <sheet name="Tabel 2" sheetId="31" r:id="rId12"/>
    <sheet name="Tabel 3" sheetId="44" r:id="rId13"/>
  </sheets>
  <externalReferences>
    <externalReference r:id="rId14"/>
  </externalReferences>
  <definedNames>
    <definedName name="_xlnm._FilterDatabase" localSheetId="6" hidden="1">'Non Proyek'!$A$2:$FU$52</definedName>
    <definedName name="_xlnm._FilterDatabase" localSheetId="8" hidden="1">'Non Proyek PPT'!$A$2:$FC$50</definedName>
    <definedName name="_xlnm._FilterDatabase" localSheetId="4" hidden="1">Proyek!$A$2:$FU$157</definedName>
    <definedName name="_xlnm._FilterDatabase" localSheetId="7" hidden="1">'Proyek PPT'!$A$2:$HD$12</definedName>
    <definedName name="_xlnm._FilterDatabase" localSheetId="2" hidden="1">'SIT Deliverables'!$A$1:$Y$29</definedName>
    <definedName name="_xlnm._FilterDatabase" localSheetId="10" hidden="1">'Tabel 1'!$A$2:$G$199</definedName>
    <definedName name="_xlnm._FilterDatabase" localSheetId="11" hidden="1">'Tabel 2'!$A$1:$I$52</definedName>
    <definedName name="_xlnm._FilterDatabase" localSheetId="12" hidden="1">'Tabel 3'!$A$1:$E$16</definedName>
    <definedName name="_xlnm._FilterDatabase" localSheetId="5" hidden="1">'UKER RBT'!$A$1:$D$1</definedName>
    <definedName name="_Toc126584005" localSheetId="4">Proyek!#REF!</definedName>
    <definedName name="_Toc126584005" localSheetId="7">'Proyek PPT'!#REF!</definedName>
    <definedName name="_Toc126584005">#REF!</definedName>
    <definedName name="HariLibur2020">#REF!</definedName>
    <definedName name="TabelNA">#REF!</definedName>
    <definedName name="TargetHK">#REF!</definedName>
    <definedName name="Tkomoditi">#REF!</definedName>
  </definedNames>
  <calcPr calcId="191028"/>
  <pivotCaches>
    <pivotCache cacheId="0" r:id="rId15"/>
    <pivotCache cacheId="1" r:id="rId16"/>
    <pivotCache cacheId="2" r:id="rId17"/>
    <pivotCache cacheId="3" r:id="rId18"/>
    <pivotCache cacheId="4" r:id="rId19"/>
    <pivotCache cacheId="5" r:id="rId2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3" i="2" l="1"/>
  <c r="T89" i="2"/>
  <c r="CC148" i="2"/>
  <c r="V148" i="2" s="1"/>
  <c r="T148" i="2" s="1"/>
  <c r="C18" i="25"/>
  <c r="X68" i="2" l="1"/>
  <c r="A68" i="25"/>
  <c r="B68" i="25"/>
  <c r="C68" i="25"/>
  <c r="D68" i="25"/>
  <c r="F68" i="25"/>
  <c r="G68" i="25"/>
  <c r="A150" i="25"/>
  <c r="B150" i="25"/>
  <c r="C150" i="25"/>
  <c r="D150" i="25"/>
  <c r="F150" i="25"/>
  <c r="G150" i="25"/>
  <c r="A151" i="25"/>
  <c r="B151" i="25"/>
  <c r="C151" i="25"/>
  <c r="D151" i="25"/>
  <c r="F151" i="25"/>
  <c r="G151" i="25"/>
  <c r="BA68" i="2" l="1"/>
  <c r="AZ68" i="2"/>
  <c r="AY68" i="2"/>
  <c r="AX68" i="2"/>
  <c r="AW68" i="2"/>
  <c r="AV68" i="2"/>
  <c r="BA67" i="2"/>
  <c r="AZ67" i="2"/>
  <c r="AY67" i="2"/>
  <c r="AX67" i="2"/>
  <c r="AW67" i="2"/>
  <c r="AV67" i="2"/>
  <c r="BA66" i="2"/>
  <c r="AZ66" i="2"/>
  <c r="AY66" i="2"/>
  <c r="AX66" i="2"/>
  <c r="AW66" i="2"/>
  <c r="AV66" i="2"/>
  <c r="AS67" i="2"/>
  <c r="AT67" i="2"/>
  <c r="AU67" i="2"/>
  <c r="BB67" i="2"/>
  <c r="BC67" i="2"/>
  <c r="BD67" i="2"/>
  <c r="AS68" i="2"/>
  <c r="AT68" i="2"/>
  <c r="AU68" i="2"/>
  <c r="BB68" i="2"/>
  <c r="BC68" i="2"/>
  <c r="BD68" i="2"/>
  <c r="V68" i="2"/>
  <c r="S68" i="2"/>
  <c r="U68" i="2"/>
  <c r="C3" i="44"/>
  <c r="D3" i="44"/>
  <c r="E3" i="44"/>
  <c r="C4" i="44"/>
  <c r="D4" i="44"/>
  <c r="E4" i="44"/>
  <c r="C5" i="44"/>
  <c r="D5" i="44"/>
  <c r="E5" i="44"/>
  <c r="C6" i="44"/>
  <c r="D7" i="44"/>
  <c r="C8" i="44"/>
  <c r="D8" i="44"/>
  <c r="E8" i="44"/>
  <c r="D9" i="44"/>
  <c r="E9" i="44"/>
  <c r="C10" i="44"/>
  <c r="E10" i="44"/>
  <c r="C11" i="44"/>
  <c r="D11" i="44"/>
  <c r="E11" i="44"/>
  <c r="C12" i="44"/>
  <c r="D12" i="44"/>
  <c r="E12" i="44"/>
  <c r="C13" i="44"/>
  <c r="D13" i="44"/>
  <c r="E13" i="44"/>
  <c r="C14" i="44"/>
  <c r="D14" i="44"/>
  <c r="E14" i="44"/>
  <c r="C15" i="44"/>
  <c r="D15" i="44"/>
  <c r="E15" i="44"/>
  <c r="C16" i="44"/>
  <c r="D16" i="44"/>
  <c r="E16" i="44"/>
  <c r="E2" i="44"/>
  <c r="D2" i="44"/>
  <c r="C2" i="44"/>
  <c r="B16" i="44"/>
  <c r="B4" i="44"/>
  <c r="B5" i="44"/>
  <c r="B6" i="44"/>
  <c r="B7" i="44"/>
  <c r="B8" i="44"/>
  <c r="B9" i="44"/>
  <c r="B10" i="44"/>
  <c r="B11" i="44"/>
  <c r="B12" i="44"/>
  <c r="B13" i="44"/>
  <c r="B14" i="44"/>
  <c r="B15" i="44"/>
  <c r="A7" i="44"/>
  <c r="A8" i="44"/>
  <c r="A9" i="44"/>
  <c r="A10" i="44"/>
  <c r="A11" i="44"/>
  <c r="A12" i="44"/>
  <c r="A13" i="44"/>
  <c r="A14" i="44"/>
  <c r="A15" i="44"/>
  <c r="A16" i="44"/>
  <c r="A3" i="44"/>
  <c r="A4" i="44"/>
  <c r="A5" i="44"/>
  <c r="A6" i="44"/>
  <c r="A2" i="44"/>
  <c r="B3" i="44"/>
  <c r="B2" i="44"/>
  <c r="A43" i="25"/>
  <c r="B43" i="25"/>
  <c r="C43" i="25"/>
  <c r="D43" i="25"/>
  <c r="E43" i="25"/>
  <c r="F43" i="25"/>
  <c r="G43" i="25"/>
  <c r="U42" i="2"/>
  <c r="U43" i="2"/>
  <c r="A89" i="25"/>
  <c r="B89" i="25"/>
  <c r="C89" i="25"/>
  <c r="D89" i="25"/>
  <c r="E89" i="25"/>
  <c r="F89" i="25"/>
  <c r="G89" i="25"/>
  <c r="T68" i="2" l="1"/>
  <c r="E68" i="25" s="1"/>
  <c r="X89" i="2"/>
  <c r="G52" i="31"/>
  <c r="G51" i="31"/>
  <c r="G50" i="31"/>
  <c r="G49" i="31"/>
  <c r="G48" i="31"/>
  <c r="G47" i="31"/>
  <c r="G46" i="31"/>
  <c r="G45" i="31"/>
  <c r="G44" i="31"/>
  <c r="G43" i="31"/>
  <c r="G42" i="31"/>
  <c r="G41" i="31"/>
  <c r="G40" i="31"/>
  <c r="G39" i="31"/>
  <c r="G38" i="31"/>
  <c r="G37" i="31"/>
  <c r="G36" i="31"/>
  <c r="G35" i="31"/>
  <c r="G34" i="31"/>
  <c r="G33" i="31"/>
  <c r="G32" i="31"/>
  <c r="G31" i="31"/>
  <c r="G30" i="31"/>
  <c r="G29" i="31"/>
  <c r="G28" i="31"/>
  <c r="G27" i="31"/>
  <c r="G26" i="31"/>
  <c r="G25" i="31"/>
  <c r="G24" i="31"/>
  <c r="G23" i="31"/>
  <c r="G22" i="31"/>
  <c r="G21" i="31"/>
  <c r="G20" i="31"/>
  <c r="G19" i="31"/>
  <c r="G18" i="31"/>
  <c r="G17" i="31"/>
  <c r="G16" i="31"/>
  <c r="G15" i="31"/>
  <c r="G14" i="31"/>
  <c r="G13" i="31"/>
  <c r="G12" i="31"/>
  <c r="G11" i="31"/>
  <c r="G10" i="31"/>
  <c r="G9" i="31"/>
  <c r="G8" i="31"/>
  <c r="G7" i="31"/>
  <c r="G6" i="31"/>
  <c r="G5" i="31"/>
  <c r="G4" i="31"/>
  <c r="G3" i="31"/>
  <c r="G2" i="31"/>
  <c r="EI154" i="2" l="1"/>
  <c r="EJ26" i="2" l="1"/>
  <c r="DA118" i="2"/>
  <c r="CO118" i="2"/>
  <c r="CC118" i="2"/>
  <c r="DM118" i="2" s="1"/>
  <c r="AS118" i="2"/>
  <c r="AS117" i="2"/>
  <c r="EW8" i="23"/>
  <c r="CC81" i="2"/>
  <c r="BQ118" i="2" l="1"/>
  <c r="S118" i="2" s="1"/>
  <c r="BA89" i="2"/>
  <c r="BB89" i="2"/>
  <c r="BC89" i="2"/>
  <c r="BD89" i="2"/>
  <c r="BR89" i="2"/>
  <c r="BS89" i="2"/>
  <c r="BT89" i="2"/>
  <c r="BU89" i="2"/>
  <c r="BV89" i="2"/>
  <c r="BW89" i="2"/>
  <c r="BX89" i="2"/>
  <c r="BY89" i="2"/>
  <c r="BZ89" i="2"/>
  <c r="CA89" i="2"/>
  <c r="CB89" i="2"/>
  <c r="CC89" i="2"/>
  <c r="BQ89" i="2" s="1"/>
  <c r="CP89" i="2"/>
  <c r="DB89" i="2" s="1"/>
  <c r="CQ89" i="2"/>
  <c r="DC89" i="2" s="1"/>
  <c r="CR89" i="2"/>
  <c r="DD89" i="2" s="1"/>
  <c r="CS89" i="2"/>
  <c r="DE89" i="2" s="1"/>
  <c r="CT89" i="2"/>
  <c r="DF89" i="2" s="1"/>
  <c r="CU89" i="2"/>
  <c r="DG89" i="2" s="1"/>
  <c r="CV89" i="2"/>
  <c r="DH89" i="2" s="1"/>
  <c r="CW89" i="2"/>
  <c r="DI89" i="2" s="1"/>
  <c r="CX89" i="2"/>
  <c r="DJ89" i="2" s="1"/>
  <c r="CY89" i="2"/>
  <c r="DK89" i="2" s="1"/>
  <c r="DL89" i="2"/>
  <c r="DN89" i="2"/>
  <c r="DO89" i="2"/>
  <c r="DP89" i="2"/>
  <c r="DQ89" i="2"/>
  <c r="DR89" i="2"/>
  <c r="DS89" i="2"/>
  <c r="DT89" i="2"/>
  <c r="DU89" i="2"/>
  <c r="DV89" i="2"/>
  <c r="DW89" i="2"/>
  <c r="DX89" i="2"/>
  <c r="S42" i="2"/>
  <c r="S66" i="2"/>
  <c r="S67" i="2"/>
  <c r="S128" i="2"/>
  <c r="S150" i="2"/>
  <c r="S151" i="2"/>
  <c r="V5" i="2"/>
  <c r="T5" i="2" s="1"/>
  <c r="V8" i="2"/>
  <c r="T8" i="2" s="1"/>
  <c r="V11" i="2"/>
  <c r="T11" i="2" s="1"/>
  <c r="V15" i="2"/>
  <c r="T15" i="2" s="1"/>
  <c r="V16" i="2"/>
  <c r="T16" i="2" s="1"/>
  <c r="V17" i="2"/>
  <c r="T17" i="2" s="1"/>
  <c r="V20" i="2"/>
  <c r="T20" i="2" s="1"/>
  <c r="V29" i="2"/>
  <c r="T29" i="2" s="1"/>
  <c r="V37" i="2"/>
  <c r="T37" i="2" s="1"/>
  <c r="V38" i="2"/>
  <c r="T38" i="2" s="1"/>
  <c r="V48" i="2"/>
  <c r="T48" i="2" s="1"/>
  <c r="V51" i="2"/>
  <c r="T51" i="2" s="1"/>
  <c r="V69" i="2"/>
  <c r="T69" i="2" s="1"/>
  <c r="V70" i="2"/>
  <c r="T70" i="2" s="1"/>
  <c r="V108" i="2"/>
  <c r="T108" i="2" s="1"/>
  <c r="V143" i="2"/>
  <c r="T143" i="2" s="1"/>
  <c r="V147" i="2"/>
  <c r="T147" i="2" s="1"/>
  <c r="BA5" i="23"/>
  <c r="BB5" i="23"/>
  <c r="BC5" i="23"/>
  <c r="BD5" i="23"/>
  <c r="BE5" i="23"/>
  <c r="DA4" i="2"/>
  <c r="CP4" i="2"/>
  <c r="CP3" i="2"/>
  <c r="BQ148" i="2"/>
  <c r="S148" i="2" s="1"/>
  <c r="CC149" i="2"/>
  <c r="V149" i="2" s="1"/>
  <c r="T149" i="2" s="1"/>
  <c r="CC150" i="2"/>
  <c r="V150" i="2" s="1"/>
  <c r="CC151" i="2"/>
  <c r="V151" i="2" s="1"/>
  <c r="CC152" i="2"/>
  <c r="V152" i="2" s="1"/>
  <c r="T152" i="2" s="1"/>
  <c r="CC153" i="2"/>
  <c r="V153" i="2" s="1"/>
  <c r="T153" i="2" s="1"/>
  <c r="CC154" i="2"/>
  <c r="V154" i="2" s="1"/>
  <c r="T154" i="2" s="1"/>
  <c r="CC155" i="2"/>
  <c r="V155" i="2" s="1"/>
  <c r="T155" i="2" s="1"/>
  <c r="CC156" i="2"/>
  <c r="V156" i="2" s="1"/>
  <c r="T156" i="2" s="1"/>
  <c r="CC157" i="2"/>
  <c r="V157" i="2" s="1"/>
  <c r="T157" i="2" s="1"/>
  <c r="CC144" i="2"/>
  <c r="V144" i="2" s="1"/>
  <c r="T144" i="2" s="1"/>
  <c r="CC145" i="2"/>
  <c r="V145" i="2" s="1"/>
  <c r="T145" i="2" s="1"/>
  <c r="CC146" i="2"/>
  <c r="V146" i="2" s="1"/>
  <c r="T146" i="2" s="1"/>
  <c r="CC109" i="2"/>
  <c r="V109" i="2" s="1"/>
  <c r="T109" i="2" s="1"/>
  <c r="CC110" i="2"/>
  <c r="V110" i="2" s="1"/>
  <c r="T110" i="2" s="1"/>
  <c r="CC111" i="2"/>
  <c r="V111" i="2" s="1"/>
  <c r="T111" i="2" s="1"/>
  <c r="CC112" i="2"/>
  <c r="V112" i="2" s="1"/>
  <c r="T112" i="2" s="1"/>
  <c r="CC113" i="2"/>
  <c r="V113" i="2" s="1"/>
  <c r="T113" i="2" s="1"/>
  <c r="CC114" i="2"/>
  <c r="V114" i="2" s="1"/>
  <c r="T114" i="2" s="1"/>
  <c r="CC115" i="2"/>
  <c r="V115" i="2" s="1"/>
  <c r="T115" i="2" s="1"/>
  <c r="CC116" i="2"/>
  <c r="V116" i="2" s="1"/>
  <c r="T116" i="2" s="1"/>
  <c r="CC117" i="2"/>
  <c r="V118" i="2"/>
  <c r="T118" i="2" s="1"/>
  <c r="CC119" i="2"/>
  <c r="V119" i="2" s="1"/>
  <c r="T119" i="2" s="1"/>
  <c r="CC120" i="2"/>
  <c r="V120" i="2" s="1"/>
  <c r="T120" i="2" s="1"/>
  <c r="CC121" i="2"/>
  <c r="V121" i="2" s="1"/>
  <c r="T121" i="2" s="1"/>
  <c r="CC122" i="2"/>
  <c r="V122" i="2" s="1"/>
  <c r="T122" i="2" s="1"/>
  <c r="CC123" i="2"/>
  <c r="V123" i="2" s="1"/>
  <c r="T123" i="2" s="1"/>
  <c r="CC124" i="2"/>
  <c r="V124" i="2" s="1"/>
  <c r="T124" i="2" s="1"/>
  <c r="CC125" i="2"/>
  <c r="V125" i="2" s="1"/>
  <c r="T125" i="2" s="1"/>
  <c r="CC126" i="2"/>
  <c r="V126" i="2" s="1"/>
  <c r="T126" i="2" s="1"/>
  <c r="CC127" i="2"/>
  <c r="V127" i="2" s="1"/>
  <c r="T127" i="2" s="1"/>
  <c r="CC128" i="2"/>
  <c r="V128" i="2" s="1"/>
  <c r="T128" i="2" s="1"/>
  <c r="CC129" i="2"/>
  <c r="V129" i="2" s="1"/>
  <c r="T129" i="2" s="1"/>
  <c r="CC130" i="2"/>
  <c r="V130" i="2" s="1"/>
  <c r="T130" i="2" s="1"/>
  <c r="CC131" i="2"/>
  <c r="V131" i="2" s="1"/>
  <c r="T131" i="2" s="1"/>
  <c r="CC132" i="2"/>
  <c r="V132" i="2" s="1"/>
  <c r="T132" i="2" s="1"/>
  <c r="CC133" i="2"/>
  <c r="V133" i="2" s="1"/>
  <c r="T133" i="2" s="1"/>
  <c r="CC134" i="2"/>
  <c r="V134" i="2" s="1"/>
  <c r="T134" i="2" s="1"/>
  <c r="CC135" i="2"/>
  <c r="V135" i="2" s="1"/>
  <c r="T135" i="2" s="1"/>
  <c r="CC136" i="2"/>
  <c r="V136" i="2" s="1"/>
  <c r="T136" i="2" s="1"/>
  <c r="CC137" i="2"/>
  <c r="V137" i="2" s="1"/>
  <c r="T137" i="2" s="1"/>
  <c r="CC138" i="2"/>
  <c r="V138" i="2" s="1"/>
  <c r="T138" i="2" s="1"/>
  <c r="CC139" i="2"/>
  <c r="V139" i="2" s="1"/>
  <c r="T139" i="2" s="1"/>
  <c r="CC140" i="2"/>
  <c r="V140" i="2" s="1"/>
  <c r="T140" i="2" s="1"/>
  <c r="CC141" i="2"/>
  <c r="V141" i="2" s="1"/>
  <c r="T141" i="2" s="1"/>
  <c r="CC142" i="2"/>
  <c r="V142" i="2" s="1"/>
  <c r="T142" i="2" s="1"/>
  <c r="CC71" i="2"/>
  <c r="V71" i="2" s="1"/>
  <c r="T71" i="2" s="1"/>
  <c r="CC72" i="2"/>
  <c r="V72" i="2" s="1"/>
  <c r="T72" i="2" s="1"/>
  <c r="CC73" i="2"/>
  <c r="V73" i="2" s="1"/>
  <c r="T73" i="2" s="1"/>
  <c r="CC74" i="2"/>
  <c r="V74" i="2" s="1"/>
  <c r="T74" i="2" s="1"/>
  <c r="CC75" i="2"/>
  <c r="V75" i="2" s="1"/>
  <c r="T75" i="2" s="1"/>
  <c r="CC76" i="2"/>
  <c r="V76" i="2" s="1"/>
  <c r="T76" i="2" s="1"/>
  <c r="CC77" i="2"/>
  <c r="V77" i="2" s="1"/>
  <c r="T77" i="2" s="1"/>
  <c r="CC78" i="2"/>
  <c r="V78" i="2" s="1"/>
  <c r="T78" i="2" s="1"/>
  <c r="CC79" i="2"/>
  <c r="V79" i="2" s="1"/>
  <c r="T79" i="2" s="1"/>
  <c r="CC80" i="2"/>
  <c r="V80" i="2" s="1"/>
  <c r="T80" i="2" s="1"/>
  <c r="V81" i="2"/>
  <c r="T81" i="2" s="1"/>
  <c r="CC82" i="2"/>
  <c r="V82" i="2" s="1"/>
  <c r="T82" i="2" s="1"/>
  <c r="CC83" i="2"/>
  <c r="V83" i="2" s="1"/>
  <c r="T83" i="2" s="1"/>
  <c r="CC84" i="2"/>
  <c r="V84" i="2" s="1"/>
  <c r="T84" i="2" s="1"/>
  <c r="CC85" i="2"/>
  <c r="V85" i="2" s="1"/>
  <c r="T85" i="2" s="1"/>
  <c r="CC86" i="2"/>
  <c r="V86" i="2" s="1"/>
  <c r="T86" i="2" s="1"/>
  <c r="CC87" i="2"/>
  <c r="V87" i="2" s="1"/>
  <c r="T87" i="2" s="1"/>
  <c r="CC88" i="2"/>
  <c r="V88" i="2" s="1"/>
  <c r="T88" i="2" s="1"/>
  <c r="CC90" i="2"/>
  <c r="V90" i="2" s="1"/>
  <c r="T90" i="2" s="1"/>
  <c r="CC91" i="2"/>
  <c r="V91" i="2" s="1"/>
  <c r="T91" i="2" s="1"/>
  <c r="CC92" i="2"/>
  <c r="V92" i="2" s="1"/>
  <c r="T92" i="2" s="1"/>
  <c r="CC93" i="2"/>
  <c r="V93" i="2" s="1"/>
  <c r="T93" i="2" s="1"/>
  <c r="CC94" i="2"/>
  <c r="V94" i="2" s="1"/>
  <c r="T94" i="2" s="1"/>
  <c r="CC95" i="2"/>
  <c r="V95" i="2" s="1"/>
  <c r="T95" i="2" s="1"/>
  <c r="CC96" i="2"/>
  <c r="V96" i="2" s="1"/>
  <c r="T96" i="2" s="1"/>
  <c r="CC97" i="2"/>
  <c r="V97" i="2" s="1"/>
  <c r="T97" i="2" s="1"/>
  <c r="CC98" i="2"/>
  <c r="V98" i="2" s="1"/>
  <c r="T98" i="2" s="1"/>
  <c r="CC99" i="2"/>
  <c r="V99" i="2" s="1"/>
  <c r="T99" i="2" s="1"/>
  <c r="CC100" i="2"/>
  <c r="V100" i="2" s="1"/>
  <c r="T100" i="2" s="1"/>
  <c r="CC101" i="2"/>
  <c r="V101" i="2" s="1"/>
  <c r="T101" i="2" s="1"/>
  <c r="CC102" i="2"/>
  <c r="V102" i="2" s="1"/>
  <c r="T102" i="2" s="1"/>
  <c r="CC103" i="2"/>
  <c r="V103" i="2" s="1"/>
  <c r="T103" i="2" s="1"/>
  <c r="CC104" i="2"/>
  <c r="V104" i="2" s="1"/>
  <c r="T104" i="2" s="1"/>
  <c r="CC105" i="2"/>
  <c r="V105" i="2" s="1"/>
  <c r="T105" i="2" s="1"/>
  <c r="CC106" i="2"/>
  <c r="V106" i="2" s="1"/>
  <c r="T106" i="2" s="1"/>
  <c r="CC107" i="2"/>
  <c r="V107" i="2" s="1"/>
  <c r="T107" i="2" s="1"/>
  <c r="CC52" i="2"/>
  <c r="V52" i="2" s="1"/>
  <c r="T52" i="2" s="1"/>
  <c r="CC53" i="2"/>
  <c r="V53" i="2" s="1"/>
  <c r="T53" i="2" s="1"/>
  <c r="CC54" i="2"/>
  <c r="V54" i="2" s="1"/>
  <c r="T54" i="2" s="1"/>
  <c r="CC55" i="2"/>
  <c r="V55" i="2" s="1"/>
  <c r="T55" i="2" s="1"/>
  <c r="CC56" i="2"/>
  <c r="V56" i="2" s="1"/>
  <c r="T56" i="2" s="1"/>
  <c r="CC57" i="2"/>
  <c r="V57" i="2" s="1"/>
  <c r="T57" i="2" s="1"/>
  <c r="CC58" i="2"/>
  <c r="V58" i="2" s="1"/>
  <c r="T58" i="2" s="1"/>
  <c r="CC59" i="2"/>
  <c r="V59" i="2" s="1"/>
  <c r="T59" i="2" s="1"/>
  <c r="CC60" i="2"/>
  <c r="V60" i="2" s="1"/>
  <c r="T60" i="2" s="1"/>
  <c r="CC61" i="2"/>
  <c r="V61" i="2" s="1"/>
  <c r="T61" i="2" s="1"/>
  <c r="CC62" i="2"/>
  <c r="V62" i="2" s="1"/>
  <c r="T62" i="2" s="1"/>
  <c r="CC63" i="2"/>
  <c r="V63" i="2" s="1"/>
  <c r="T63" i="2" s="1"/>
  <c r="CC64" i="2"/>
  <c r="V64" i="2" s="1"/>
  <c r="T64" i="2" s="1"/>
  <c r="CC65" i="2"/>
  <c r="V65" i="2" s="1"/>
  <c r="T65" i="2" s="1"/>
  <c r="CC66" i="2"/>
  <c r="V66" i="2" s="1"/>
  <c r="T66" i="2" s="1"/>
  <c r="CC67" i="2"/>
  <c r="V67" i="2" s="1"/>
  <c r="T67" i="2" s="1"/>
  <c r="CC49" i="2"/>
  <c r="V49" i="2" s="1"/>
  <c r="T49" i="2" s="1"/>
  <c r="CC50" i="2"/>
  <c r="V50" i="2" s="1"/>
  <c r="T50" i="2" s="1"/>
  <c r="CC39" i="2"/>
  <c r="V39" i="2" s="1"/>
  <c r="T39" i="2" s="1"/>
  <c r="CC40" i="2"/>
  <c r="V40" i="2" s="1"/>
  <c r="T40" i="2" s="1"/>
  <c r="CC41" i="2"/>
  <c r="V41" i="2" s="1"/>
  <c r="T41" i="2" s="1"/>
  <c r="CC42" i="2"/>
  <c r="V42" i="2" s="1"/>
  <c r="T42" i="2" s="1"/>
  <c r="CC44" i="2"/>
  <c r="V44" i="2" s="1"/>
  <c r="T44" i="2" s="1"/>
  <c r="CC45" i="2"/>
  <c r="V45" i="2" s="1"/>
  <c r="T45" i="2" s="1"/>
  <c r="CC46" i="2"/>
  <c r="V46" i="2" s="1"/>
  <c r="T46" i="2" s="1"/>
  <c r="CC47" i="2"/>
  <c r="V47" i="2" s="1"/>
  <c r="T47" i="2" s="1"/>
  <c r="CC30" i="2"/>
  <c r="V30" i="2" s="1"/>
  <c r="T30" i="2" s="1"/>
  <c r="CC31" i="2"/>
  <c r="V31" i="2" s="1"/>
  <c r="T31" i="2" s="1"/>
  <c r="CC32" i="2"/>
  <c r="V32" i="2" s="1"/>
  <c r="T32" i="2" s="1"/>
  <c r="CC33" i="2"/>
  <c r="V33" i="2" s="1"/>
  <c r="T33" i="2" s="1"/>
  <c r="CC34" i="2"/>
  <c r="V34" i="2" s="1"/>
  <c r="T34" i="2" s="1"/>
  <c r="CC35" i="2"/>
  <c r="V35" i="2" s="1"/>
  <c r="T35" i="2" s="1"/>
  <c r="CC36" i="2"/>
  <c r="V36" i="2" s="1"/>
  <c r="T36" i="2" s="1"/>
  <c r="CC21" i="2"/>
  <c r="V21" i="2" s="1"/>
  <c r="CC22" i="2"/>
  <c r="V22" i="2" s="1"/>
  <c r="T22" i="2" s="1"/>
  <c r="CC23" i="2"/>
  <c r="V23" i="2" s="1"/>
  <c r="T23" i="2" s="1"/>
  <c r="CC24" i="2"/>
  <c r="V24" i="2" s="1"/>
  <c r="T24" i="2" s="1"/>
  <c r="CC25" i="2"/>
  <c r="V25" i="2" s="1"/>
  <c r="T25" i="2" s="1"/>
  <c r="CC26" i="2"/>
  <c r="V26" i="2" s="1"/>
  <c r="T26" i="2" s="1"/>
  <c r="CC27" i="2"/>
  <c r="V27" i="2" s="1"/>
  <c r="T27" i="2" s="1"/>
  <c r="CC28" i="2"/>
  <c r="V28" i="2" s="1"/>
  <c r="T28" i="2" s="1"/>
  <c r="CC18" i="2"/>
  <c r="V18" i="2" s="1"/>
  <c r="T18" i="2" s="1"/>
  <c r="CC19" i="2"/>
  <c r="V19" i="2" s="1"/>
  <c r="T19" i="2" s="1"/>
  <c r="CC12" i="2"/>
  <c r="V12" i="2" s="1"/>
  <c r="T12" i="2" s="1"/>
  <c r="CC13" i="2"/>
  <c r="V13" i="2" s="1"/>
  <c r="T13" i="2" s="1"/>
  <c r="CC14" i="2"/>
  <c r="V14" i="2" s="1"/>
  <c r="T14" i="2" s="1"/>
  <c r="CC9" i="2"/>
  <c r="V9" i="2" s="1"/>
  <c r="T9" i="2" s="1"/>
  <c r="CC10" i="2"/>
  <c r="V10" i="2" s="1"/>
  <c r="T10" i="2" s="1"/>
  <c r="CC6" i="2"/>
  <c r="V6" i="2" s="1"/>
  <c r="T6" i="2" s="1"/>
  <c r="CC7" i="2"/>
  <c r="V7" i="2" s="1"/>
  <c r="T7" i="2" s="1"/>
  <c r="CC4" i="2"/>
  <c r="V4" i="2" s="1"/>
  <c r="T4" i="2" s="1"/>
  <c r="CC3" i="2"/>
  <c r="V3" i="2" s="1"/>
  <c r="AS151" i="2"/>
  <c r="AS150" i="2"/>
  <c r="DU128" i="2"/>
  <c r="DT128" i="2"/>
  <c r="DS128" i="2"/>
  <c r="DR128" i="2"/>
  <c r="DQ128" i="2"/>
  <c r="DP128" i="2"/>
  <c r="DO128" i="2"/>
  <c r="DN128" i="2"/>
  <c r="BD128" i="2"/>
  <c r="CW118" i="2"/>
  <c r="DI118" i="2" s="1"/>
  <c r="BA118" i="2"/>
  <c r="AY118" i="2"/>
  <c r="AW118" i="2"/>
  <c r="AV118" i="2"/>
  <c r="AT118" i="2"/>
  <c r="AU118" i="2"/>
  <c r="DU66" i="2"/>
  <c r="DT66" i="2"/>
  <c r="DR66" i="2"/>
  <c r="BD66" i="2"/>
  <c r="BB66" i="2"/>
  <c r="AU66" i="2"/>
  <c r="AT66" i="2"/>
  <c r="AS66" i="2"/>
  <c r="N49" i="3"/>
  <c r="M49" i="3"/>
  <c r="AW5" i="23"/>
  <c r="AX5" i="23"/>
  <c r="AY5" i="23"/>
  <c r="AV5" i="23"/>
  <c r="AZ5" i="23"/>
  <c r="AU5" i="23"/>
  <c r="AT5" i="23"/>
  <c r="CO6" i="23"/>
  <c r="CP6" i="23"/>
  <c r="CQ6" i="23"/>
  <c r="CR6" i="23"/>
  <c r="CS6" i="23"/>
  <c r="CT6" i="23"/>
  <c r="CU6" i="23"/>
  <c r="CV6" i="23"/>
  <c r="CW6" i="23"/>
  <c r="CX6" i="23"/>
  <c r="CY6" i="23"/>
  <c r="CZ6" i="23"/>
  <c r="DA6" i="23"/>
  <c r="CQ5" i="23"/>
  <c r="CR5" i="23"/>
  <c r="CS5" i="23"/>
  <c r="CT5" i="23"/>
  <c r="CU5" i="23"/>
  <c r="CV5" i="23"/>
  <c r="CW5" i="23"/>
  <c r="CX5" i="23"/>
  <c r="CY5" i="23"/>
  <c r="CZ5" i="23"/>
  <c r="DA5" i="23"/>
  <c r="CO5" i="23"/>
  <c r="CQ4" i="23"/>
  <c r="CV3" i="23"/>
  <c r="CW3" i="23"/>
  <c r="CX3" i="23"/>
  <c r="CY3" i="23"/>
  <c r="CZ3" i="23"/>
  <c r="DA3" i="23"/>
  <c r="CU3" i="23"/>
  <c r="CT3" i="23"/>
  <c r="CS3" i="23"/>
  <c r="CR3" i="23"/>
  <c r="CQ3" i="23"/>
  <c r="AU4" i="23"/>
  <c r="AT4" i="23"/>
  <c r="BE3" i="23"/>
  <c r="BD3" i="23"/>
  <c r="BC3" i="23"/>
  <c r="BB3" i="23"/>
  <c r="BA3" i="23"/>
  <c r="EJ3" i="23"/>
  <c r="EW3" i="23" s="1"/>
  <c r="CO3" i="23"/>
  <c r="DN3" i="23"/>
  <c r="EJ4" i="23"/>
  <c r="EW4" i="23" s="1"/>
  <c r="CO4" i="23"/>
  <c r="DN4" i="23"/>
  <c r="AZ3" i="23"/>
  <c r="AY3" i="23"/>
  <c r="AX3" i="23"/>
  <c r="AT3" i="23"/>
  <c r="O20" i="24"/>
  <c r="O21" i="24"/>
  <c r="B24" i="24"/>
  <c r="C24" i="24"/>
  <c r="D24" i="24"/>
  <c r="E24" i="24"/>
  <c r="F24" i="24"/>
  <c r="G24" i="24"/>
  <c r="H24" i="24"/>
  <c r="I24" i="24"/>
  <c r="J24" i="24"/>
  <c r="K24" i="24"/>
  <c r="L24" i="24"/>
  <c r="A24" i="24"/>
  <c r="F6" i="31" l="1"/>
  <c r="T21" i="2"/>
  <c r="T151" i="2"/>
  <c r="E151" i="25" s="1"/>
  <c r="T150" i="2"/>
  <c r="E150" i="25" s="1"/>
  <c r="V117" i="2"/>
  <c r="T117" i="2" s="1"/>
  <c r="CO117" i="2"/>
  <c r="DA117" i="2" s="1"/>
  <c r="CP4" i="23"/>
  <c r="EK4" i="23"/>
  <c r="EX4" i="23" s="1"/>
  <c r="CP3" i="23"/>
  <c r="EK3" i="23"/>
  <c r="EX3" i="23" s="1"/>
  <c r="DM89" i="2"/>
  <c r="CO89" i="2"/>
  <c r="DA89" i="2" s="1"/>
  <c r="CO151" i="2"/>
  <c r="DA151" i="2" s="1"/>
  <c r="CO150" i="2"/>
  <c r="DA150" i="2" s="1"/>
  <c r="CO3" i="2"/>
  <c r="DM128" i="2"/>
  <c r="X66" i="2"/>
  <c r="EJ66" i="2"/>
  <c r="B74" i="24" l="1"/>
  <c r="C74" i="24"/>
  <c r="D74" i="24"/>
  <c r="E74" i="24"/>
  <c r="F74" i="24"/>
  <c r="G74" i="24"/>
  <c r="H74" i="24"/>
  <c r="I74" i="24"/>
  <c r="J74" i="24"/>
  <c r="K74" i="24"/>
  <c r="L74" i="24"/>
  <c r="M74" i="24"/>
  <c r="B69" i="24"/>
  <c r="BC113" i="2" l="1"/>
  <c r="BC104" i="2"/>
  <c r="BC112" i="2"/>
  <c r="DL9" i="23"/>
  <c r="DL8" i="23"/>
  <c r="CX124" i="2"/>
  <c r="DK128" i="2"/>
  <c r="DK67" i="2"/>
  <c r="DK42" i="2"/>
  <c r="CY143" i="2"/>
  <c r="CY146" i="2"/>
  <c r="CY150" i="2"/>
  <c r="DK150" i="2" s="1"/>
  <c r="CY151" i="2"/>
  <c r="DK151" i="2" s="1"/>
  <c r="CY15" i="2"/>
  <c r="CY16" i="2"/>
  <c r="CY17" i="2"/>
  <c r="CY20" i="2"/>
  <c r="CY29" i="2"/>
  <c r="CY33" i="2"/>
  <c r="CY36" i="2"/>
  <c r="CY37" i="2"/>
  <c r="CY38" i="2"/>
  <c r="CY41" i="2"/>
  <c r="CY42" i="2"/>
  <c r="CY45" i="2"/>
  <c r="CY49" i="2"/>
  <c r="CY52" i="2"/>
  <c r="CY66" i="2"/>
  <c r="DK66" i="2" s="1"/>
  <c r="CY67" i="2"/>
  <c r="CY69" i="2"/>
  <c r="CY70" i="2"/>
  <c r="CY73" i="2"/>
  <c r="CY75" i="2"/>
  <c r="CY77" i="2"/>
  <c r="CY78" i="2"/>
  <c r="CY103" i="2"/>
  <c r="CY107" i="2"/>
  <c r="CY108" i="2"/>
  <c r="CY114" i="2"/>
  <c r="CY115" i="2"/>
  <c r="CY118" i="2"/>
  <c r="DK118" i="2" s="1"/>
  <c r="CY122" i="2"/>
  <c r="CY126" i="2"/>
  <c r="CY127" i="2"/>
  <c r="CY128" i="2"/>
  <c r="CY130" i="2"/>
  <c r="CY131" i="2"/>
  <c r="CY133" i="2"/>
  <c r="CY134" i="2"/>
  <c r="CY5" i="2"/>
  <c r="CY8" i="2"/>
  <c r="CY11" i="2"/>
  <c r="BC150" i="2"/>
  <c r="BC128" i="2"/>
  <c r="BC118" i="2"/>
  <c r="BC66" i="2"/>
  <c r="BC42" i="2"/>
  <c r="K26" i="5"/>
  <c r="M27" i="5"/>
  <c r="K28" i="5"/>
  <c r="N27" i="5" l="1"/>
  <c r="O27" i="5"/>
  <c r="C69" i="24"/>
  <c r="D69" i="24"/>
  <c r="E69" i="24"/>
  <c r="F69" i="24"/>
  <c r="G69" i="24"/>
  <c r="H69" i="24"/>
  <c r="I69" i="24"/>
  <c r="J69" i="24"/>
  <c r="K69" i="24"/>
  <c r="L69" i="24"/>
  <c r="M69" i="24"/>
  <c r="C56" i="24"/>
  <c r="D56" i="24"/>
  <c r="E56" i="24"/>
  <c r="E57" i="24" s="1"/>
  <c r="F56" i="24"/>
  <c r="G56" i="24"/>
  <c r="H56" i="24"/>
  <c r="I56" i="24"/>
  <c r="J56" i="24"/>
  <c r="K56" i="24"/>
  <c r="L56" i="24"/>
  <c r="M56" i="24"/>
  <c r="H57" i="24" s="1"/>
  <c r="B56" i="24"/>
  <c r="B29" i="24"/>
  <c r="L57" i="24" l="1"/>
  <c r="D57" i="24"/>
  <c r="K57" i="24"/>
  <c r="C57" i="24"/>
  <c r="B57" i="24"/>
  <c r="F57" i="24"/>
  <c r="M57" i="24"/>
  <c r="G57" i="24"/>
  <c r="J57" i="24"/>
  <c r="I57" i="24"/>
  <c r="C48" i="24" l="1"/>
  <c r="D48" i="24"/>
  <c r="E48" i="24"/>
  <c r="F48" i="24"/>
  <c r="G48" i="24"/>
  <c r="H48" i="24"/>
  <c r="I48" i="24"/>
  <c r="J48" i="24"/>
  <c r="K48" i="24"/>
  <c r="L48" i="24"/>
  <c r="M48" i="24"/>
  <c r="M49" i="24" s="1"/>
  <c r="B48" i="24"/>
  <c r="C29" i="24"/>
  <c r="D29" i="24"/>
  <c r="E29" i="24"/>
  <c r="F29" i="24"/>
  <c r="F30" i="24" s="1"/>
  <c r="G29" i="24"/>
  <c r="H29" i="24"/>
  <c r="I29" i="24"/>
  <c r="J29" i="24"/>
  <c r="K29" i="24"/>
  <c r="L29" i="24"/>
  <c r="M29" i="24"/>
  <c r="C70" i="29"/>
  <c r="D70" i="29"/>
  <c r="E70" i="29"/>
  <c r="F70" i="29"/>
  <c r="G70" i="29"/>
  <c r="H70" i="29"/>
  <c r="I70" i="29"/>
  <c r="J70" i="29"/>
  <c r="K70" i="29"/>
  <c r="K71" i="29" s="1"/>
  <c r="L70" i="29"/>
  <c r="M70" i="29"/>
  <c r="N70" i="29"/>
  <c r="E71" i="29"/>
  <c r="H71" i="29"/>
  <c r="N71" i="29"/>
  <c r="C50" i="29"/>
  <c r="D50" i="29"/>
  <c r="E50" i="29"/>
  <c r="F50" i="29"/>
  <c r="G50" i="29"/>
  <c r="H50" i="29"/>
  <c r="I50" i="29"/>
  <c r="J50" i="29"/>
  <c r="K50" i="29"/>
  <c r="K51" i="29" s="1"/>
  <c r="L50" i="29"/>
  <c r="M50" i="29"/>
  <c r="N50" i="29"/>
  <c r="E51" i="29"/>
  <c r="H51" i="29"/>
  <c r="N51" i="29"/>
  <c r="K41" i="29"/>
  <c r="L41" i="29"/>
  <c r="M41" i="29" s="1"/>
  <c r="A34" i="29"/>
  <c r="B34" i="29"/>
  <c r="C34" i="29"/>
  <c r="D34" i="29"/>
  <c r="E34" i="29"/>
  <c r="F34" i="29"/>
  <c r="G34" i="29"/>
  <c r="H34" i="29"/>
  <c r="I34" i="29"/>
  <c r="J34" i="29"/>
  <c r="K34" i="29"/>
  <c r="L34" i="29"/>
  <c r="A26" i="29"/>
  <c r="B26" i="29"/>
  <c r="C26" i="29"/>
  <c r="D26" i="29"/>
  <c r="E26" i="29"/>
  <c r="F26" i="29"/>
  <c r="G26" i="29"/>
  <c r="H26" i="29"/>
  <c r="I26" i="29"/>
  <c r="J26" i="29"/>
  <c r="K26" i="29"/>
  <c r="L26" i="29"/>
  <c r="A15" i="29"/>
  <c r="B15" i="29"/>
  <c r="C15" i="29"/>
  <c r="D15" i="29"/>
  <c r="E15" i="29"/>
  <c r="F15" i="29"/>
  <c r="G15" i="29"/>
  <c r="H15" i="29"/>
  <c r="I15" i="29"/>
  <c r="J15" i="29"/>
  <c r="K15" i="29"/>
  <c r="L15" i="29"/>
  <c r="A7" i="29"/>
  <c r="B7" i="29"/>
  <c r="C7" i="29"/>
  <c r="D7" i="29"/>
  <c r="E7" i="29"/>
  <c r="F7" i="29"/>
  <c r="G7" i="29"/>
  <c r="H7" i="29"/>
  <c r="I7" i="29"/>
  <c r="J7" i="29"/>
  <c r="K7" i="29"/>
  <c r="L7" i="29"/>
  <c r="I30" i="24" l="1"/>
  <c r="H30" i="24"/>
  <c r="G30" i="24"/>
  <c r="E49" i="24"/>
  <c r="M30" i="24"/>
  <c r="B30" i="24"/>
  <c r="E30" i="24"/>
  <c r="L30" i="24"/>
  <c r="D30" i="24"/>
  <c r="K30" i="24"/>
  <c r="J30" i="24"/>
  <c r="B49" i="24"/>
  <c r="F49" i="24"/>
  <c r="C30" i="24"/>
  <c r="D49" i="24"/>
  <c r="K49" i="24"/>
  <c r="C49" i="24"/>
  <c r="I49" i="24"/>
  <c r="H49" i="24"/>
  <c r="L49" i="24"/>
  <c r="J49" i="24"/>
  <c r="G49" i="24"/>
  <c r="EJ151" i="2" l="1"/>
  <c r="X151" i="2"/>
  <c r="EJ150" i="2"/>
  <c r="X150" i="2"/>
  <c r="EJ31" i="2" l="1"/>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4" i="2"/>
  <c r="X45" i="2"/>
  <c r="X46" i="2"/>
  <c r="X47" i="2"/>
  <c r="X48" i="2"/>
  <c r="X49" i="2"/>
  <c r="X50" i="2"/>
  <c r="X51" i="2"/>
  <c r="X52" i="2"/>
  <c r="X53" i="2"/>
  <c r="X54" i="2"/>
  <c r="X55" i="2"/>
  <c r="X56" i="2"/>
  <c r="X57" i="2"/>
  <c r="X58" i="2"/>
  <c r="X59" i="2"/>
  <c r="X60" i="2"/>
  <c r="X61" i="2"/>
  <c r="X62" i="2"/>
  <c r="X63" i="2"/>
  <c r="X64" i="2"/>
  <c r="X65" i="2"/>
  <c r="X3" i="2"/>
  <c r="N52" i="3"/>
  <c r="N51" i="3"/>
  <c r="M52" i="3"/>
  <c r="M51"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50" i="3"/>
  <c r="N13" i="3"/>
  <c r="N12" i="3"/>
  <c r="N11" i="3"/>
  <c r="N10" i="3"/>
  <c r="N9" i="3"/>
  <c r="N8" i="3"/>
  <c r="N7" i="3"/>
  <c r="N6" i="3"/>
  <c r="N5" i="3"/>
  <c r="CM149" i="2"/>
  <c r="M5" i="3"/>
  <c r="CY149" i="2" l="1"/>
  <c r="H7" i="24"/>
  <c r="L7" i="24"/>
  <c r="J7" i="24"/>
  <c r="K7" i="24"/>
  <c r="A198" i="25"/>
  <c r="B198" i="25"/>
  <c r="C198" i="25"/>
  <c r="D198" i="25"/>
  <c r="E198" i="25"/>
  <c r="F198" i="25"/>
  <c r="G198" i="25"/>
  <c r="A199" i="25"/>
  <c r="B199" i="25"/>
  <c r="C199" i="25"/>
  <c r="D199" i="25"/>
  <c r="E199" i="25"/>
  <c r="F199" i="25"/>
  <c r="G199" i="25"/>
  <c r="D54" i="3"/>
  <c r="EJ39" i="2" l="1"/>
  <c r="BZ59" i="2"/>
  <c r="D179" i="25"/>
  <c r="A159" i="25"/>
  <c r="B159" i="25"/>
  <c r="C159" i="25"/>
  <c r="D159" i="25"/>
  <c r="E159" i="25"/>
  <c r="F159" i="25"/>
  <c r="G159" i="25"/>
  <c r="A160" i="25"/>
  <c r="B160" i="25"/>
  <c r="C160" i="25"/>
  <c r="D160" i="25"/>
  <c r="E160" i="25"/>
  <c r="F160" i="25"/>
  <c r="G160" i="25"/>
  <c r="A161" i="25"/>
  <c r="B161" i="25"/>
  <c r="C161" i="25"/>
  <c r="D161" i="25"/>
  <c r="E161" i="25"/>
  <c r="F161" i="25"/>
  <c r="G161" i="25"/>
  <c r="A162" i="25"/>
  <c r="B162" i="25"/>
  <c r="C162" i="25"/>
  <c r="D162" i="25"/>
  <c r="E162" i="25"/>
  <c r="F162" i="25"/>
  <c r="G162" i="25"/>
  <c r="A163" i="25"/>
  <c r="B163" i="25"/>
  <c r="C163" i="25"/>
  <c r="D163" i="25"/>
  <c r="E163" i="25"/>
  <c r="F163" i="25"/>
  <c r="G163" i="25"/>
  <c r="A164" i="25"/>
  <c r="B164" i="25"/>
  <c r="C164" i="25"/>
  <c r="D164" i="25"/>
  <c r="E164" i="25"/>
  <c r="F164" i="25"/>
  <c r="G164" i="25"/>
  <c r="A165" i="25"/>
  <c r="B165" i="25"/>
  <c r="C165" i="25"/>
  <c r="D165" i="25"/>
  <c r="E165" i="25"/>
  <c r="F165" i="25"/>
  <c r="G165" i="25"/>
  <c r="A166" i="25"/>
  <c r="B166" i="25"/>
  <c r="C166" i="25"/>
  <c r="D166" i="25"/>
  <c r="E166" i="25"/>
  <c r="F166" i="25"/>
  <c r="G166" i="25"/>
  <c r="A167" i="25"/>
  <c r="B167" i="25"/>
  <c r="C167" i="25"/>
  <c r="D167" i="25"/>
  <c r="E167" i="25"/>
  <c r="F167" i="25"/>
  <c r="G167" i="25"/>
  <c r="A168" i="25"/>
  <c r="B168" i="25"/>
  <c r="C168" i="25"/>
  <c r="D168" i="25"/>
  <c r="E168" i="25"/>
  <c r="F168" i="25"/>
  <c r="G168" i="25"/>
  <c r="A169" i="25"/>
  <c r="B169" i="25"/>
  <c r="C169" i="25"/>
  <c r="D169" i="25"/>
  <c r="E169" i="25"/>
  <c r="F169" i="25"/>
  <c r="G169" i="25"/>
  <c r="A170" i="25"/>
  <c r="B170" i="25"/>
  <c r="C170" i="25"/>
  <c r="D170" i="25"/>
  <c r="E170" i="25"/>
  <c r="F170" i="25"/>
  <c r="G170" i="25"/>
  <c r="A171" i="25"/>
  <c r="B171" i="25"/>
  <c r="C171" i="25"/>
  <c r="D171" i="25"/>
  <c r="E171" i="25"/>
  <c r="F171" i="25"/>
  <c r="G171" i="25"/>
  <c r="A172" i="25"/>
  <c r="B172" i="25"/>
  <c r="C172" i="25"/>
  <c r="D172" i="25"/>
  <c r="E172" i="25"/>
  <c r="F172" i="25"/>
  <c r="G172" i="25"/>
  <c r="A173" i="25"/>
  <c r="B173" i="25"/>
  <c r="C173" i="25"/>
  <c r="D173" i="25"/>
  <c r="E173" i="25"/>
  <c r="F173" i="25"/>
  <c r="G173" i="25"/>
  <c r="A174" i="25"/>
  <c r="B174" i="25"/>
  <c r="C174" i="25"/>
  <c r="D174" i="25"/>
  <c r="E174" i="25"/>
  <c r="F174" i="25"/>
  <c r="G174" i="25"/>
  <c r="A175" i="25"/>
  <c r="B175" i="25"/>
  <c r="C175" i="25"/>
  <c r="D175" i="25"/>
  <c r="E175" i="25"/>
  <c r="G175" i="25"/>
  <c r="A176" i="25"/>
  <c r="B176" i="25"/>
  <c r="C176" i="25"/>
  <c r="D176" i="25"/>
  <c r="E176" i="25"/>
  <c r="F176" i="25"/>
  <c r="G176" i="25"/>
  <c r="A177" i="25"/>
  <c r="B177" i="25"/>
  <c r="C177" i="25"/>
  <c r="D177" i="25"/>
  <c r="E177" i="25"/>
  <c r="F177" i="25"/>
  <c r="G177" i="25"/>
  <c r="A178" i="25"/>
  <c r="B178" i="25"/>
  <c r="C178" i="25"/>
  <c r="D178" i="25"/>
  <c r="E178" i="25"/>
  <c r="F178" i="25"/>
  <c r="G178" i="25"/>
  <c r="A179" i="25"/>
  <c r="B179" i="25"/>
  <c r="C179" i="25"/>
  <c r="E179" i="25"/>
  <c r="F179" i="25"/>
  <c r="G179" i="25"/>
  <c r="A180" i="25"/>
  <c r="B180" i="25"/>
  <c r="C180" i="25"/>
  <c r="D180" i="25"/>
  <c r="E180" i="25"/>
  <c r="F180" i="25"/>
  <c r="G180" i="25"/>
  <c r="A181" i="25"/>
  <c r="B181" i="25"/>
  <c r="C181" i="25"/>
  <c r="D181" i="25"/>
  <c r="E181" i="25"/>
  <c r="F181" i="25"/>
  <c r="G181" i="25"/>
  <c r="A182" i="25"/>
  <c r="B182" i="25"/>
  <c r="C182" i="25"/>
  <c r="D182" i="25"/>
  <c r="E182" i="25"/>
  <c r="F182" i="25"/>
  <c r="G182" i="25"/>
  <c r="A183" i="25"/>
  <c r="B183" i="25"/>
  <c r="C183" i="25"/>
  <c r="D183" i="25"/>
  <c r="E183" i="25"/>
  <c r="F183" i="25"/>
  <c r="G183" i="25"/>
  <c r="A184" i="25"/>
  <c r="B184" i="25"/>
  <c r="C184" i="25"/>
  <c r="D184" i="25"/>
  <c r="E184" i="25"/>
  <c r="F184" i="25"/>
  <c r="G184" i="25"/>
  <c r="A185" i="25"/>
  <c r="B185" i="25"/>
  <c r="C185" i="25"/>
  <c r="D185" i="25"/>
  <c r="E185" i="25"/>
  <c r="F185" i="25"/>
  <c r="G185" i="25"/>
  <c r="A186" i="25"/>
  <c r="B186" i="25"/>
  <c r="C186" i="25"/>
  <c r="D186" i="25"/>
  <c r="E186" i="25"/>
  <c r="F186" i="25"/>
  <c r="G186" i="25"/>
  <c r="A187" i="25"/>
  <c r="B187" i="25"/>
  <c r="C187" i="25"/>
  <c r="D187" i="25"/>
  <c r="E187" i="25"/>
  <c r="F187" i="25"/>
  <c r="G187" i="25"/>
  <c r="A188" i="25"/>
  <c r="B188" i="25"/>
  <c r="C188" i="25"/>
  <c r="D188" i="25"/>
  <c r="E188" i="25"/>
  <c r="F188" i="25"/>
  <c r="G188" i="25"/>
  <c r="A189" i="25"/>
  <c r="B189" i="25"/>
  <c r="C189" i="25"/>
  <c r="D189" i="25"/>
  <c r="E189" i="25"/>
  <c r="F189" i="25"/>
  <c r="G189" i="25"/>
  <c r="A190" i="25"/>
  <c r="B190" i="25"/>
  <c r="C190" i="25"/>
  <c r="D190" i="25"/>
  <c r="E190" i="25"/>
  <c r="F190" i="25"/>
  <c r="G190" i="25"/>
  <c r="A191" i="25"/>
  <c r="B191" i="25"/>
  <c r="C191" i="25"/>
  <c r="D191" i="25"/>
  <c r="E191" i="25"/>
  <c r="F191" i="25"/>
  <c r="G191" i="25"/>
  <c r="A192" i="25"/>
  <c r="B192" i="25"/>
  <c r="C192" i="25"/>
  <c r="D192" i="25"/>
  <c r="E192" i="25"/>
  <c r="F192" i="25"/>
  <c r="G192" i="25"/>
  <c r="A193" i="25"/>
  <c r="B193" i="25"/>
  <c r="C193" i="25"/>
  <c r="D193" i="25"/>
  <c r="E193" i="25"/>
  <c r="F193" i="25"/>
  <c r="G193" i="25"/>
  <c r="A194" i="25"/>
  <c r="B194" i="25"/>
  <c r="C194" i="25"/>
  <c r="D194" i="25"/>
  <c r="E194" i="25"/>
  <c r="F194" i="25"/>
  <c r="G194" i="25"/>
  <c r="A195" i="25"/>
  <c r="B195" i="25"/>
  <c r="C195" i="25"/>
  <c r="D195" i="25"/>
  <c r="E195" i="25"/>
  <c r="F195" i="25"/>
  <c r="G195" i="25"/>
  <c r="A196" i="25"/>
  <c r="B196" i="25"/>
  <c r="C196" i="25"/>
  <c r="D196" i="25"/>
  <c r="E196" i="25"/>
  <c r="F196" i="25"/>
  <c r="G196" i="25"/>
  <c r="A197" i="25"/>
  <c r="B197" i="25"/>
  <c r="C197" i="25"/>
  <c r="D197" i="25"/>
  <c r="E197" i="25"/>
  <c r="F197" i="25"/>
  <c r="G197" i="25"/>
  <c r="G158" i="25"/>
  <c r="F158" i="25"/>
  <c r="E158" i="25"/>
  <c r="D158" i="25"/>
  <c r="C158" i="25"/>
  <c r="B158" i="25"/>
  <c r="A158" i="25"/>
  <c r="A4" i="25"/>
  <c r="B4" i="25"/>
  <c r="C4" i="25"/>
  <c r="D4" i="25"/>
  <c r="F4" i="25"/>
  <c r="G4" i="25"/>
  <c r="A5" i="25"/>
  <c r="B5" i="25"/>
  <c r="C5" i="25"/>
  <c r="D5" i="25"/>
  <c r="F5" i="25"/>
  <c r="G5" i="25"/>
  <c r="A6" i="25"/>
  <c r="B6" i="25"/>
  <c r="C6" i="25"/>
  <c r="D6" i="25"/>
  <c r="F6" i="25"/>
  <c r="G6" i="25"/>
  <c r="A7" i="25"/>
  <c r="B7" i="25"/>
  <c r="C7" i="25"/>
  <c r="D7" i="25"/>
  <c r="F7" i="25"/>
  <c r="G7" i="25"/>
  <c r="A8" i="25"/>
  <c r="B8" i="25"/>
  <c r="C8" i="25"/>
  <c r="D8" i="25"/>
  <c r="F8" i="25"/>
  <c r="G8" i="25"/>
  <c r="A9" i="25"/>
  <c r="B9" i="25"/>
  <c r="C9" i="25"/>
  <c r="D9" i="25"/>
  <c r="F9" i="25"/>
  <c r="G9" i="25"/>
  <c r="A10" i="25"/>
  <c r="B10" i="25"/>
  <c r="C10" i="25"/>
  <c r="D10" i="25"/>
  <c r="F10" i="25"/>
  <c r="G10" i="25"/>
  <c r="A11" i="25"/>
  <c r="B11" i="25"/>
  <c r="C11" i="25"/>
  <c r="D11" i="25"/>
  <c r="F11" i="25"/>
  <c r="G11" i="25"/>
  <c r="A12" i="25"/>
  <c r="B12" i="25"/>
  <c r="C12" i="25"/>
  <c r="D12" i="25"/>
  <c r="F12" i="25"/>
  <c r="G12" i="25"/>
  <c r="A13" i="25"/>
  <c r="B13" i="25"/>
  <c r="C13" i="25"/>
  <c r="D13" i="25"/>
  <c r="F13" i="25"/>
  <c r="G13" i="25"/>
  <c r="A14" i="25"/>
  <c r="B14" i="25"/>
  <c r="C14" i="25"/>
  <c r="D14" i="25"/>
  <c r="F14" i="25"/>
  <c r="G14" i="25"/>
  <c r="A15" i="25"/>
  <c r="B15" i="25"/>
  <c r="C15" i="25"/>
  <c r="D15" i="25"/>
  <c r="F15" i="25"/>
  <c r="G15" i="25"/>
  <c r="A16" i="25"/>
  <c r="B16" i="25"/>
  <c r="C16" i="25"/>
  <c r="D16" i="25"/>
  <c r="F16" i="25"/>
  <c r="G16" i="25"/>
  <c r="A17" i="25"/>
  <c r="B17" i="25"/>
  <c r="C17" i="25"/>
  <c r="D17" i="25"/>
  <c r="F17" i="25"/>
  <c r="G17" i="25"/>
  <c r="A18" i="25"/>
  <c r="B18" i="25"/>
  <c r="D18" i="25"/>
  <c r="F18" i="25"/>
  <c r="G18" i="25"/>
  <c r="A19" i="25"/>
  <c r="B19" i="25"/>
  <c r="C19" i="25"/>
  <c r="D19" i="25"/>
  <c r="F19" i="25"/>
  <c r="G19" i="25"/>
  <c r="A20" i="25"/>
  <c r="B20" i="25"/>
  <c r="C20" i="25"/>
  <c r="D20" i="25"/>
  <c r="F20" i="25"/>
  <c r="G20" i="25"/>
  <c r="A21" i="25"/>
  <c r="B21" i="25"/>
  <c r="C21" i="25"/>
  <c r="D21" i="25"/>
  <c r="F21" i="25"/>
  <c r="G21" i="25"/>
  <c r="A22" i="25"/>
  <c r="B22" i="25"/>
  <c r="C22" i="25"/>
  <c r="D22" i="25"/>
  <c r="F22" i="25"/>
  <c r="G22" i="25"/>
  <c r="A23" i="25"/>
  <c r="B23" i="25"/>
  <c r="C23" i="25"/>
  <c r="D23" i="25"/>
  <c r="F23" i="25"/>
  <c r="G23" i="25"/>
  <c r="A24" i="25"/>
  <c r="B24" i="25"/>
  <c r="C24" i="25"/>
  <c r="D24" i="25"/>
  <c r="F24" i="25"/>
  <c r="G24" i="25"/>
  <c r="A25" i="25"/>
  <c r="B25" i="25"/>
  <c r="C25" i="25"/>
  <c r="D25" i="25"/>
  <c r="F25" i="25"/>
  <c r="G25" i="25"/>
  <c r="A26" i="25"/>
  <c r="B26" i="25"/>
  <c r="C26" i="25"/>
  <c r="D26" i="25"/>
  <c r="F26" i="25"/>
  <c r="G26" i="25"/>
  <c r="A27" i="25"/>
  <c r="B27" i="25"/>
  <c r="C27" i="25"/>
  <c r="D27" i="25"/>
  <c r="F27" i="25"/>
  <c r="G27" i="25"/>
  <c r="A28" i="25"/>
  <c r="B28" i="25"/>
  <c r="C28" i="25"/>
  <c r="D28" i="25"/>
  <c r="F28" i="25"/>
  <c r="G28" i="25"/>
  <c r="A29" i="25"/>
  <c r="B29" i="25"/>
  <c r="C29" i="25"/>
  <c r="D29" i="25"/>
  <c r="F29" i="25"/>
  <c r="G29" i="25"/>
  <c r="A30" i="25"/>
  <c r="B30" i="25"/>
  <c r="C30" i="25"/>
  <c r="D30" i="25"/>
  <c r="F30" i="25"/>
  <c r="G30" i="25"/>
  <c r="A31" i="25"/>
  <c r="B31" i="25"/>
  <c r="C31" i="25"/>
  <c r="D31" i="25"/>
  <c r="F31" i="25"/>
  <c r="G31" i="25"/>
  <c r="A32" i="25"/>
  <c r="B32" i="25"/>
  <c r="C32" i="25"/>
  <c r="D32" i="25"/>
  <c r="F32" i="25"/>
  <c r="G32" i="25"/>
  <c r="A33" i="25"/>
  <c r="B33" i="25"/>
  <c r="C33" i="25"/>
  <c r="D33" i="25"/>
  <c r="F33" i="25"/>
  <c r="G33" i="25"/>
  <c r="A34" i="25"/>
  <c r="B34" i="25"/>
  <c r="C34" i="25"/>
  <c r="D34" i="25"/>
  <c r="F34" i="25"/>
  <c r="G34" i="25"/>
  <c r="A35" i="25"/>
  <c r="B35" i="25"/>
  <c r="C35" i="25"/>
  <c r="D35" i="25"/>
  <c r="F35" i="25"/>
  <c r="G35" i="25"/>
  <c r="A36" i="25"/>
  <c r="B36" i="25"/>
  <c r="C36" i="25"/>
  <c r="D36" i="25"/>
  <c r="F36" i="25"/>
  <c r="G36" i="25"/>
  <c r="A37" i="25"/>
  <c r="B37" i="25"/>
  <c r="C37" i="25"/>
  <c r="D37" i="25"/>
  <c r="F37" i="25"/>
  <c r="G37" i="25"/>
  <c r="A38" i="25"/>
  <c r="B38" i="25"/>
  <c r="C38" i="25"/>
  <c r="D38" i="25"/>
  <c r="F38" i="25"/>
  <c r="G38" i="25"/>
  <c r="A39" i="25"/>
  <c r="B39" i="25"/>
  <c r="C39" i="25"/>
  <c r="D39" i="25"/>
  <c r="F39" i="25"/>
  <c r="G39" i="25"/>
  <c r="A40" i="25"/>
  <c r="B40" i="25"/>
  <c r="C40" i="25"/>
  <c r="D40" i="25"/>
  <c r="F40" i="25"/>
  <c r="G40" i="25"/>
  <c r="A41" i="25"/>
  <c r="B41" i="25"/>
  <c r="C41" i="25"/>
  <c r="D41" i="25"/>
  <c r="F41" i="25"/>
  <c r="G41" i="25"/>
  <c r="A42" i="25"/>
  <c r="B42" i="25"/>
  <c r="C42" i="25"/>
  <c r="D42" i="25"/>
  <c r="F42" i="25"/>
  <c r="G42" i="25"/>
  <c r="A44" i="25"/>
  <c r="B44" i="25"/>
  <c r="C44" i="25"/>
  <c r="D44" i="25"/>
  <c r="F44" i="25"/>
  <c r="G44" i="25"/>
  <c r="A45" i="25"/>
  <c r="B45" i="25"/>
  <c r="C45" i="25"/>
  <c r="D45" i="25"/>
  <c r="F45" i="25"/>
  <c r="G45" i="25"/>
  <c r="A46" i="25"/>
  <c r="B46" i="25"/>
  <c r="C46" i="25"/>
  <c r="D46" i="25"/>
  <c r="F46" i="25"/>
  <c r="G46" i="25"/>
  <c r="A47" i="25"/>
  <c r="B47" i="25"/>
  <c r="C47" i="25"/>
  <c r="D47" i="25"/>
  <c r="F47" i="25"/>
  <c r="G47" i="25"/>
  <c r="A48" i="25"/>
  <c r="B48" i="25"/>
  <c r="C48" i="25"/>
  <c r="D48" i="25"/>
  <c r="F48" i="25"/>
  <c r="G48" i="25"/>
  <c r="A49" i="25"/>
  <c r="B49" i="25"/>
  <c r="C49" i="25"/>
  <c r="D49" i="25"/>
  <c r="F49" i="25"/>
  <c r="G49" i="25"/>
  <c r="A50" i="25"/>
  <c r="B50" i="25"/>
  <c r="C50" i="25"/>
  <c r="D50" i="25"/>
  <c r="F50" i="25"/>
  <c r="G50" i="25"/>
  <c r="A51" i="25"/>
  <c r="B51" i="25"/>
  <c r="C51" i="25"/>
  <c r="D51" i="25"/>
  <c r="F51" i="25"/>
  <c r="G51" i="25"/>
  <c r="A52" i="25"/>
  <c r="B52" i="25"/>
  <c r="C52" i="25"/>
  <c r="D52" i="25"/>
  <c r="F52" i="25"/>
  <c r="G52" i="25"/>
  <c r="A53" i="25"/>
  <c r="B53" i="25"/>
  <c r="C53" i="25"/>
  <c r="D53" i="25"/>
  <c r="F53" i="25"/>
  <c r="G53" i="25"/>
  <c r="A54" i="25"/>
  <c r="B54" i="25"/>
  <c r="C54" i="25"/>
  <c r="D54" i="25"/>
  <c r="F54" i="25"/>
  <c r="G54" i="25"/>
  <c r="A55" i="25"/>
  <c r="B55" i="25"/>
  <c r="C55" i="25"/>
  <c r="D55" i="25"/>
  <c r="F55" i="25"/>
  <c r="G55" i="25"/>
  <c r="A56" i="25"/>
  <c r="B56" i="25"/>
  <c r="C56" i="25"/>
  <c r="D56" i="25"/>
  <c r="F56" i="25"/>
  <c r="G56" i="25"/>
  <c r="A57" i="25"/>
  <c r="B57" i="25"/>
  <c r="C57" i="25"/>
  <c r="D57" i="25"/>
  <c r="F57" i="25"/>
  <c r="G57" i="25"/>
  <c r="A58" i="25"/>
  <c r="B58" i="25"/>
  <c r="C58" i="25"/>
  <c r="D58" i="25"/>
  <c r="F58" i="25"/>
  <c r="G58" i="25"/>
  <c r="A59" i="25"/>
  <c r="B59" i="25"/>
  <c r="C59" i="25"/>
  <c r="D59" i="25"/>
  <c r="F59" i="25"/>
  <c r="G59" i="25"/>
  <c r="A60" i="25"/>
  <c r="B60" i="25"/>
  <c r="C60" i="25"/>
  <c r="D60" i="25"/>
  <c r="F60" i="25"/>
  <c r="G60" i="25"/>
  <c r="A61" i="25"/>
  <c r="B61" i="25"/>
  <c r="C61" i="25"/>
  <c r="D61" i="25"/>
  <c r="F61" i="25"/>
  <c r="G61" i="25"/>
  <c r="A62" i="25"/>
  <c r="B62" i="25"/>
  <c r="C62" i="25"/>
  <c r="D62" i="25"/>
  <c r="F62" i="25"/>
  <c r="G62" i="25"/>
  <c r="A63" i="25"/>
  <c r="B63" i="25"/>
  <c r="C63" i="25"/>
  <c r="D63" i="25"/>
  <c r="F63" i="25"/>
  <c r="G63" i="25"/>
  <c r="A64" i="25"/>
  <c r="B64" i="25"/>
  <c r="C64" i="25"/>
  <c r="D64" i="25"/>
  <c r="F64" i="25"/>
  <c r="G64" i="25"/>
  <c r="A65" i="25"/>
  <c r="B65" i="25"/>
  <c r="C65" i="25"/>
  <c r="D65" i="25"/>
  <c r="F65" i="25"/>
  <c r="G65" i="25"/>
  <c r="A66" i="25"/>
  <c r="B66" i="25"/>
  <c r="C66" i="25"/>
  <c r="D66" i="25"/>
  <c r="F66" i="25"/>
  <c r="G66" i="25"/>
  <c r="A67" i="25"/>
  <c r="B67" i="25"/>
  <c r="C67" i="25"/>
  <c r="D67" i="25"/>
  <c r="F67" i="25"/>
  <c r="G67" i="25"/>
  <c r="A69" i="25"/>
  <c r="B69" i="25"/>
  <c r="C69" i="25"/>
  <c r="D69" i="25"/>
  <c r="F69" i="25"/>
  <c r="G69" i="25"/>
  <c r="A70" i="25"/>
  <c r="B70" i="25"/>
  <c r="C70" i="25"/>
  <c r="D70" i="25"/>
  <c r="F70" i="25"/>
  <c r="G70" i="25"/>
  <c r="A71" i="25"/>
  <c r="B71" i="25"/>
  <c r="C71" i="25"/>
  <c r="D71" i="25"/>
  <c r="F71" i="25"/>
  <c r="G71" i="25"/>
  <c r="A72" i="25"/>
  <c r="B72" i="25"/>
  <c r="C72" i="25"/>
  <c r="D72" i="25"/>
  <c r="F72" i="25"/>
  <c r="G72" i="25"/>
  <c r="A73" i="25"/>
  <c r="B73" i="25"/>
  <c r="C73" i="25"/>
  <c r="D73" i="25"/>
  <c r="F73" i="25"/>
  <c r="G73" i="25"/>
  <c r="A74" i="25"/>
  <c r="B74" i="25"/>
  <c r="C74" i="25"/>
  <c r="D74" i="25"/>
  <c r="F74" i="25"/>
  <c r="G74" i="25"/>
  <c r="A75" i="25"/>
  <c r="B75" i="25"/>
  <c r="C75" i="25"/>
  <c r="D75" i="25"/>
  <c r="F75" i="25"/>
  <c r="G75" i="25"/>
  <c r="A76" i="25"/>
  <c r="B76" i="25"/>
  <c r="C76" i="25"/>
  <c r="D76" i="25"/>
  <c r="F76" i="25"/>
  <c r="G76" i="25"/>
  <c r="A77" i="25"/>
  <c r="B77" i="25"/>
  <c r="C77" i="25"/>
  <c r="D77" i="25"/>
  <c r="F77" i="25"/>
  <c r="G77" i="25"/>
  <c r="A78" i="25"/>
  <c r="B78" i="25"/>
  <c r="C78" i="25"/>
  <c r="D78" i="25"/>
  <c r="F78" i="25"/>
  <c r="G78" i="25"/>
  <c r="A79" i="25"/>
  <c r="B79" i="25"/>
  <c r="C79" i="25"/>
  <c r="D79" i="25"/>
  <c r="F79" i="25"/>
  <c r="G79" i="25"/>
  <c r="A80" i="25"/>
  <c r="B80" i="25"/>
  <c r="C80" i="25"/>
  <c r="D80" i="25"/>
  <c r="F80" i="25"/>
  <c r="G80" i="25"/>
  <c r="A81" i="25"/>
  <c r="B81" i="25"/>
  <c r="C81" i="25"/>
  <c r="D81" i="25"/>
  <c r="F81" i="25"/>
  <c r="G81" i="25"/>
  <c r="A82" i="25"/>
  <c r="B82" i="25"/>
  <c r="C82" i="25"/>
  <c r="D82" i="25"/>
  <c r="F82" i="25"/>
  <c r="G82" i="25"/>
  <c r="A83" i="25"/>
  <c r="B83" i="25"/>
  <c r="C83" i="25"/>
  <c r="D83" i="25"/>
  <c r="F83" i="25"/>
  <c r="G83" i="25"/>
  <c r="A84" i="25"/>
  <c r="B84" i="25"/>
  <c r="C84" i="25"/>
  <c r="D84" i="25"/>
  <c r="F84" i="25"/>
  <c r="G84" i="25"/>
  <c r="A85" i="25"/>
  <c r="B85" i="25"/>
  <c r="C85" i="25"/>
  <c r="D85" i="25"/>
  <c r="F85" i="25"/>
  <c r="G85" i="25"/>
  <c r="A86" i="25"/>
  <c r="B86" i="25"/>
  <c r="C86" i="25"/>
  <c r="D86" i="25"/>
  <c r="F86" i="25"/>
  <c r="G86" i="25"/>
  <c r="A87" i="25"/>
  <c r="B87" i="25"/>
  <c r="C87" i="25"/>
  <c r="D87" i="25"/>
  <c r="F87" i="25"/>
  <c r="G87" i="25"/>
  <c r="A88" i="25"/>
  <c r="B88" i="25"/>
  <c r="C88" i="25"/>
  <c r="D88" i="25"/>
  <c r="F88" i="25"/>
  <c r="G88" i="25"/>
  <c r="A90" i="25"/>
  <c r="B90" i="25"/>
  <c r="C90" i="25"/>
  <c r="D90" i="25"/>
  <c r="F90" i="25"/>
  <c r="G90" i="25"/>
  <c r="A91" i="25"/>
  <c r="B91" i="25"/>
  <c r="C91" i="25"/>
  <c r="D91" i="25"/>
  <c r="F91" i="25"/>
  <c r="G91" i="25"/>
  <c r="A92" i="25"/>
  <c r="B92" i="25"/>
  <c r="C92" i="25"/>
  <c r="D92" i="25"/>
  <c r="F92" i="25"/>
  <c r="G92" i="25"/>
  <c r="A93" i="25"/>
  <c r="B93" i="25"/>
  <c r="C93" i="25"/>
  <c r="D93" i="25"/>
  <c r="F93" i="25"/>
  <c r="G93" i="25"/>
  <c r="A94" i="25"/>
  <c r="B94" i="25"/>
  <c r="C94" i="25"/>
  <c r="D94" i="25"/>
  <c r="F94" i="25"/>
  <c r="G94" i="25"/>
  <c r="A95" i="25"/>
  <c r="B95" i="25"/>
  <c r="C95" i="25"/>
  <c r="D95" i="25"/>
  <c r="F95" i="25"/>
  <c r="G95" i="25"/>
  <c r="A96" i="25"/>
  <c r="B96" i="25"/>
  <c r="C96" i="25"/>
  <c r="D96" i="25"/>
  <c r="F96" i="25"/>
  <c r="G96" i="25"/>
  <c r="A97" i="25"/>
  <c r="B97" i="25"/>
  <c r="C97" i="25"/>
  <c r="D97" i="25"/>
  <c r="F97" i="25"/>
  <c r="G97" i="25"/>
  <c r="A98" i="25"/>
  <c r="B98" i="25"/>
  <c r="C98" i="25"/>
  <c r="D98" i="25"/>
  <c r="F98" i="25"/>
  <c r="G98" i="25"/>
  <c r="A99" i="25"/>
  <c r="B99" i="25"/>
  <c r="C99" i="25"/>
  <c r="D99" i="25"/>
  <c r="F99" i="25"/>
  <c r="G99" i="25"/>
  <c r="A100" i="25"/>
  <c r="B100" i="25"/>
  <c r="C100" i="25"/>
  <c r="D100" i="25"/>
  <c r="F100" i="25"/>
  <c r="G100" i="25"/>
  <c r="A101" i="25"/>
  <c r="B101" i="25"/>
  <c r="C101" i="25"/>
  <c r="D101" i="25"/>
  <c r="F101" i="25"/>
  <c r="G101" i="25"/>
  <c r="A102" i="25"/>
  <c r="B102" i="25"/>
  <c r="C102" i="25"/>
  <c r="D102" i="25"/>
  <c r="F102" i="25"/>
  <c r="G102" i="25"/>
  <c r="A103" i="25"/>
  <c r="B103" i="25"/>
  <c r="C103" i="25"/>
  <c r="D103" i="25"/>
  <c r="F103" i="25"/>
  <c r="G103" i="25"/>
  <c r="A104" i="25"/>
  <c r="B104" i="25"/>
  <c r="C104" i="25"/>
  <c r="D104" i="25"/>
  <c r="F104" i="25"/>
  <c r="G104" i="25"/>
  <c r="A105" i="25"/>
  <c r="B105" i="25"/>
  <c r="C105" i="25"/>
  <c r="D105" i="25"/>
  <c r="F105" i="25"/>
  <c r="G105" i="25"/>
  <c r="A106" i="25"/>
  <c r="B106" i="25"/>
  <c r="C106" i="25"/>
  <c r="D106" i="25"/>
  <c r="F106" i="25"/>
  <c r="G106" i="25"/>
  <c r="A107" i="25"/>
  <c r="B107" i="25"/>
  <c r="C107" i="25"/>
  <c r="D107" i="25"/>
  <c r="F107" i="25"/>
  <c r="G107" i="25"/>
  <c r="A108" i="25"/>
  <c r="B108" i="25"/>
  <c r="C108" i="25"/>
  <c r="D108" i="25"/>
  <c r="F108" i="25"/>
  <c r="G108" i="25"/>
  <c r="A109" i="25"/>
  <c r="B109" i="25"/>
  <c r="C109" i="25"/>
  <c r="D109" i="25"/>
  <c r="F109" i="25"/>
  <c r="G109" i="25"/>
  <c r="A110" i="25"/>
  <c r="B110" i="25"/>
  <c r="C110" i="25"/>
  <c r="D110" i="25"/>
  <c r="F110" i="25"/>
  <c r="G110" i="25"/>
  <c r="A111" i="25"/>
  <c r="B111" i="25"/>
  <c r="C111" i="25"/>
  <c r="D111" i="25"/>
  <c r="F111" i="25"/>
  <c r="G111" i="25"/>
  <c r="A112" i="25"/>
  <c r="B112" i="25"/>
  <c r="C112" i="25"/>
  <c r="D112" i="25"/>
  <c r="F112" i="25"/>
  <c r="G112" i="25"/>
  <c r="A113" i="25"/>
  <c r="B113" i="25"/>
  <c r="C113" i="25"/>
  <c r="D113" i="25"/>
  <c r="F113" i="25"/>
  <c r="G113" i="25"/>
  <c r="A114" i="25"/>
  <c r="B114" i="25"/>
  <c r="C114" i="25"/>
  <c r="D114" i="25"/>
  <c r="F114" i="25"/>
  <c r="G114" i="25"/>
  <c r="A115" i="25"/>
  <c r="B115" i="25"/>
  <c r="C115" i="25"/>
  <c r="D115" i="25"/>
  <c r="F115" i="25"/>
  <c r="G115" i="25"/>
  <c r="A116" i="25"/>
  <c r="B116" i="25"/>
  <c r="C116" i="25"/>
  <c r="D116" i="25"/>
  <c r="F116" i="25"/>
  <c r="G116" i="25"/>
  <c r="A117" i="25"/>
  <c r="B117" i="25"/>
  <c r="C117" i="25"/>
  <c r="D117" i="25"/>
  <c r="F117" i="25"/>
  <c r="G117" i="25"/>
  <c r="A118" i="25"/>
  <c r="B118" i="25"/>
  <c r="C118" i="25"/>
  <c r="D118" i="25"/>
  <c r="F118" i="25"/>
  <c r="G118" i="25"/>
  <c r="A119" i="25"/>
  <c r="B119" i="25"/>
  <c r="C119" i="25"/>
  <c r="D119" i="25"/>
  <c r="F119" i="25"/>
  <c r="G119" i="25"/>
  <c r="A120" i="25"/>
  <c r="B120" i="25"/>
  <c r="C120" i="25"/>
  <c r="D120" i="25"/>
  <c r="F120" i="25"/>
  <c r="G120" i="25"/>
  <c r="A121" i="25"/>
  <c r="B121" i="25"/>
  <c r="C121" i="25"/>
  <c r="D121" i="25"/>
  <c r="F121" i="25"/>
  <c r="G121" i="25"/>
  <c r="A122" i="25"/>
  <c r="B122" i="25"/>
  <c r="C122" i="25"/>
  <c r="D122" i="25"/>
  <c r="F122" i="25"/>
  <c r="G122" i="25"/>
  <c r="A123" i="25"/>
  <c r="B123" i="25"/>
  <c r="C123" i="25"/>
  <c r="D123" i="25"/>
  <c r="F123" i="25"/>
  <c r="G123" i="25"/>
  <c r="A124" i="25"/>
  <c r="B124" i="25"/>
  <c r="C124" i="25"/>
  <c r="D124" i="25"/>
  <c r="F124" i="25"/>
  <c r="G124" i="25"/>
  <c r="A125" i="25"/>
  <c r="B125" i="25"/>
  <c r="C125" i="25"/>
  <c r="D125" i="25"/>
  <c r="F125" i="25"/>
  <c r="G125" i="25"/>
  <c r="A126" i="25"/>
  <c r="B126" i="25"/>
  <c r="C126" i="25"/>
  <c r="D126" i="25"/>
  <c r="F126" i="25"/>
  <c r="G126" i="25"/>
  <c r="A127" i="25"/>
  <c r="B127" i="25"/>
  <c r="C127" i="25"/>
  <c r="D127" i="25"/>
  <c r="F127" i="25"/>
  <c r="G127" i="25"/>
  <c r="A128" i="25"/>
  <c r="B128" i="25"/>
  <c r="C128" i="25"/>
  <c r="D128" i="25"/>
  <c r="F128" i="25"/>
  <c r="G128" i="25"/>
  <c r="A129" i="25"/>
  <c r="B129" i="25"/>
  <c r="C129" i="25"/>
  <c r="D129" i="25"/>
  <c r="F129" i="25"/>
  <c r="G129" i="25"/>
  <c r="A130" i="25"/>
  <c r="B130" i="25"/>
  <c r="C130" i="25"/>
  <c r="D130" i="25"/>
  <c r="F130" i="25"/>
  <c r="G130" i="25"/>
  <c r="A131" i="25"/>
  <c r="B131" i="25"/>
  <c r="C131" i="25"/>
  <c r="D131" i="25"/>
  <c r="F131" i="25"/>
  <c r="G131" i="25"/>
  <c r="A132" i="25"/>
  <c r="B132" i="25"/>
  <c r="C132" i="25"/>
  <c r="D132" i="25"/>
  <c r="F132" i="25"/>
  <c r="G132" i="25"/>
  <c r="A133" i="25"/>
  <c r="B133" i="25"/>
  <c r="C133" i="25"/>
  <c r="D133" i="25"/>
  <c r="F133" i="25"/>
  <c r="G133" i="25"/>
  <c r="A134" i="25"/>
  <c r="B134" i="25"/>
  <c r="C134" i="25"/>
  <c r="D134" i="25"/>
  <c r="F134" i="25"/>
  <c r="G134" i="25"/>
  <c r="A135" i="25"/>
  <c r="B135" i="25"/>
  <c r="C135" i="25"/>
  <c r="D135" i="25"/>
  <c r="F135" i="25"/>
  <c r="G135" i="25"/>
  <c r="A136" i="25"/>
  <c r="B136" i="25"/>
  <c r="C136" i="25"/>
  <c r="D136" i="25"/>
  <c r="F136" i="25"/>
  <c r="G136" i="25"/>
  <c r="A137" i="25"/>
  <c r="B137" i="25"/>
  <c r="C137" i="25"/>
  <c r="D137" i="25"/>
  <c r="F137" i="25"/>
  <c r="G137" i="25"/>
  <c r="A138" i="25"/>
  <c r="B138" i="25"/>
  <c r="C138" i="25"/>
  <c r="D138" i="25"/>
  <c r="F138" i="25"/>
  <c r="G138" i="25"/>
  <c r="A139" i="25"/>
  <c r="B139" i="25"/>
  <c r="C139" i="25"/>
  <c r="D139" i="25"/>
  <c r="F139" i="25"/>
  <c r="G139" i="25"/>
  <c r="A140" i="25"/>
  <c r="B140" i="25"/>
  <c r="C140" i="25"/>
  <c r="D140" i="25"/>
  <c r="F140" i="25"/>
  <c r="G140" i="25"/>
  <c r="A141" i="25"/>
  <c r="B141" i="25"/>
  <c r="C141" i="25"/>
  <c r="D141" i="25"/>
  <c r="F141" i="25"/>
  <c r="G141" i="25"/>
  <c r="A142" i="25"/>
  <c r="B142" i="25"/>
  <c r="C142" i="25"/>
  <c r="D142" i="25"/>
  <c r="F142" i="25"/>
  <c r="G142" i="25"/>
  <c r="A143" i="25"/>
  <c r="B143" i="25"/>
  <c r="C143" i="25"/>
  <c r="D143" i="25"/>
  <c r="F143" i="25"/>
  <c r="G143" i="25"/>
  <c r="A144" i="25"/>
  <c r="B144" i="25"/>
  <c r="C144" i="25"/>
  <c r="D144" i="25"/>
  <c r="F144" i="25"/>
  <c r="G144" i="25"/>
  <c r="A145" i="25"/>
  <c r="B145" i="25"/>
  <c r="C145" i="25"/>
  <c r="D145" i="25"/>
  <c r="F145" i="25"/>
  <c r="G145" i="25"/>
  <c r="A146" i="25"/>
  <c r="B146" i="25"/>
  <c r="C146" i="25"/>
  <c r="D146" i="25"/>
  <c r="F146" i="25"/>
  <c r="G146" i="25"/>
  <c r="A147" i="25"/>
  <c r="B147" i="25"/>
  <c r="C147" i="25"/>
  <c r="D147" i="25"/>
  <c r="F147" i="25"/>
  <c r="G147" i="25"/>
  <c r="A148" i="25"/>
  <c r="B148" i="25"/>
  <c r="C148" i="25"/>
  <c r="D148" i="25"/>
  <c r="F148" i="25"/>
  <c r="G148" i="25"/>
  <c r="A149" i="25"/>
  <c r="B149" i="25"/>
  <c r="C149" i="25"/>
  <c r="D149" i="25"/>
  <c r="F149" i="25"/>
  <c r="G149" i="25"/>
  <c r="A152" i="25"/>
  <c r="B152" i="25"/>
  <c r="C152" i="25"/>
  <c r="D152" i="25"/>
  <c r="F152" i="25"/>
  <c r="G152" i="25"/>
  <c r="A153" i="25"/>
  <c r="B153" i="25"/>
  <c r="C153" i="25"/>
  <c r="D153" i="25"/>
  <c r="F153" i="25"/>
  <c r="G153" i="25"/>
  <c r="A154" i="25"/>
  <c r="B154" i="25"/>
  <c r="C154" i="25"/>
  <c r="D154" i="25"/>
  <c r="F154" i="25"/>
  <c r="G154" i="25"/>
  <c r="A155" i="25"/>
  <c r="B155" i="25"/>
  <c r="C155" i="25"/>
  <c r="D155" i="25"/>
  <c r="F155" i="25"/>
  <c r="G155" i="25"/>
  <c r="A156" i="25"/>
  <c r="B156" i="25"/>
  <c r="C156" i="25"/>
  <c r="D156" i="25"/>
  <c r="F156" i="25"/>
  <c r="G156" i="25"/>
  <c r="A157" i="25"/>
  <c r="B157" i="25"/>
  <c r="C157" i="25"/>
  <c r="D157" i="25"/>
  <c r="F157" i="25"/>
  <c r="G157" i="25"/>
  <c r="G3" i="25"/>
  <c r="F3" i="25"/>
  <c r="D3" i="25"/>
  <c r="C3" i="25"/>
  <c r="B3" i="25"/>
  <c r="A3" i="25"/>
  <c r="F149" i="2"/>
  <c r="EJ50" i="3"/>
  <c r="DU50" i="3"/>
  <c r="DT50" i="3"/>
  <c r="DS50" i="3"/>
  <c r="DR50" i="3"/>
  <c r="DQ50" i="3"/>
  <c r="DP50" i="3"/>
  <c r="DO50" i="3"/>
  <c r="DN50" i="3"/>
  <c r="DM50" i="3"/>
  <c r="DI50" i="3"/>
  <c r="DD50" i="3"/>
  <c r="DC50" i="3"/>
  <c r="DB50" i="3"/>
  <c r="DA50" i="3"/>
  <c r="CW50" i="3"/>
  <c r="CV50" i="3"/>
  <c r="CU50" i="3"/>
  <c r="CT50" i="3"/>
  <c r="CS50" i="3"/>
  <c r="CR50" i="3"/>
  <c r="CQ50" i="3"/>
  <c r="CP50" i="3"/>
  <c r="CO50" i="3"/>
  <c r="CN50" i="3"/>
  <c r="DX50" i="3" s="1"/>
  <c r="CM50" i="3"/>
  <c r="CA50" i="3" s="1"/>
  <c r="CL50" i="3"/>
  <c r="CX50" i="3" s="1"/>
  <c r="BY50" i="3"/>
  <c r="BX50" i="3"/>
  <c r="BW50" i="3"/>
  <c r="BV50" i="3"/>
  <c r="BU50" i="3"/>
  <c r="BT50" i="3"/>
  <c r="BS50" i="3"/>
  <c r="BR50" i="3"/>
  <c r="BQ50" i="3"/>
  <c r="BD50" i="3"/>
  <c r="BC50" i="3"/>
  <c r="BB50" i="3"/>
  <c r="BA50" i="3"/>
  <c r="AZ50" i="3"/>
  <c r="AY50" i="3"/>
  <c r="AX50" i="3"/>
  <c r="AW50" i="3"/>
  <c r="AV50" i="3"/>
  <c r="AU50" i="3"/>
  <c r="AT50" i="3"/>
  <c r="AS50" i="3"/>
  <c r="M50" i="3"/>
  <c r="U50" i="3"/>
  <c r="CY59" i="2" l="1"/>
  <c r="CB50" i="3"/>
  <c r="DW50" i="3"/>
  <c r="BZ50" i="3"/>
  <c r="S50" i="3" s="1"/>
  <c r="DK50" i="3"/>
  <c r="V50" i="3"/>
  <c r="T50" i="3" s="1"/>
  <c r="DJ50" i="3"/>
  <c r="DV50" i="3"/>
  <c r="DL50" i="3"/>
  <c r="AD3" i="22" l="1"/>
  <c r="AE3" i="22"/>
  <c r="AF3" i="22"/>
  <c r="AG3" i="22"/>
  <c r="AH3" i="22"/>
  <c r="AI3" i="22"/>
  <c r="AJ3" i="22"/>
  <c r="AK3" i="22"/>
  <c r="AL3" i="22"/>
  <c r="AM3" i="22"/>
  <c r="AN3" i="22"/>
  <c r="BB3" i="22"/>
  <c r="BC3" i="22"/>
  <c r="BD3" i="22"/>
  <c r="BE3" i="22"/>
  <c r="BF3" i="22"/>
  <c r="BG3" i="22"/>
  <c r="BH3" i="22"/>
  <c r="BI3" i="22"/>
  <c r="BJ3" i="22"/>
  <c r="BL3" i="22"/>
  <c r="BM3" i="22"/>
  <c r="BW3" i="22"/>
  <c r="BK3" i="22" s="1"/>
  <c r="BZ3" i="22"/>
  <c r="CA3" i="22"/>
  <c r="CM3" i="22" s="1"/>
  <c r="CB3" i="22"/>
  <c r="CN3" i="22" s="1"/>
  <c r="CC3" i="22"/>
  <c r="CO3" i="22" s="1"/>
  <c r="CD3" i="22"/>
  <c r="CP3" i="22" s="1"/>
  <c r="CE3" i="22"/>
  <c r="CQ3" i="22" s="1"/>
  <c r="CF3" i="22"/>
  <c r="CR3" i="22" s="1"/>
  <c r="CG3" i="22"/>
  <c r="CS3" i="22" s="1"/>
  <c r="CH3" i="22"/>
  <c r="CT3" i="22" s="1"/>
  <c r="CJ3" i="22"/>
  <c r="CV3" i="22" s="1"/>
  <c r="CK3" i="22"/>
  <c r="CW3" i="22" s="1"/>
  <c r="CI3" i="22" l="1"/>
  <c r="CU3" i="22"/>
  <c r="CL3" i="22"/>
  <c r="BB104" i="2" l="1"/>
  <c r="A16" i="24" l="1"/>
  <c r="B16" i="24"/>
  <c r="K16" i="24"/>
  <c r="J16" i="24"/>
  <c r="I16" i="24"/>
  <c r="H16" i="24"/>
  <c r="G16" i="24"/>
  <c r="F16" i="24"/>
  <c r="E16" i="24"/>
  <c r="D16" i="24"/>
  <c r="C16" i="24"/>
  <c r="L16" i="24"/>
  <c r="I7" i="24"/>
  <c r="G7" i="24"/>
  <c r="F7" i="24"/>
  <c r="E7" i="24"/>
  <c r="D7" i="24"/>
  <c r="C7" i="24"/>
  <c r="B7" i="24"/>
  <c r="A7" i="24"/>
  <c r="AZ40" i="2"/>
  <c r="CV40" i="2"/>
  <c r="DH40" i="2" s="1"/>
  <c r="U66" i="2"/>
  <c r="U67" i="2"/>
  <c r="U117" i="2"/>
  <c r="U118" i="2"/>
  <c r="EJ93" i="2"/>
  <c r="CP6" i="22"/>
  <c r="CO6" i="22"/>
  <c r="CN6" i="22"/>
  <c r="CM6" i="22"/>
  <c r="CL6" i="22"/>
  <c r="CK6" i="22"/>
  <c r="CJ6" i="22"/>
  <c r="CV6" i="22" s="1"/>
  <c r="CI6" i="22"/>
  <c r="CU6" i="22" s="1"/>
  <c r="CH6" i="22"/>
  <c r="CT6" i="22" s="1"/>
  <c r="CF6" i="22"/>
  <c r="CR6" i="22" s="1"/>
  <c r="CE6" i="22"/>
  <c r="CQ6" i="22" s="1"/>
  <c r="CD6" i="22"/>
  <c r="CC6" i="22"/>
  <c r="CB6" i="22"/>
  <c r="CA6" i="22"/>
  <c r="BZ6" i="22"/>
  <c r="BY6" i="22"/>
  <c r="BU6" i="22"/>
  <c r="BL6" i="22"/>
  <c r="BK6" i="22"/>
  <c r="BJ6" i="22"/>
  <c r="BH6" i="22"/>
  <c r="BG6" i="22"/>
  <c r="BF6" i="22"/>
  <c r="BE6" i="22"/>
  <c r="BD6" i="22"/>
  <c r="BC6" i="22"/>
  <c r="BB6" i="22"/>
  <c r="BA6" i="22"/>
  <c r="AN6" i="22"/>
  <c r="AM6" i="22"/>
  <c r="AL6" i="22"/>
  <c r="AK6" i="22"/>
  <c r="AJ6" i="22"/>
  <c r="AI6" i="22"/>
  <c r="AH6" i="22"/>
  <c r="AG6" i="22"/>
  <c r="AF6" i="22"/>
  <c r="AE6" i="22"/>
  <c r="AD6" i="22"/>
  <c r="AC6" i="22"/>
  <c r="FV12" i="23"/>
  <c r="EW12" i="23"/>
  <c r="EV12" i="23"/>
  <c r="EU12" i="23"/>
  <c r="ET12" i="23"/>
  <c r="ES12" i="23"/>
  <c r="ER12" i="23"/>
  <c r="EQ12" i="23"/>
  <c r="EP12" i="23"/>
  <c r="EO12" i="23"/>
  <c r="EN12" i="23"/>
  <c r="EJ12" i="23"/>
  <c r="EI12" i="23"/>
  <c r="EH12" i="23"/>
  <c r="EG12" i="23"/>
  <c r="EF12" i="23"/>
  <c r="EE12" i="23"/>
  <c r="ED12" i="23"/>
  <c r="EC12" i="23"/>
  <c r="EB12" i="23"/>
  <c r="DB12" i="23"/>
  <c r="CD12" i="23" s="1"/>
  <c r="CO12" i="23"/>
  <c r="CN12" i="23"/>
  <c r="CM12" i="23"/>
  <c r="CL12" i="23"/>
  <c r="CK12" i="23"/>
  <c r="CJ12" i="23"/>
  <c r="CI12" i="23"/>
  <c r="CH12" i="23"/>
  <c r="CG12" i="23"/>
  <c r="CF12" i="23"/>
  <c r="CE12" i="23"/>
  <c r="AS12" i="23"/>
  <c r="AR12" i="23"/>
  <c r="AQ12" i="23"/>
  <c r="AP12" i="23"/>
  <c r="AO12" i="23"/>
  <c r="AN12" i="23"/>
  <c r="AM12" i="23"/>
  <c r="AL12" i="23"/>
  <c r="AK12" i="23"/>
  <c r="AJ12" i="23"/>
  <c r="AI12" i="23"/>
  <c r="AH12" i="23"/>
  <c r="FV11" i="23"/>
  <c r="EW11" i="23"/>
  <c r="EV11" i="23"/>
  <c r="EU11" i="23"/>
  <c r="ET11" i="23"/>
  <c r="ES11" i="23"/>
  <c r="ER11" i="23"/>
  <c r="EQ11" i="23"/>
  <c r="EP11" i="23"/>
  <c r="EO11" i="23"/>
  <c r="EN11" i="23"/>
  <c r="EJ11" i="23"/>
  <c r="EI11" i="23"/>
  <c r="EH11" i="23"/>
  <c r="EG11" i="23"/>
  <c r="EF11" i="23"/>
  <c r="EE11" i="23"/>
  <c r="ED11" i="23"/>
  <c r="EC11" i="23"/>
  <c r="EB11" i="23"/>
  <c r="DB11" i="23"/>
  <c r="CD11" i="23" s="1"/>
  <c r="CO11" i="23"/>
  <c r="CN11" i="23"/>
  <c r="CM11" i="23"/>
  <c r="CL11" i="23"/>
  <c r="CK11" i="23"/>
  <c r="CJ11" i="23"/>
  <c r="CI11" i="23"/>
  <c r="CH11" i="23"/>
  <c r="CG11" i="23"/>
  <c r="CF11" i="23"/>
  <c r="CE11" i="23"/>
  <c r="AS11" i="23"/>
  <c r="AR11" i="23"/>
  <c r="AQ11" i="23"/>
  <c r="AP11" i="23"/>
  <c r="AO11" i="23"/>
  <c r="AN11" i="23"/>
  <c r="AM11" i="23"/>
  <c r="AL11" i="23"/>
  <c r="AK11" i="23"/>
  <c r="AJ11" i="23"/>
  <c r="AI11" i="23"/>
  <c r="AH11" i="23"/>
  <c r="FV10" i="23"/>
  <c r="EW10" i="23"/>
  <c r="EV10" i="23"/>
  <c r="EU10" i="23"/>
  <c r="ET10" i="23"/>
  <c r="ES10" i="23"/>
  <c r="ER10" i="23"/>
  <c r="EQ10" i="23"/>
  <c r="EP10" i="23"/>
  <c r="EO10" i="23"/>
  <c r="EN10" i="23"/>
  <c r="EJ10" i="23"/>
  <c r="EI10" i="23"/>
  <c r="EH10" i="23"/>
  <c r="EG10" i="23"/>
  <c r="EF10" i="23"/>
  <c r="EE10" i="23"/>
  <c r="ED10" i="23"/>
  <c r="EC10" i="23"/>
  <c r="EB10" i="23"/>
  <c r="DB10" i="23"/>
  <c r="CD10" i="23" s="1"/>
  <c r="CO10" i="23"/>
  <c r="CN10" i="23"/>
  <c r="CM10" i="23"/>
  <c r="CL10" i="23"/>
  <c r="CK10" i="23"/>
  <c r="CJ10" i="23"/>
  <c r="CI10" i="23"/>
  <c r="CH10" i="23"/>
  <c r="CG10" i="23"/>
  <c r="CF10" i="23"/>
  <c r="CE10" i="23"/>
  <c r="AS10" i="23"/>
  <c r="AR10" i="23"/>
  <c r="AQ10" i="23"/>
  <c r="AP10" i="23"/>
  <c r="AO10" i="23"/>
  <c r="AN10" i="23"/>
  <c r="AM10" i="23"/>
  <c r="AL10" i="23"/>
  <c r="AK10" i="23"/>
  <c r="AJ10" i="23"/>
  <c r="AI10" i="23"/>
  <c r="AH10" i="23"/>
  <c r="GC9" i="23"/>
  <c r="FV9" i="23"/>
  <c r="EJ9" i="23"/>
  <c r="EW9" i="23" s="1"/>
  <c r="EI9" i="23"/>
  <c r="EV9" i="23" s="1"/>
  <c r="EG9" i="23"/>
  <c r="ET9" i="23" s="1"/>
  <c r="EF9" i="23"/>
  <c r="ES9" i="23" s="1"/>
  <c r="EE9" i="23"/>
  <c r="ER9" i="23" s="1"/>
  <c r="ED9" i="23"/>
  <c r="EQ9" i="23" s="1"/>
  <c r="EC9" i="23"/>
  <c r="EP9" i="23" s="1"/>
  <c r="EB9" i="23"/>
  <c r="EO9" i="23" s="1"/>
  <c r="EA9" i="23"/>
  <c r="EN9" i="23" s="1"/>
  <c r="DZ9" i="23"/>
  <c r="EM9" i="23" s="1"/>
  <c r="EL9" i="23"/>
  <c r="CM9" i="23"/>
  <c r="CO9" i="23"/>
  <c r="CN9" i="23"/>
  <c r="CL9" i="23"/>
  <c r="CK9" i="23"/>
  <c r="CJ9" i="23"/>
  <c r="CI9" i="23"/>
  <c r="CH9" i="23"/>
  <c r="CG9" i="23"/>
  <c r="CF9" i="23"/>
  <c r="CE9" i="23"/>
  <c r="CD9" i="23"/>
  <c r="AS9" i="23"/>
  <c r="AR9" i="23"/>
  <c r="AQ9" i="23"/>
  <c r="AP9" i="23"/>
  <c r="AO9" i="23"/>
  <c r="AN9" i="23"/>
  <c r="AM9" i="23"/>
  <c r="AL9" i="23"/>
  <c r="AK9" i="23"/>
  <c r="AJ9" i="23"/>
  <c r="AI9" i="23"/>
  <c r="AH9" i="23"/>
  <c r="GC8" i="23"/>
  <c r="FV8" i="23"/>
  <c r="EJ8" i="23"/>
  <c r="EI8" i="23"/>
  <c r="EV8" i="23" s="1"/>
  <c r="EG8" i="23"/>
  <c r="ET8" i="23" s="1"/>
  <c r="EF8" i="23"/>
  <c r="ES8" i="23" s="1"/>
  <c r="EE8" i="23"/>
  <c r="ER8" i="23" s="1"/>
  <c r="ED8" i="23"/>
  <c r="EQ8" i="23" s="1"/>
  <c r="EC8" i="23"/>
  <c r="EP8" i="23" s="1"/>
  <c r="EB8" i="23"/>
  <c r="EO8" i="23" s="1"/>
  <c r="EA8" i="23"/>
  <c r="EN8" i="23" s="1"/>
  <c r="DZ8" i="23"/>
  <c r="EM8" i="23" s="1"/>
  <c r="EL8" i="23"/>
  <c r="EH8" i="23"/>
  <c r="EU8" i="23" s="1"/>
  <c r="CO8" i="23"/>
  <c r="CN8" i="23"/>
  <c r="CL8" i="23"/>
  <c r="CK8" i="23"/>
  <c r="CJ8" i="23"/>
  <c r="CI8" i="23"/>
  <c r="CH8" i="23"/>
  <c r="CG8" i="23"/>
  <c r="CF8" i="23"/>
  <c r="CE8" i="23"/>
  <c r="CD8" i="23"/>
  <c r="AS8" i="23"/>
  <c r="AR8" i="23"/>
  <c r="AQ8" i="23"/>
  <c r="AP8" i="23"/>
  <c r="AO8" i="23"/>
  <c r="AN8" i="23"/>
  <c r="AM8" i="23"/>
  <c r="AL8" i="23"/>
  <c r="AK8" i="23"/>
  <c r="AJ8" i="23"/>
  <c r="AI8" i="23"/>
  <c r="AH8" i="23"/>
  <c r="FV7" i="23"/>
  <c r="EJ7" i="23"/>
  <c r="EI7" i="23"/>
  <c r="EH7" i="23"/>
  <c r="EG7" i="23"/>
  <c r="EF7" i="23"/>
  <c r="EE7" i="23"/>
  <c r="ED7" i="23"/>
  <c r="EC7" i="23"/>
  <c r="EB7" i="23"/>
  <c r="DB7" i="23"/>
  <c r="CD7" i="23" s="1"/>
  <c r="CO7" i="23"/>
  <c r="CN7" i="23"/>
  <c r="CM7" i="23"/>
  <c r="CL7" i="23"/>
  <c r="CK7" i="23"/>
  <c r="CJ7" i="23"/>
  <c r="CI7" i="23"/>
  <c r="CH7" i="23"/>
  <c r="CG7" i="23"/>
  <c r="CF7" i="23"/>
  <c r="CE7" i="23"/>
  <c r="AS7" i="23"/>
  <c r="AR7" i="23"/>
  <c r="AQ7" i="23"/>
  <c r="AP7" i="23"/>
  <c r="AO7" i="23"/>
  <c r="AN7" i="23"/>
  <c r="AM7" i="23"/>
  <c r="AL7" i="23"/>
  <c r="AK7" i="23"/>
  <c r="AJ7" i="23"/>
  <c r="AI7" i="23"/>
  <c r="AH7" i="23"/>
  <c r="GC3" i="23"/>
  <c r="FV3" i="23"/>
  <c r="EI3" i="23"/>
  <c r="EV3" i="23" s="1"/>
  <c r="EG3" i="23"/>
  <c r="ET3" i="23" s="1"/>
  <c r="EF3" i="23"/>
  <c r="ES3" i="23" s="1"/>
  <c r="EE3" i="23"/>
  <c r="ER3" i="23" s="1"/>
  <c r="ED3" i="23"/>
  <c r="EQ3" i="23" s="1"/>
  <c r="EC3" i="23"/>
  <c r="EP3" i="23" s="1"/>
  <c r="EB3" i="23"/>
  <c r="EO3" i="23" s="1"/>
  <c r="EA3" i="23"/>
  <c r="EN3" i="23" s="1"/>
  <c r="DZ3" i="23"/>
  <c r="EM3" i="23" s="1"/>
  <c r="EL3" i="23"/>
  <c r="EH3" i="23"/>
  <c r="EU3" i="23" s="1"/>
  <c r="CN3" i="23"/>
  <c r="CL3" i="23"/>
  <c r="CK3" i="23"/>
  <c r="CJ3" i="23"/>
  <c r="CI3" i="23"/>
  <c r="CH3" i="23"/>
  <c r="CG3" i="23"/>
  <c r="CF3" i="23"/>
  <c r="CE3" i="23"/>
  <c r="CD3" i="23"/>
  <c r="AS3" i="23"/>
  <c r="AR3" i="23"/>
  <c r="AQ3" i="23"/>
  <c r="AP3" i="23"/>
  <c r="AO3" i="23"/>
  <c r="AN3" i="23"/>
  <c r="AM3" i="23"/>
  <c r="AL3" i="23"/>
  <c r="AK3" i="23"/>
  <c r="AJ3" i="23"/>
  <c r="AI3" i="23"/>
  <c r="AH3" i="23"/>
  <c r="GC4" i="23"/>
  <c r="FV4" i="23"/>
  <c r="EI4" i="23"/>
  <c r="EV4" i="23" s="1"/>
  <c r="EG4" i="23"/>
  <c r="ET4" i="23" s="1"/>
  <c r="EF4" i="23"/>
  <c r="ES4" i="23" s="1"/>
  <c r="ED4" i="23"/>
  <c r="EQ4" i="23" s="1"/>
  <c r="EC4" i="23"/>
  <c r="EP4" i="23" s="1"/>
  <c r="EB4" i="23"/>
  <c r="EO4" i="23" s="1"/>
  <c r="EA4" i="23"/>
  <c r="EN4" i="23" s="1"/>
  <c r="DZ4" i="23"/>
  <c r="EM4" i="23" s="1"/>
  <c r="EL4" i="23"/>
  <c r="CM4" i="23"/>
  <c r="DH4" i="23"/>
  <c r="CN4" i="23"/>
  <c r="CL4" i="23"/>
  <c r="CK4" i="23"/>
  <c r="CI4" i="23"/>
  <c r="CH4" i="23"/>
  <c r="CG4" i="23"/>
  <c r="CF4" i="23"/>
  <c r="CE4" i="23"/>
  <c r="CD4" i="23"/>
  <c r="AS4" i="23"/>
  <c r="AR4" i="23"/>
  <c r="AQ4" i="23"/>
  <c r="AP4" i="23"/>
  <c r="AO4" i="23"/>
  <c r="AN4" i="23"/>
  <c r="AM4" i="23"/>
  <c r="AL4" i="23"/>
  <c r="AK4" i="23"/>
  <c r="AJ4" i="23"/>
  <c r="AH4" i="23"/>
  <c r="FV6" i="23"/>
  <c r="EW6" i="23"/>
  <c r="EV6" i="23"/>
  <c r="EU6" i="23"/>
  <c r="ET6" i="23"/>
  <c r="ES6" i="23"/>
  <c r="ER6" i="23"/>
  <c r="EQ6" i="23"/>
  <c r="EP6" i="23"/>
  <c r="EO6" i="23"/>
  <c r="EN6" i="23"/>
  <c r="EJ6" i="23"/>
  <c r="EI6" i="23"/>
  <c r="EH6" i="23"/>
  <c r="EG6" i="23"/>
  <c r="EF6" i="23"/>
  <c r="EE6" i="23"/>
  <c r="ED6" i="23"/>
  <c r="EC6" i="23"/>
  <c r="EB6" i="23"/>
  <c r="DJ6" i="23"/>
  <c r="CL6" i="23" s="1"/>
  <c r="DE6" i="23"/>
  <c r="CG6" i="23" s="1"/>
  <c r="CN6" i="23"/>
  <c r="CM6" i="23"/>
  <c r="CK6" i="23"/>
  <c r="CJ6" i="23"/>
  <c r="CI6" i="23"/>
  <c r="CH6" i="23"/>
  <c r="CF6" i="23"/>
  <c r="CE6" i="23"/>
  <c r="CD6" i="23"/>
  <c r="AS6" i="23"/>
  <c r="AR6" i="23"/>
  <c r="AQ6" i="23"/>
  <c r="AP6" i="23"/>
  <c r="AO6" i="23"/>
  <c r="AN6" i="23"/>
  <c r="AM6" i="23"/>
  <c r="AL6" i="23"/>
  <c r="AK6" i="23"/>
  <c r="AJ6" i="23"/>
  <c r="AI6" i="23"/>
  <c r="AH6" i="23"/>
  <c r="GC5" i="23"/>
  <c r="FV5" i="23"/>
  <c r="EN5" i="23"/>
  <c r="EM5" i="23"/>
  <c r="EL5" i="23"/>
  <c r="EI5" i="23"/>
  <c r="EV5" i="23" s="1"/>
  <c r="EG5" i="23"/>
  <c r="ET5" i="23" s="1"/>
  <c r="EF5" i="23"/>
  <c r="ES5" i="23" s="1"/>
  <c r="EE5" i="23"/>
  <c r="ER5" i="23" s="1"/>
  <c r="ED5" i="23"/>
  <c r="EQ5" i="23" s="1"/>
  <c r="EC5" i="23"/>
  <c r="EP5" i="23" s="1"/>
  <c r="EB5" i="23"/>
  <c r="EO5" i="23" s="1"/>
  <c r="EA5" i="23"/>
  <c r="DZ5" i="23"/>
  <c r="CM5" i="23"/>
  <c r="CN5" i="23"/>
  <c r="CL5" i="23"/>
  <c r="CK5" i="23"/>
  <c r="CJ5" i="23"/>
  <c r="CI5" i="23"/>
  <c r="CH5" i="23"/>
  <c r="CG5" i="23"/>
  <c r="CF5" i="23"/>
  <c r="CE5" i="23"/>
  <c r="CD5" i="23"/>
  <c r="AS5" i="23"/>
  <c r="AR5" i="23"/>
  <c r="AQ5" i="23"/>
  <c r="AP5" i="23"/>
  <c r="AO5" i="23"/>
  <c r="AN5" i="23"/>
  <c r="AM5" i="23"/>
  <c r="AL5" i="23"/>
  <c r="AK5" i="23"/>
  <c r="AJ5" i="23"/>
  <c r="AI5" i="23"/>
  <c r="AH5" i="23"/>
  <c r="BI6" i="22" l="1"/>
  <c r="CG6" i="22"/>
  <c r="CS6" i="22" s="1"/>
  <c r="EU9" i="23"/>
  <c r="EH5" i="23"/>
  <c r="EU5" i="23" s="1"/>
  <c r="CM8" i="23"/>
  <c r="CM3" i="23"/>
  <c r="EH4" i="23"/>
  <c r="EU4" i="23" s="1"/>
  <c r="EH9" i="23"/>
  <c r="CJ4" i="23"/>
  <c r="EE4" i="23"/>
  <c r="ER4" i="23" s="1"/>
  <c r="J4" i="3" l="1"/>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3" i="3"/>
  <c r="U23" i="2"/>
  <c r="U24" i="2"/>
  <c r="U30" i="2"/>
  <c r="U4" i="2"/>
  <c r="U5" i="2"/>
  <c r="U21" i="2"/>
  <c r="U22" i="2"/>
  <c r="U25" i="2"/>
  <c r="U26" i="2"/>
  <c r="U27" i="2"/>
  <c r="U28" i="2"/>
  <c r="U29" i="2"/>
  <c r="U31" i="2"/>
  <c r="U32" i="2"/>
  <c r="U33" i="2"/>
  <c r="U34" i="2"/>
  <c r="U35" i="2"/>
  <c r="U36" i="2"/>
  <c r="U37" i="2"/>
  <c r="U38" i="2"/>
  <c r="U39" i="2"/>
  <c r="U40" i="2"/>
  <c r="U41" i="2"/>
  <c r="U44" i="2"/>
  <c r="U45" i="2"/>
  <c r="U6" i="2"/>
  <c r="U7" i="2"/>
  <c r="U8" i="2"/>
  <c r="U9" i="2"/>
  <c r="U10" i="2"/>
  <c r="U11" i="2"/>
  <c r="U12" i="2"/>
  <c r="U13" i="2"/>
  <c r="U14" i="2"/>
  <c r="U15" i="2"/>
  <c r="U16" i="2"/>
  <c r="U17" i="2"/>
  <c r="U18" i="2"/>
  <c r="U19" i="2"/>
  <c r="U20" i="2"/>
  <c r="U46" i="2"/>
  <c r="U47" i="2"/>
  <c r="U48" i="2"/>
  <c r="U49" i="2"/>
  <c r="U50" i="2"/>
  <c r="U51" i="2"/>
  <c r="U52" i="2"/>
  <c r="U53" i="2"/>
  <c r="U54" i="2"/>
  <c r="U55" i="2"/>
  <c r="U56" i="2"/>
  <c r="U57" i="2"/>
  <c r="U58" i="2"/>
  <c r="U59" i="2"/>
  <c r="U60" i="2"/>
  <c r="U61" i="2"/>
  <c r="U62" i="2"/>
  <c r="U63" i="2"/>
  <c r="U64" i="2"/>
  <c r="U65" i="2"/>
  <c r="U69" i="2"/>
  <c r="U70" i="2"/>
  <c r="U71" i="2"/>
  <c r="U72" i="2"/>
  <c r="U73" i="2"/>
  <c r="U74" i="2"/>
  <c r="U75" i="2"/>
  <c r="U76" i="2"/>
  <c r="U77" i="2"/>
  <c r="U78" i="2"/>
  <c r="U79" i="2"/>
  <c r="U80" i="2"/>
  <c r="U81" i="2"/>
  <c r="U82" i="2"/>
  <c r="U83" i="2"/>
  <c r="U84" i="2"/>
  <c r="U85" i="2"/>
  <c r="U86" i="2"/>
  <c r="U87" i="2"/>
  <c r="U88"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9" i="2"/>
  <c r="U120" i="2"/>
  <c r="U121" i="2"/>
  <c r="U122" i="2"/>
  <c r="U123" i="2"/>
  <c r="U124" i="2"/>
  <c r="U125" i="2"/>
  <c r="U126" i="2"/>
  <c r="U127" i="2"/>
  <c r="U129" i="2"/>
  <c r="U130" i="2"/>
  <c r="U131" i="2"/>
  <c r="U132" i="2"/>
  <c r="U133" i="2"/>
  <c r="U134" i="2"/>
  <c r="U136" i="2"/>
  <c r="U137" i="2"/>
  <c r="U138" i="2"/>
  <c r="U139" i="2"/>
  <c r="U140" i="2"/>
  <c r="U141" i="2"/>
  <c r="U142" i="2"/>
  <c r="U143" i="2"/>
  <c r="U144" i="2"/>
  <c r="U145" i="2"/>
  <c r="U146" i="2"/>
  <c r="U147" i="2"/>
  <c r="U148" i="2"/>
  <c r="U149" i="2"/>
  <c r="U152" i="2"/>
  <c r="U153" i="2"/>
  <c r="U154" i="2"/>
  <c r="U155" i="2"/>
  <c r="U156" i="2"/>
  <c r="U157" i="2"/>
  <c r="U3" i="2"/>
  <c r="M46" i="3"/>
  <c r="M4" i="3"/>
  <c r="M6" i="3"/>
  <c r="M7" i="3"/>
  <c r="M8" i="3"/>
  <c r="M9" i="3"/>
  <c r="M10" i="3"/>
  <c r="M11" i="3"/>
  <c r="M12" i="3"/>
  <c r="M13" i="3"/>
  <c r="M14" i="3"/>
  <c r="M15" i="3"/>
  <c r="M16" i="3"/>
  <c r="M17" i="3"/>
  <c r="M18" i="3"/>
  <c r="M19" i="3"/>
  <c r="M20" i="3"/>
  <c r="M21" i="3"/>
  <c r="M22" i="3"/>
  <c r="M23" i="3"/>
  <c r="M24" i="3"/>
  <c r="M25" i="3"/>
  <c r="M27" i="3"/>
  <c r="M28" i="3"/>
  <c r="M29" i="3"/>
  <c r="M30" i="3"/>
  <c r="M31" i="3"/>
  <c r="M32" i="3"/>
  <c r="M34" i="3"/>
  <c r="M35" i="3"/>
  <c r="M36" i="3"/>
  <c r="M38" i="3"/>
  <c r="M39" i="3"/>
  <c r="M40" i="3"/>
  <c r="M41" i="3"/>
  <c r="M42" i="3"/>
  <c r="M43" i="3"/>
  <c r="M44" i="3"/>
  <c r="M45" i="3"/>
  <c r="M47" i="3"/>
  <c r="M48" i="3"/>
  <c r="M3" i="3"/>
  <c r="DK6" i="3"/>
  <c r="DK7" i="3"/>
  <c r="DK8" i="3"/>
  <c r="DK9" i="3"/>
  <c r="DK10" i="3"/>
  <c r="DK11" i="3"/>
  <c r="DK12" i="3"/>
  <c r="DK13" i="3"/>
  <c r="DK14" i="3"/>
  <c r="DK15" i="3"/>
  <c r="DK16" i="3"/>
  <c r="DK17" i="3"/>
  <c r="DK18" i="3"/>
  <c r="DK19" i="3"/>
  <c r="DK20" i="3"/>
  <c r="DK21" i="3"/>
  <c r="DK22" i="3"/>
  <c r="DK23" i="3"/>
  <c r="DK24" i="3"/>
  <c r="DK25" i="3"/>
  <c r="DK26" i="3"/>
  <c r="DK27" i="3"/>
  <c r="DK28" i="3"/>
  <c r="DK29" i="3"/>
  <c r="DK30" i="3"/>
  <c r="DK31" i="3"/>
  <c r="DK32" i="3"/>
  <c r="DK34" i="3"/>
  <c r="DK35" i="3"/>
  <c r="DK36" i="3"/>
  <c r="DK37" i="3"/>
  <c r="DK38" i="3"/>
  <c r="DK39" i="3"/>
  <c r="DK40" i="3"/>
  <c r="DK41" i="3"/>
  <c r="DK42" i="3"/>
  <c r="DK43" i="3"/>
  <c r="DK44" i="3"/>
  <c r="DK45" i="3"/>
  <c r="DK47" i="3"/>
  <c r="DK48" i="3"/>
  <c r="DK49" i="3"/>
  <c r="K32" i="5"/>
  <c r="M29" i="5"/>
  <c r="L32" i="5"/>
  <c r="M31" i="5"/>
  <c r="K25" i="5"/>
  <c r="L25" i="5"/>
  <c r="K24" i="5"/>
  <c r="M32" i="5"/>
  <c r="M30" i="5"/>
  <c r="L28" i="5"/>
  <c r="M28" i="5"/>
  <c r="L26" i="5"/>
  <c r="L29" i="5"/>
  <c r="L24" i="5"/>
  <c r="M24" i="5"/>
  <c r="K29" i="5"/>
  <c r="L30" i="5"/>
  <c r="L31" i="5"/>
  <c r="M26" i="5"/>
  <c r="K31" i="5"/>
  <c r="K30" i="5"/>
  <c r="O31" i="5" l="1"/>
  <c r="O30" i="5"/>
  <c r="O24" i="5"/>
  <c r="O29" i="5"/>
  <c r="O26" i="5"/>
  <c r="O28" i="5"/>
  <c r="N24" i="5"/>
  <c r="O25" i="5"/>
  <c r="O32" i="5"/>
  <c r="N26" i="5"/>
  <c r="N28" i="5"/>
  <c r="N29" i="5"/>
  <c r="N30" i="5"/>
  <c r="N31" i="5"/>
  <c r="N32" i="5"/>
  <c r="N25" i="5"/>
  <c r="DM3" i="2"/>
  <c r="DM4" i="2"/>
  <c r="DN4" i="2"/>
  <c r="DO4" i="2"/>
  <c r="DP4" i="2"/>
  <c r="DQ4" i="2"/>
  <c r="DR4" i="2"/>
  <c r="DS4" i="2"/>
  <c r="DT4" i="2"/>
  <c r="DU4" i="2"/>
  <c r="DM5" i="2"/>
  <c r="DN5" i="2"/>
  <c r="DO5" i="2"/>
  <c r="DP5" i="2"/>
  <c r="DQ5" i="2"/>
  <c r="DR5" i="2"/>
  <c r="DS5" i="2"/>
  <c r="DT5" i="2"/>
  <c r="DU5" i="2"/>
  <c r="DM21" i="2"/>
  <c r="DN21" i="2"/>
  <c r="DO21" i="2"/>
  <c r="DP21" i="2"/>
  <c r="DQ21" i="2"/>
  <c r="DR21" i="2"/>
  <c r="DS21" i="2"/>
  <c r="DT21" i="2"/>
  <c r="DU21" i="2"/>
  <c r="DM22" i="2"/>
  <c r="DN22" i="2"/>
  <c r="DO22" i="2"/>
  <c r="DP22" i="2"/>
  <c r="DQ22" i="2"/>
  <c r="DR22" i="2"/>
  <c r="DS22" i="2"/>
  <c r="DT22" i="2"/>
  <c r="DU22" i="2"/>
  <c r="DM23" i="2"/>
  <c r="DN23" i="2"/>
  <c r="DO23" i="2"/>
  <c r="DP23" i="2"/>
  <c r="DQ23" i="2"/>
  <c r="DR23" i="2"/>
  <c r="DS23" i="2"/>
  <c r="DT23" i="2"/>
  <c r="DU23" i="2"/>
  <c r="DM24" i="2"/>
  <c r="DN24" i="2"/>
  <c r="DO24" i="2"/>
  <c r="DP24" i="2"/>
  <c r="DQ24" i="2"/>
  <c r="DR24" i="2"/>
  <c r="DS24" i="2"/>
  <c r="DT24" i="2"/>
  <c r="DU24" i="2"/>
  <c r="DM25" i="2"/>
  <c r="DN25" i="2"/>
  <c r="DO25" i="2"/>
  <c r="DP25" i="2"/>
  <c r="DQ25" i="2"/>
  <c r="DR25" i="2"/>
  <c r="DS25" i="2"/>
  <c r="DT25" i="2"/>
  <c r="DU25" i="2"/>
  <c r="DM26" i="2"/>
  <c r="DN26" i="2"/>
  <c r="DO26" i="2"/>
  <c r="DP26" i="2"/>
  <c r="DQ26" i="2"/>
  <c r="DR26" i="2"/>
  <c r="DS26" i="2"/>
  <c r="DT26" i="2"/>
  <c r="DU26" i="2"/>
  <c r="DM27" i="2"/>
  <c r="DN27" i="2"/>
  <c r="DO27" i="2"/>
  <c r="DP27" i="2"/>
  <c r="DQ27" i="2"/>
  <c r="DR27" i="2"/>
  <c r="DS27" i="2"/>
  <c r="DT27" i="2"/>
  <c r="DU27" i="2"/>
  <c r="DM28" i="2"/>
  <c r="DN28" i="2"/>
  <c r="DO28" i="2"/>
  <c r="DP28" i="2"/>
  <c r="DQ28" i="2"/>
  <c r="DR28" i="2"/>
  <c r="DS28" i="2"/>
  <c r="DT28" i="2"/>
  <c r="DU28" i="2"/>
  <c r="DM29" i="2"/>
  <c r="DN29" i="2"/>
  <c r="DO29" i="2"/>
  <c r="DP29" i="2"/>
  <c r="DQ29" i="2"/>
  <c r="DR29" i="2"/>
  <c r="DS29" i="2"/>
  <c r="DT29" i="2"/>
  <c r="DU29" i="2"/>
  <c r="DM30" i="2"/>
  <c r="DN30" i="2"/>
  <c r="DO30" i="2"/>
  <c r="DP30" i="2"/>
  <c r="DQ30" i="2"/>
  <c r="DR30" i="2"/>
  <c r="DS30" i="2"/>
  <c r="DT30" i="2"/>
  <c r="DU30" i="2"/>
  <c r="DM31" i="2"/>
  <c r="DN31" i="2"/>
  <c r="DO31" i="2"/>
  <c r="DP31" i="2"/>
  <c r="DQ31" i="2"/>
  <c r="DR31" i="2"/>
  <c r="DS31" i="2"/>
  <c r="DT31" i="2"/>
  <c r="DU31" i="2"/>
  <c r="DM32" i="2"/>
  <c r="DN32" i="2"/>
  <c r="DO32" i="2"/>
  <c r="DP32" i="2"/>
  <c r="DQ32" i="2"/>
  <c r="DR32" i="2"/>
  <c r="DS32" i="2"/>
  <c r="DT32" i="2"/>
  <c r="DU32" i="2"/>
  <c r="DM33" i="2"/>
  <c r="DN33" i="2"/>
  <c r="DO33" i="2"/>
  <c r="DP33" i="2"/>
  <c r="DQ33" i="2"/>
  <c r="DR33" i="2"/>
  <c r="DS33" i="2"/>
  <c r="DT33" i="2"/>
  <c r="DU33" i="2"/>
  <c r="DM34" i="2"/>
  <c r="DN34" i="2"/>
  <c r="DO34" i="2"/>
  <c r="DP34" i="2"/>
  <c r="DQ34" i="2"/>
  <c r="DR34" i="2"/>
  <c r="DS34" i="2"/>
  <c r="DT34" i="2"/>
  <c r="DU34" i="2"/>
  <c r="DM35" i="2"/>
  <c r="DN35" i="2"/>
  <c r="DO35" i="2"/>
  <c r="DP35" i="2"/>
  <c r="DQ35" i="2"/>
  <c r="DR35" i="2"/>
  <c r="DS35" i="2"/>
  <c r="DT35" i="2"/>
  <c r="DU35" i="2"/>
  <c r="DM36" i="2"/>
  <c r="DN36" i="2"/>
  <c r="DO36" i="2"/>
  <c r="DP36" i="2"/>
  <c r="DQ36" i="2"/>
  <c r="DR36" i="2"/>
  <c r="DS36" i="2"/>
  <c r="DT36" i="2"/>
  <c r="DU36" i="2"/>
  <c r="DM37" i="2"/>
  <c r="DN37" i="2"/>
  <c r="DO37" i="2"/>
  <c r="DP37" i="2"/>
  <c r="DQ37" i="2"/>
  <c r="DR37" i="2"/>
  <c r="DS37" i="2"/>
  <c r="DT37" i="2"/>
  <c r="DU37" i="2"/>
  <c r="DM38" i="2"/>
  <c r="DN38" i="2"/>
  <c r="DO38" i="2"/>
  <c r="DP38" i="2"/>
  <c r="DQ38" i="2"/>
  <c r="DR38" i="2"/>
  <c r="DS38" i="2"/>
  <c r="DT38" i="2"/>
  <c r="DU38" i="2"/>
  <c r="DM39" i="2"/>
  <c r="DN39" i="2"/>
  <c r="DO39" i="2"/>
  <c r="DP39" i="2"/>
  <c r="DQ39" i="2"/>
  <c r="DR39" i="2"/>
  <c r="DS39" i="2"/>
  <c r="DT39" i="2"/>
  <c r="DU39" i="2"/>
  <c r="DM40" i="2"/>
  <c r="DN40" i="2"/>
  <c r="DO40" i="2"/>
  <c r="DP40" i="2"/>
  <c r="DQ40" i="2"/>
  <c r="DR40" i="2"/>
  <c r="DS40" i="2"/>
  <c r="DT40" i="2"/>
  <c r="DU40" i="2"/>
  <c r="DM41" i="2"/>
  <c r="DN41" i="2"/>
  <c r="DO41" i="2"/>
  <c r="DP41" i="2"/>
  <c r="DQ41" i="2"/>
  <c r="DR41" i="2"/>
  <c r="DS41" i="2"/>
  <c r="DT41" i="2"/>
  <c r="DU41" i="2"/>
  <c r="DM44" i="2"/>
  <c r="DN44" i="2"/>
  <c r="DO44" i="2"/>
  <c r="DP44" i="2"/>
  <c r="DQ44" i="2"/>
  <c r="DR44" i="2"/>
  <c r="DS44" i="2"/>
  <c r="DT44" i="2"/>
  <c r="DU44" i="2"/>
  <c r="DM45" i="2"/>
  <c r="DN45" i="2"/>
  <c r="DO45" i="2"/>
  <c r="DP45" i="2"/>
  <c r="DQ45" i="2"/>
  <c r="DR45" i="2"/>
  <c r="DS45" i="2"/>
  <c r="DT45" i="2"/>
  <c r="DU45" i="2"/>
  <c r="DM6" i="2"/>
  <c r="DN6" i="2"/>
  <c r="DO6" i="2"/>
  <c r="DP6" i="2"/>
  <c r="DQ6" i="2"/>
  <c r="DR6" i="2"/>
  <c r="DS6" i="2"/>
  <c r="DT6" i="2"/>
  <c r="DU6" i="2"/>
  <c r="DM7" i="2"/>
  <c r="DN7" i="2"/>
  <c r="DO7" i="2"/>
  <c r="DP7" i="2"/>
  <c r="DQ7" i="2"/>
  <c r="DR7" i="2"/>
  <c r="DS7" i="2"/>
  <c r="DT7" i="2"/>
  <c r="DU7" i="2"/>
  <c r="DM8" i="2"/>
  <c r="DN8" i="2"/>
  <c r="DO8" i="2"/>
  <c r="DP8" i="2"/>
  <c r="DQ8" i="2"/>
  <c r="DR8" i="2"/>
  <c r="DS8" i="2"/>
  <c r="DT8" i="2"/>
  <c r="DU8" i="2"/>
  <c r="DM9" i="2"/>
  <c r="DN9" i="2"/>
  <c r="DO9" i="2"/>
  <c r="DP9" i="2"/>
  <c r="DQ9" i="2"/>
  <c r="DR9" i="2"/>
  <c r="DS9" i="2"/>
  <c r="DT9" i="2"/>
  <c r="DU9" i="2"/>
  <c r="DM10" i="2"/>
  <c r="DN10" i="2"/>
  <c r="DO10" i="2"/>
  <c r="DP10" i="2"/>
  <c r="DQ10" i="2"/>
  <c r="DR10" i="2"/>
  <c r="DS10" i="2"/>
  <c r="DT10" i="2"/>
  <c r="DU10" i="2"/>
  <c r="DM11" i="2"/>
  <c r="DN11" i="2"/>
  <c r="DO11" i="2"/>
  <c r="DP11" i="2"/>
  <c r="DQ11" i="2"/>
  <c r="DR11" i="2"/>
  <c r="DS11" i="2"/>
  <c r="DT11" i="2"/>
  <c r="DU11" i="2"/>
  <c r="DM12" i="2"/>
  <c r="DN12" i="2"/>
  <c r="DO12" i="2"/>
  <c r="DP12" i="2"/>
  <c r="DQ12" i="2"/>
  <c r="DR12" i="2"/>
  <c r="DS12" i="2"/>
  <c r="DT12" i="2"/>
  <c r="DU12" i="2"/>
  <c r="DM13" i="2"/>
  <c r="DN13" i="2"/>
  <c r="DO13" i="2"/>
  <c r="DP13" i="2"/>
  <c r="DQ13" i="2"/>
  <c r="DR13" i="2"/>
  <c r="DS13" i="2"/>
  <c r="DT13" i="2"/>
  <c r="DU13" i="2"/>
  <c r="DM14" i="2"/>
  <c r="DN14" i="2"/>
  <c r="DO14" i="2"/>
  <c r="DP14" i="2"/>
  <c r="DQ14" i="2"/>
  <c r="DR14" i="2"/>
  <c r="DS14" i="2"/>
  <c r="DT14" i="2"/>
  <c r="DU14" i="2"/>
  <c r="DM15" i="2"/>
  <c r="DN15" i="2"/>
  <c r="DO15" i="2"/>
  <c r="DP15" i="2"/>
  <c r="DQ15" i="2"/>
  <c r="DR15" i="2"/>
  <c r="DS15" i="2"/>
  <c r="DT15" i="2"/>
  <c r="DU15" i="2"/>
  <c r="DM16" i="2"/>
  <c r="DN16" i="2"/>
  <c r="DO16" i="2"/>
  <c r="DP16" i="2"/>
  <c r="DQ16" i="2"/>
  <c r="DR16" i="2"/>
  <c r="DS16" i="2"/>
  <c r="DT16" i="2"/>
  <c r="DU16" i="2"/>
  <c r="DM17" i="2"/>
  <c r="DN17" i="2"/>
  <c r="DO17" i="2"/>
  <c r="DP17" i="2"/>
  <c r="DQ17" i="2"/>
  <c r="DR17" i="2"/>
  <c r="DS17" i="2"/>
  <c r="DT17" i="2"/>
  <c r="DU17" i="2"/>
  <c r="DM18" i="2"/>
  <c r="DN18" i="2"/>
  <c r="DO18" i="2"/>
  <c r="DP18" i="2"/>
  <c r="DQ18" i="2"/>
  <c r="DR18" i="2"/>
  <c r="DS18" i="2"/>
  <c r="DT18" i="2"/>
  <c r="DU18" i="2"/>
  <c r="DM19" i="2"/>
  <c r="DN19" i="2"/>
  <c r="DO19" i="2"/>
  <c r="DP19" i="2"/>
  <c r="DQ19" i="2"/>
  <c r="DR19" i="2"/>
  <c r="DS19" i="2"/>
  <c r="DT19" i="2"/>
  <c r="DU19" i="2"/>
  <c r="DM20" i="2"/>
  <c r="DN20" i="2"/>
  <c r="DO20" i="2"/>
  <c r="DP20" i="2"/>
  <c r="DQ20" i="2"/>
  <c r="DR20" i="2"/>
  <c r="DS20" i="2"/>
  <c r="DT20" i="2"/>
  <c r="DU20" i="2"/>
  <c r="DM46" i="2"/>
  <c r="DN46" i="2"/>
  <c r="DO46" i="2"/>
  <c r="DP46" i="2"/>
  <c r="DQ46" i="2"/>
  <c r="DR46" i="2"/>
  <c r="DS46" i="2"/>
  <c r="DT46" i="2"/>
  <c r="DU46" i="2"/>
  <c r="DM47" i="2"/>
  <c r="DN47" i="2"/>
  <c r="DO47" i="2"/>
  <c r="DP47" i="2"/>
  <c r="DQ47" i="2"/>
  <c r="DR47" i="2"/>
  <c r="DS47" i="2"/>
  <c r="DT47" i="2"/>
  <c r="DU47" i="2"/>
  <c r="DM48" i="2"/>
  <c r="DN48" i="2"/>
  <c r="DO48" i="2"/>
  <c r="DP48" i="2"/>
  <c r="DQ48" i="2"/>
  <c r="DR48" i="2"/>
  <c r="DS48" i="2"/>
  <c r="DT48" i="2"/>
  <c r="DU48" i="2"/>
  <c r="DM49" i="2"/>
  <c r="DN49" i="2"/>
  <c r="DO49" i="2"/>
  <c r="DP49" i="2"/>
  <c r="DQ49" i="2"/>
  <c r="DR49" i="2"/>
  <c r="DS49" i="2"/>
  <c r="DT49" i="2"/>
  <c r="DU49" i="2"/>
  <c r="DM50" i="2"/>
  <c r="DN50" i="2"/>
  <c r="DO50" i="2"/>
  <c r="DP50" i="2"/>
  <c r="DQ50" i="2"/>
  <c r="DR50" i="2"/>
  <c r="DS50" i="2"/>
  <c r="DT50" i="2"/>
  <c r="DU50" i="2"/>
  <c r="DM51" i="2"/>
  <c r="DN51" i="2"/>
  <c r="DO51" i="2"/>
  <c r="DP51" i="2"/>
  <c r="DQ51" i="2"/>
  <c r="DR51" i="2"/>
  <c r="DS51" i="2"/>
  <c r="DT51" i="2"/>
  <c r="DU51" i="2"/>
  <c r="DM52" i="2"/>
  <c r="DN52" i="2"/>
  <c r="DO52" i="2"/>
  <c r="DP52" i="2"/>
  <c r="DQ52" i="2"/>
  <c r="DR52" i="2"/>
  <c r="DS52" i="2"/>
  <c r="DT52" i="2"/>
  <c r="DU52" i="2"/>
  <c r="DM53" i="2"/>
  <c r="DN53" i="2"/>
  <c r="DO53" i="2"/>
  <c r="DP53" i="2"/>
  <c r="DQ53" i="2"/>
  <c r="DR53" i="2"/>
  <c r="DS53" i="2"/>
  <c r="DT53" i="2"/>
  <c r="DU53" i="2"/>
  <c r="DM54" i="2"/>
  <c r="DN54" i="2"/>
  <c r="DO54" i="2"/>
  <c r="DP54" i="2"/>
  <c r="DQ54" i="2"/>
  <c r="DR54" i="2"/>
  <c r="DS54" i="2"/>
  <c r="DT54" i="2"/>
  <c r="DU54" i="2"/>
  <c r="DM55" i="2"/>
  <c r="DN55" i="2"/>
  <c r="DO55" i="2"/>
  <c r="DP55" i="2"/>
  <c r="DQ55" i="2"/>
  <c r="DR55" i="2"/>
  <c r="DS55" i="2"/>
  <c r="DT55" i="2"/>
  <c r="DU55" i="2"/>
  <c r="DM56" i="2"/>
  <c r="DN56" i="2"/>
  <c r="DO56" i="2"/>
  <c r="DP56" i="2"/>
  <c r="DQ56" i="2"/>
  <c r="DR56" i="2"/>
  <c r="DS56" i="2"/>
  <c r="DT56" i="2"/>
  <c r="DU56" i="2"/>
  <c r="DM57" i="2"/>
  <c r="DN57" i="2"/>
  <c r="DO57" i="2"/>
  <c r="DP57" i="2"/>
  <c r="DQ57" i="2"/>
  <c r="DR57" i="2"/>
  <c r="DS57" i="2"/>
  <c r="DT57" i="2"/>
  <c r="DU57" i="2"/>
  <c r="DM58" i="2"/>
  <c r="DN58" i="2"/>
  <c r="DO58" i="2"/>
  <c r="DP58" i="2"/>
  <c r="DQ58" i="2"/>
  <c r="DR58" i="2"/>
  <c r="DS58" i="2"/>
  <c r="DT58" i="2"/>
  <c r="DU58" i="2"/>
  <c r="DM59" i="2"/>
  <c r="DN59" i="2"/>
  <c r="DO59" i="2"/>
  <c r="DP59" i="2"/>
  <c r="DQ59" i="2"/>
  <c r="DR59" i="2"/>
  <c r="DS59" i="2"/>
  <c r="DT59" i="2"/>
  <c r="DU59" i="2"/>
  <c r="DM60" i="2"/>
  <c r="DN60" i="2"/>
  <c r="DO60" i="2"/>
  <c r="DP60" i="2"/>
  <c r="DQ60" i="2"/>
  <c r="DR60" i="2"/>
  <c r="DS60" i="2"/>
  <c r="DT60" i="2"/>
  <c r="DU60" i="2"/>
  <c r="DM61" i="2"/>
  <c r="DN61" i="2"/>
  <c r="DO61" i="2"/>
  <c r="DP61" i="2"/>
  <c r="DQ61" i="2"/>
  <c r="DR61" i="2"/>
  <c r="DS61" i="2"/>
  <c r="DT61" i="2"/>
  <c r="DU61" i="2"/>
  <c r="DM62" i="2"/>
  <c r="DN62" i="2"/>
  <c r="DO62" i="2"/>
  <c r="DP62" i="2"/>
  <c r="DQ62" i="2"/>
  <c r="DR62" i="2"/>
  <c r="DS62" i="2"/>
  <c r="DT62" i="2"/>
  <c r="DU62" i="2"/>
  <c r="DM63" i="2"/>
  <c r="DN63" i="2"/>
  <c r="DO63" i="2"/>
  <c r="DP63" i="2"/>
  <c r="DQ63" i="2"/>
  <c r="DR63" i="2"/>
  <c r="DS63" i="2"/>
  <c r="DT63" i="2"/>
  <c r="DU63" i="2"/>
  <c r="DM64" i="2"/>
  <c r="DN64" i="2"/>
  <c r="DO64" i="2"/>
  <c r="DP64" i="2"/>
  <c r="DQ64" i="2"/>
  <c r="DR64" i="2"/>
  <c r="DS64" i="2"/>
  <c r="DT64" i="2"/>
  <c r="DU64" i="2"/>
  <c r="DM65" i="2"/>
  <c r="DN65" i="2"/>
  <c r="DO65" i="2"/>
  <c r="DP65" i="2"/>
  <c r="DQ65" i="2"/>
  <c r="DR65" i="2"/>
  <c r="DS65" i="2"/>
  <c r="DT65" i="2"/>
  <c r="DU65" i="2"/>
  <c r="DM69" i="2"/>
  <c r="DN69" i="2"/>
  <c r="DO69" i="2"/>
  <c r="DP69" i="2"/>
  <c r="DQ69" i="2"/>
  <c r="DR69" i="2"/>
  <c r="DS69" i="2"/>
  <c r="DT69" i="2"/>
  <c r="DU69" i="2"/>
  <c r="DM70" i="2"/>
  <c r="DN70" i="2"/>
  <c r="DO70" i="2"/>
  <c r="DP70" i="2"/>
  <c r="DQ70" i="2"/>
  <c r="DR70" i="2"/>
  <c r="DS70" i="2"/>
  <c r="DT70" i="2"/>
  <c r="DU70" i="2"/>
  <c r="DM71" i="2"/>
  <c r="DN71" i="2"/>
  <c r="DO71" i="2"/>
  <c r="DP71" i="2"/>
  <c r="DQ71" i="2"/>
  <c r="DR71" i="2"/>
  <c r="DS71" i="2"/>
  <c r="DT71" i="2"/>
  <c r="DU71" i="2"/>
  <c r="DM72" i="2"/>
  <c r="DN72" i="2"/>
  <c r="DO72" i="2"/>
  <c r="DP72" i="2"/>
  <c r="DQ72" i="2"/>
  <c r="DR72" i="2"/>
  <c r="DS72" i="2"/>
  <c r="DT72" i="2"/>
  <c r="DU72" i="2"/>
  <c r="DM73" i="2"/>
  <c r="DN73" i="2"/>
  <c r="DO73" i="2"/>
  <c r="DP73" i="2"/>
  <c r="DQ73" i="2"/>
  <c r="DR73" i="2"/>
  <c r="DS73" i="2"/>
  <c r="DT73" i="2"/>
  <c r="DU73" i="2"/>
  <c r="DM74" i="2"/>
  <c r="DN74" i="2"/>
  <c r="DO74" i="2"/>
  <c r="DP74" i="2"/>
  <c r="DQ74" i="2"/>
  <c r="DR74" i="2"/>
  <c r="DS74" i="2"/>
  <c r="DT74" i="2"/>
  <c r="DU74" i="2"/>
  <c r="DM75" i="2"/>
  <c r="DN75" i="2"/>
  <c r="DO75" i="2"/>
  <c r="DP75" i="2"/>
  <c r="DQ75" i="2"/>
  <c r="DR75" i="2"/>
  <c r="DS75" i="2"/>
  <c r="DT75" i="2"/>
  <c r="DU75" i="2"/>
  <c r="DM76" i="2"/>
  <c r="DN76" i="2"/>
  <c r="DO76" i="2"/>
  <c r="DP76" i="2"/>
  <c r="DQ76" i="2"/>
  <c r="DR76" i="2"/>
  <c r="DS76" i="2"/>
  <c r="DT76" i="2"/>
  <c r="DU76" i="2"/>
  <c r="DM77" i="2"/>
  <c r="DN77" i="2"/>
  <c r="DO77" i="2"/>
  <c r="DP77" i="2"/>
  <c r="DQ77" i="2"/>
  <c r="DR77" i="2"/>
  <c r="DS77" i="2"/>
  <c r="DT77" i="2"/>
  <c r="DU77" i="2"/>
  <c r="DM78" i="2"/>
  <c r="DN78" i="2"/>
  <c r="DO78" i="2"/>
  <c r="DP78" i="2"/>
  <c r="DQ78" i="2"/>
  <c r="DR78" i="2"/>
  <c r="DS78" i="2"/>
  <c r="DT78" i="2"/>
  <c r="DU78" i="2"/>
  <c r="DM79" i="2"/>
  <c r="DN79" i="2"/>
  <c r="DO79" i="2"/>
  <c r="DP79" i="2"/>
  <c r="DQ79" i="2"/>
  <c r="DR79" i="2"/>
  <c r="DS79" i="2"/>
  <c r="DT79" i="2"/>
  <c r="DU79" i="2"/>
  <c r="DM80" i="2"/>
  <c r="DN80" i="2"/>
  <c r="DO80" i="2"/>
  <c r="DP80" i="2"/>
  <c r="DQ80" i="2"/>
  <c r="DR80" i="2"/>
  <c r="DS80" i="2"/>
  <c r="DT80" i="2"/>
  <c r="DU80" i="2"/>
  <c r="DM81" i="2"/>
  <c r="DN81" i="2"/>
  <c r="DO81" i="2"/>
  <c r="DP81" i="2"/>
  <c r="DQ81" i="2"/>
  <c r="DR81" i="2"/>
  <c r="DS81" i="2"/>
  <c r="DT81" i="2"/>
  <c r="DU81" i="2"/>
  <c r="DM82" i="2"/>
  <c r="DN82" i="2"/>
  <c r="DO82" i="2"/>
  <c r="DP82" i="2"/>
  <c r="DQ82" i="2"/>
  <c r="DR82" i="2"/>
  <c r="DS82" i="2"/>
  <c r="DT82" i="2"/>
  <c r="DU82" i="2"/>
  <c r="DM83" i="2"/>
  <c r="DN83" i="2"/>
  <c r="DO83" i="2"/>
  <c r="DP83" i="2"/>
  <c r="DQ83" i="2"/>
  <c r="DR83" i="2"/>
  <c r="DS83" i="2"/>
  <c r="DT83" i="2"/>
  <c r="DU83" i="2"/>
  <c r="DM84" i="2"/>
  <c r="DN84" i="2"/>
  <c r="DO84" i="2"/>
  <c r="DP84" i="2"/>
  <c r="DQ84" i="2"/>
  <c r="DR84" i="2"/>
  <c r="DS84" i="2"/>
  <c r="DT84" i="2"/>
  <c r="DU84" i="2"/>
  <c r="DM85" i="2"/>
  <c r="DN85" i="2"/>
  <c r="DO85" i="2"/>
  <c r="DP85" i="2"/>
  <c r="DQ85" i="2"/>
  <c r="DR85" i="2"/>
  <c r="DS85" i="2"/>
  <c r="DT85" i="2"/>
  <c r="DU85" i="2"/>
  <c r="DM86" i="2"/>
  <c r="DN86" i="2"/>
  <c r="DO86" i="2"/>
  <c r="DP86" i="2"/>
  <c r="DQ86" i="2"/>
  <c r="DR86" i="2"/>
  <c r="DS86" i="2"/>
  <c r="DT86" i="2"/>
  <c r="DU86" i="2"/>
  <c r="DM87" i="2"/>
  <c r="DN87" i="2"/>
  <c r="DO87" i="2"/>
  <c r="DP87" i="2"/>
  <c r="DQ87" i="2"/>
  <c r="DR87" i="2"/>
  <c r="DS87" i="2"/>
  <c r="DT87" i="2"/>
  <c r="DU87" i="2"/>
  <c r="DM88" i="2"/>
  <c r="DN88" i="2"/>
  <c r="DO88" i="2"/>
  <c r="DP88" i="2"/>
  <c r="DQ88" i="2"/>
  <c r="DR88" i="2"/>
  <c r="DS88" i="2"/>
  <c r="DT88" i="2"/>
  <c r="DU88" i="2"/>
  <c r="DM90" i="2"/>
  <c r="DN90" i="2"/>
  <c r="DO90" i="2"/>
  <c r="DP90" i="2"/>
  <c r="DQ90" i="2"/>
  <c r="DR90" i="2"/>
  <c r="DS90" i="2"/>
  <c r="DT90" i="2"/>
  <c r="DU90" i="2"/>
  <c r="DM91" i="2"/>
  <c r="DN91" i="2"/>
  <c r="DO91" i="2"/>
  <c r="DP91" i="2"/>
  <c r="DQ91" i="2"/>
  <c r="DR91" i="2"/>
  <c r="DS91" i="2"/>
  <c r="DT91" i="2"/>
  <c r="DU91" i="2"/>
  <c r="DM92" i="2"/>
  <c r="DN92" i="2"/>
  <c r="DO92" i="2"/>
  <c r="DP92" i="2"/>
  <c r="DQ92" i="2"/>
  <c r="DR92" i="2"/>
  <c r="DS92" i="2"/>
  <c r="DT92" i="2"/>
  <c r="DU92" i="2"/>
  <c r="DM93" i="2"/>
  <c r="DN93" i="2"/>
  <c r="DO93" i="2"/>
  <c r="DP93" i="2"/>
  <c r="DQ93" i="2"/>
  <c r="DR93" i="2"/>
  <c r="DS93" i="2"/>
  <c r="DT93" i="2"/>
  <c r="DU93" i="2"/>
  <c r="DM94" i="2"/>
  <c r="DN94" i="2"/>
  <c r="DO94" i="2"/>
  <c r="DP94" i="2"/>
  <c r="DQ94" i="2"/>
  <c r="DR94" i="2"/>
  <c r="DS94" i="2"/>
  <c r="DT94" i="2"/>
  <c r="DU94" i="2"/>
  <c r="DM95" i="2"/>
  <c r="DN95" i="2"/>
  <c r="DO95" i="2"/>
  <c r="DP95" i="2"/>
  <c r="DQ95" i="2"/>
  <c r="DR95" i="2"/>
  <c r="DS95" i="2"/>
  <c r="DT95" i="2"/>
  <c r="DU95" i="2"/>
  <c r="DM96" i="2"/>
  <c r="DN96" i="2"/>
  <c r="DO96" i="2"/>
  <c r="DP96" i="2"/>
  <c r="DQ96" i="2"/>
  <c r="DR96" i="2"/>
  <c r="DS96" i="2"/>
  <c r="DT96" i="2"/>
  <c r="DU96" i="2"/>
  <c r="DM97" i="2"/>
  <c r="DN97" i="2"/>
  <c r="DO97" i="2"/>
  <c r="DP97" i="2"/>
  <c r="DQ97" i="2"/>
  <c r="DR97" i="2"/>
  <c r="DS97" i="2"/>
  <c r="DT97" i="2"/>
  <c r="DU97" i="2"/>
  <c r="DM98" i="2"/>
  <c r="DN98" i="2"/>
  <c r="DO98" i="2"/>
  <c r="DP98" i="2"/>
  <c r="DQ98" i="2"/>
  <c r="DR98" i="2"/>
  <c r="DS98" i="2"/>
  <c r="DT98" i="2"/>
  <c r="DU98" i="2"/>
  <c r="DM99" i="2"/>
  <c r="DN99" i="2"/>
  <c r="DO99" i="2"/>
  <c r="DP99" i="2"/>
  <c r="DQ99" i="2"/>
  <c r="DR99" i="2"/>
  <c r="DS99" i="2"/>
  <c r="DT99" i="2"/>
  <c r="DU99" i="2"/>
  <c r="DM100" i="2"/>
  <c r="DN100" i="2"/>
  <c r="DO100" i="2"/>
  <c r="DP100" i="2"/>
  <c r="DQ100" i="2"/>
  <c r="DR100" i="2"/>
  <c r="DS100" i="2"/>
  <c r="DT100" i="2"/>
  <c r="DU100" i="2"/>
  <c r="DM101" i="2"/>
  <c r="DN101" i="2"/>
  <c r="DO101" i="2"/>
  <c r="DP101" i="2"/>
  <c r="DQ101" i="2"/>
  <c r="DR101" i="2"/>
  <c r="DS101" i="2"/>
  <c r="DT101" i="2"/>
  <c r="DU101" i="2"/>
  <c r="DM102" i="2"/>
  <c r="DN102" i="2"/>
  <c r="DO102" i="2"/>
  <c r="DP102" i="2"/>
  <c r="DQ102" i="2"/>
  <c r="DR102" i="2"/>
  <c r="DS102" i="2"/>
  <c r="DT102" i="2"/>
  <c r="DU102" i="2"/>
  <c r="DM103" i="2"/>
  <c r="DN103" i="2"/>
  <c r="DO103" i="2"/>
  <c r="DP103" i="2"/>
  <c r="DQ103" i="2"/>
  <c r="DR103" i="2"/>
  <c r="DS103" i="2"/>
  <c r="DT103" i="2"/>
  <c r="DU103" i="2"/>
  <c r="DM104" i="2"/>
  <c r="DN104" i="2"/>
  <c r="DO104" i="2"/>
  <c r="DP104" i="2"/>
  <c r="DQ104" i="2"/>
  <c r="DR104" i="2"/>
  <c r="DS104" i="2"/>
  <c r="DT104" i="2"/>
  <c r="DU104" i="2"/>
  <c r="DM105" i="2"/>
  <c r="DN105" i="2"/>
  <c r="DO105" i="2"/>
  <c r="DP105" i="2"/>
  <c r="DQ105" i="2"/>
  <c r="DR105" i="2"/>
  <c r="DS105" i="2"/>
  <c r="DT105" i="2"/>
  <c r="DU105" i="2"/>
  <c r="DM106" i="2"/>
  <c r="DN106" i="2"/>
  <c r="DO106" i="2"/>
  <c r="DP106" i="2"/>
  <c r="DQ106" i="2"/>
  <c r="DR106" i="2"/>
  <c r="DS106" i="2"/>
  <c r="DT106" i="2"/>
  <c r="DU106" i="2"/>
  <c r="DM107" i="2"/>
  <c r="DN107" i="2"/>
  <c r="DO107" i="2"/>
  <c r="DP107" i="2"/>
  <c r="DQ107" i="2"/>
  <c r="DR107" i="2"/>
  <c r="DS107" i="2"/>
  <c r="DT107" i="2"/>
  <c r="DU107" i="2"/>
  <c r="DM108" i="2"/>
  <c r="DN108" i="2"/>
  <c r="DO108" i="2"/>
  <c r="DP108" i="2"/>
  <c r="DQ108" i="2"/>
  <c r="DR108" i="2"/>
  <c r="DS108" i="2"/>
  <c r="DT108" i="2"/>
  <c r="DU108" i="2"/>
  <c r="DM109" i="2"/>
  <c r="DN109" i="2"/>
  <c r="DO109" i="2"/>
  <c r="DP109" i="2"/>
  <c r="DQ109" i="2"/>
  <c r="DR109" i="2"/>
  <c r="DS109" i="2"/>
  <c r="DT109" i="2"/>
  <c r="DU109" i="2"/>
  <c r="DM110" i="2"/>
  <c r="DN110" i="2"/>
  <c r="DO110" i="2"/>
  <c r="DP110" i="2"/>
  <c r="DQ110" i="2"/>
  <c r="DR110" i="2"/>
  <c r="DS110" i="2"/>
  <c r="DT110" i="2"/>
  <c r="DU110" i="2"/>
  <c r="DM111" i="2"/>
  <c r="DN111" i="2"/>
  <c r="DO111" i="2"/>
  <c r="DP111" i="2"/>
  <c r="DQ111" i="2"/>
  <c r="DR111" i="2"/>
  <c r="DS111" i="2"/>
  <c r="DT111" i="2"/>
  <c r="DU111" i="2"/>
  <c r="DM112" i="2"/>
  <c r="DN112" i="2"/>
  <c r="DO112" i="2"/>
  <c r="DP112" i="2"/>
  <c r="DQ112" i="2"/>
  <c r="DR112" i="2"/>
  <c r="DS112" i="2"/>
  <c r="DT112" i="2"/>
  <c r="DU112" i="2"/>
  <c r="DM113" i="2"/>
  <c r="DN113" i="2"/>
  <c r="DO113" i="2"/>
  <c r="DP113" i="2"/>
  <c r="DQ113" i="2"/>
  <c r="DR113" i="2"/>
  <c r="DS113" i="2"/>
  <c r="DT113" i="2"/>
  <c r="DU113" i="2"/>
  <c r="DM114" i="2"/>
  <c r="DN114" i="2"/>
  <c r="DO114" i="2"/>
  <c r="DP114" i="2"/>
  <c r="DQ114" i="2"/>
  <c r="DR114" i="2"/>
  <c r="DS114" i="2"/>
  <c r="DT114" i="2"/>
  <c r="DU114" i="2"/>
  <c r="DM115" i="2"/>
  <c r="DN115" i="2"/>
  <c r="DO115" i="2"/>
  <c r="DP115" i="2"/>
  <c r="DQ115" i="2"/>
  <c r="DR115" i="2"/>
  <c r="DS115" i="2"/>
  <c r="DT115" i="2"/>
  <c r="DU115" i="2"/>
  <c r="DM116" i="2"/>
  <c r="DN116" i="2"/>
  <c r="DO116" i="2"/>
  <c r="DP116" i="2"/>
  <c r="DQ116" i="2"/>
  <c r="DR116" i="2"/>
  <c r="DS116" i="2"/>
  <c r="DT116" i="2"/>
  <c r="DU116" i="2"/>
  <c r="DM117" i="2"/>
  <c r="DN117" i="2"/>
  <c r="DO117" i="2"/>
  <c r="DP117" i="2"/>
  <c r="DQ117" i="2"/>
  <c r="DR117" i="2"/>
  <c r="DS117" i="2"/>
  <c r="DT117" i="2"/>
  <c r="DU117" i="2"/>
  <c r="DM119" i="2"/>
  <c r="DN119" i="2"/>
  <c r="DO119" i="2"/>
  <c r="DP119" i="2"/>
  <c r="DQ119" i="2"/>
  <c r="DR119" i="2"/>
  <c r="DS119" i="2"/>
  <c r="DT119" i="2"/>
  <c r="DU119" i="2"/>
  <c r="DM120" i="2"/>
  <c r="DN120" i="2"/>
  <c r="DO120" i="2"/>
  <c r="DP120" i="2"/>
  <c r="DQ120" i="2"/>
  <c r="DR120" i="2"/>
  <c r="DS120" i="2"/>
  <c r="DT120" i="2"/>
  <c r="DU120" i="2"/>
  <c r="DM121" i="2"/>
  <c r="DN121" i="2"/>
  <c r="DO121" i="2"/>
  <c r="DP121" i="2"/>
  <c r="DQ121" i="2"/>
  <c r="DR121" i="2"/>
  <c r="DS121" i="2"/>
  <c r="DT121" i="2"/>
  <c r="DU121" i="2"/>
  <c r="DM122" i="2"/>
  <c r="DN122" i="2"/>
  <c r="DO122" i="2"/>
  <c r="DP122" i="2"/>
  <c r="DQ122" i="2"/>
  <c r="DR122" i="2"/>
  <c r="DS122" i="2"/>
  <c r="DT122" i="2"/>
  <c r="DU122" i="2"/>
  <c r="DM123" i="2"/>
  <c r="DN123" i="2"/>
  <c r="DO123" i="2"/>
  <c r="DP123" i="2"/>
  <c r="DQ123" i="2"/>
  <c r="DR123" i="2"/>
  <c r="DS123" i="2"/>
  <c r="DT123" i="2"/>
  <c r="DU123" i="2"/>
  <c r="DM124" i="2"/>
  <c r="DN124" i="2"/>
  <c r="DO124" i="2"/>
  <c r="DP124" i="2"/>
  <c r="DQ124" i="2"/>
  <c r="DR124" i="2"/>
  <c r="DS124" i="2"/>
  <c r="DT124" i="2"/>
  <c r="DU124" i="2"/>
  <c r="DM125" i="2"/>
  <c r="DN125" i="2"/>
  <c r="DO125" i="2"/>
  <c r="DP125" i="2"/>
  <c r="DQ125" i="2"/>
  <c r="DR125" i="2"/>
  <c r="DS125" i="2"/>
  <c r="DT125" i="2"/>
  <c r="DU125" i="2"/>
  <c r="DM126" i="2"/>
  <c r="DN126" i="2"/>
  <c r="DO126" i="2"/>
  <c r="DP126" i="2"/>
  <c r="DQ126" i="2"/>
  <c r="DR126" i="2"/>
  <c r="DS126" i="2"/>
  <c r="DT126" i="2"/>
  <c r="DU126" i="2"/>
  <c r="DM127" i="2"/>
  <c r="DN127" i="2"/>
  <c r="DO127" i="2"/>
  <c r="DP127" i="2"/>
  <c r="DQ127" i="2"/>
  <c r="DR127" i="2"/>
  <c r="DS127" i="2"/>
  <c r="DT127" i="2"/>
  <c r="DU127" i="2"/>
  <c r="DM129" i="2"/>
  <c r="DN129" i="2"/>
  <c r="DO129" i="2"/>
  <c r="DP129" i="2"/>
  <c r="DQ129" i="2"/>
  <c r="DR129" i="2"/>
  <c r="DS129" i="2"/>
  <c r="DT129" i="2"/>
  <c r="DU129" i="2"/>
  <c r="DM130" i="2"/>
  <c r="DN130" i="2"/>
  <c r="DO130" i="2"/>
  <c r="DP130" i="2"/>
  <c r="DQ130" i="2"/>
  <c r="DR130" i="2"/>
  <c r="DS130" i="2"/>
  <c r="DT130" i="2"/>
  <c r="DU130" i="2"/>
  <c r="DM131" i="2"/>
  <c r="DN131" i="2"/>
  <c r="DO131" i="2"/>
  <c r="DP131" i="2"/>
  <c r="DQ131" i="2"/>
  <c r="DS131" i="2"/>
  <c r="DT131" i="2"/>
  <c r="DU131" i="2"/>
  <c r="DM132" i="2"/>
  <c r="DN132" i="2"/>
  <c r="DO132" i="2"/>
  <c r="DP132" i="2"/>
  <c r="DQ132" i="2"/>
  <c r="DR132" i="2"/>
  <c r="DS132" i="2"/>
  <c r="DT132" i="2"/>
  <c r="DU132" i="2"/>
  <c r="DM133" i="2"/>
  <c r="DN133" i="2"/>
  <c r="DO133" i="2"/>
  <c r="DP133" i="2"/>
  <c r="DQ133" i="2"/>
  <c r="DS133" i="2"/>
  <c r="DT133" i="2"/>
  <c r="DU133" i="2"/>
  <c r="DM134" i="2"/>
  <c r="DN134" i="2"/>
  <c r="DO134" i="2"/>
  <c r="DP134" i="2"/>
  <c r="DQ134" i="2"/>
  <c r="DS134" i="2"/>
  <c r="DT134" i="2"/>
  <c r="DU134" i="2"/>
  <c r="DM135" i="2"/>
  <c r="DN135" i="2"/>
  <c r="DO135" i="2"/>
  <c r="DP135" i="2"/>
  <c r="DQ135" i="2"/>
  <c r="DR135" i="2"/>
  <c r="DS135" i="2"/>
  <c r="DT135" i="2"/>
  <c r="DU135" i="2"/>
  <c r="DM136" i="2"/>
  <c r="DN136" i="2"/>
  <c r="DO136" i="2"/>
  <c r="DP136" i="2"/>
  <c r="DR136" i="2"/>
  <c r="DS136" i="2"/>
  <c r="DT136" i="2"/>
  <c r="DU136" i="2"/>
  <c r="DM137" i="2"/>
  <c r="DN137" i="2"/>
  <c r="DO137" i="2"/>
  <c r="DP137" i="2"/>
  <c r="DQ137" i="2"/>
  <c r="DR137" i="2"/>
  <c r="DS137" i="2"/>
  <c r="DT137" i="2"/>
  <c r="DU137" i="2"/>
  <c r="DM138" i="2"/>
  <c r="DN138" i="2"/>
  <c r="DO138" i="2"/>
  <c r="DP138" i="2"/>
  <c r="DQ138" i="2"/>
  <c r="DR138" i="2"/>
  <c r="DS138" i="2"/>
  <c r="DT138" i="2"/>
  <c r="DU138" i="2"/>
  <c r="DM139" i="2"/>
  <c r="DN139" i="2"/>
  <c r="DO139" i="2"/>
  <c r="DP139" i="2"/>
  <c r="DQ139" i="2"/>
  <c r="DR139" i="2"/>
  <c r="DS139" i="2"/>
  <c r="DT139" i="2"/>
  <c r="DU139" i="2"/>
  <c r="DM140" i="2"/>
  <c r="DN140" i="2"/>
  <c r="DO140" i="2"/>
  <c r="DP140" i="2"/>
  <c r="DQ140" i="2"/>
  <c r="DR140" i="2"/>
  <c r="DS140" i="2"/>
  <c r="DT140" i="2"/>
  <c r="DU140" i="2"/>
  <c r="DM141" i="2"/>
  <c r="DN141" i="2"/>
  <c r="DO141" i="2"/>
  <c r="DP141" i="2"/>
  <c r="DQ141" i="2"/>
  <c r="DR141" i="2"/>
  <c r="DS141" i="2"/>
  <c r="DT141" i="2"/>
  <c r="DU141" i="2"/>
  <c r="DM142" i="2"/>
  <c r="DN142" i="2"/>
  <c r="DO142" i="2"/>
  <c r="DP142" i="2"/>
  <c r="DQ142" i="2"/>
  <c r="DR142" i="2"/>
  <c r="DS142" i="2"/>
  <c r="DT142" i="2"/>
  <c r="DU142" i="2"/>
  <c r="DM143" i="2"/>
  <c r="DN143" i="2"/>
  <c r="DO143" i="2"/>
  <c r="DP143" i="2"/>
  <c r="DQ143" i="2"/>
  <c r="DS143" i="2"/>
  <c r="DT143" i="2"/>
  <c r="DU143" i="2"/>
  <c r="DM144" i="2"/>
  <c r="DN144" i="2"/>
  <c r="DO144" i="2"/>
  <c r="DP144" i="2"/>
  <c r="DQ144" i="2"/>
  <c r="DR144" i="2"/>
  <c r="DS144" i="2"/>
  <c r="DT144" i="2"/>
  <c r="DU144" i="2"/>
  <c r="DM145" i="2"/>
  <c r="DN145" i="2"/>
  <c r="DO145" i="2"/>
  <c r="DP145" i="2"/>
  <c r="DQ145" i="2"/>
  <c r="DR145" i="2"/>
  <c r="DS145" i="2"/>
  <c r="DT145" i="2"/>
  <c r="DU145" i="2"/>
  <c r="DM146" i="2"/>
  <c r="DN146" i="2"/>
  <c r="DO146" i="2"/>
  <c r="DP146" i="2"/>
  <c r="DQ146" i="2"/>
  <c r="DS146" i="2"/>
  <c r="DT146" i="2"/>
  <c r="DU146" i="2"/>
  <c r="DM147" i="2"/>
  <c r="DN147" i="2"/>
  <c r="DO147" i="2"/>
  <c r="DP147" i="2"/>
  <c r="DQ147" i="2"/>
  <c r="DR147" i="2"/>
  <c r="DS147" i="2"/>
  <c r="DT147" i="2"/>
  <c r="DU147" i="2"/>
  <c r="DM148" i="2"/>
  <c r="DN148" i="2"/>
  <c r="DO148" i="2"/>
  <c r="DP148" i="2"/>
  <c r="DQ148" i="2"/>
  <c r="DR148" i="2"/>
  <c r="DS148" i="2"/>
  <c r="DT148" i="2"/>
  <c r="DU148" i="2"/>
  <c r="DM149" i="2"/>
  <c r="DN149" i="2"/>
  <c r="DO149" i="2"/>
  <c r="DP149" i="2"/>
  <c r="DQ149" i="2"/>
  <c r="DR149" i="2"/>
  <c r="DS149" i="2"/>
  <c r="DT149" i="2"/>
  <c r="DU149" i="2"/>
  <c r="DM152" i="2"/>
  <c r="DN152" i="2"/>
  <c r="DO152" i="2"/>
  <c r="DP152" i="2"/>
  <c r="DQ152" i="2"/>
  <c r="DR152" i="2"/>
  <c r="DS152" i="2"/>
  <c r="DT152" i="2"/>
  <c r="DU152" i="2"/>
  <c r="DM153" i="2"/>
  <c r="DN153" i="2"/>
  <c r="DO153" i="2"/>
  <c r="DP153" i="2"/>
  <c r="DQ153" i="2"/>
  <c r="DR153" i="2"/>
  <c r="DS153" i="2"/>
  <c r="DT153" i="2"/>
  <c r="DU153" i="2"/>
  <c r="DM154" i="2"/>
  <c r="DN154" i="2"/>
  <c r="DO154" i="2"/>
  <c r="DP154" i="2"/>
  <c r="DQ154" i="2"/>
  <c r="DR154" i="2"/>
  <c r="DS154" i="2"/>
  <c r="DT154" i="2"/>
  <c r="DU154" i="2"/>
  <c r="DM155" i="2"/>
  <c r="DN155" i="2"/>
  <c r="DO155" i="2"/>
  <c r="DP155" i="2"/>
  <c r="DQ155" i="2"/>
  <c r="DR155" i="2"/>
  <c r="DS155" i="2"/>
  <c r="DT155" i="2"/>
  <c r="DU155" i="2"/>
  <c r="DM156" i="2"/>
  <c r="DN156" i="2"/>
  <c r="DO156" i="2"/>
  <c r="DP156" i="2"/>
  <c r="DQ156" i="2"/>
  <c r="DR156" i="2"/>
  <c r="DS156" i="2"/>
  <c r="DT156" i="2"/>
  <c r="DU156" i="2"/>
  <c r="DM157" i="2"/>
  <c r="DN157" i="2"/>
  <c r="DO157" i="2"/>
  <c r="DP157" i="2"/>
  <c r="DQ157" i="2"/>
  <c r="DR157" i="2"/>
  <c r="DS157" i="2"/>
  <c r="DT157" i="2"/>
  <c r="DU157" i="2"/>
  <c r="CO4" i="2"/>
  <c r="CQ4" i="2"/>
  <c r="CR4" i="2"/>
  <c r="CS4" i="2"/>
  <c r="CT4" i="2"/>
  <c r="CU4" i="2"/>
  <c r="CV4" i="2"/>
  <c r="DH4" i="2" s="1"/>
  <c r="CW4" i="2"/>
  <c r="DI4" i="2" s="1"/>
  <c r="CX4" i="2"/>
  <c r="DJ4" i="2" s="1"/>
  <c r="CO5" i="2"/>
  <c r="CP5" i="2"/>
  <c r="CQ5" i="2"/>
  <c r="CR5" i="2"/>
  <c r="CS5" i="2"/>
  <c r="CT5" i="2"/>
  <c r="CU5" i="2"/>
  <c r="CV5" i="2"/>
  <c r="CW5" i="2"/>
  <c r="CX5" i="2"/>
  <c r="CO21" i="2"/>
  <c r="CP21" i="2"/>
  <c r="CQ21" i="2"/>
  <c r="CR21" i="2"/>
  <c r="CS21" i="2"/>
  <c r="CT21" i="2"/>
  <c r="CU21" i="2"/>
  <c r="CV21" i="2"/>
  <c r="CW21" i="2"/>
  <c r="CX21" i="2"/>
  <c r="DJ21" i="2" s="1"/>
  <c r="CO22" i="2"/>
  <c r="DA22" i="2" s="1"/>
  <c r="CP22" i="2"/>
  <c r="DB22" i="2" s="1"/>
  <c r="CQ22" i="2"/>
  <c r="DC22" i="2" s="1"/>
  <c r="CR22" i="2"/>
  <c r="DD22" i="2" s="1"/>
  <c r="CS22" i="2"/>
  <c r="DE22" i="2" s="1"/>
  <c r="CT22" i="2"/>
  <c r="DF22" i="2" s="1"/>
  <c r="CU22" i="2"/>
  <c r="DG22" i="2" s="1"/>
  <c r="CV22" i="2"/>
  <c r="DH22" i="2" s="1"/>
  <c r="CW22" i="2"/>
  <c r="DI22" i="2" s="1"/>
  <c r="CX22" i="2"/>
  <c r="DJ22" i="2" s="1"/>
  <c r="CO23" i="2"/>
  <c r="DA23" i="2" s="1"/>
  <c r="CP23" i="2"/>
  <c r="DB23" i="2" s="1"/>
  <c r="CQ23" i="2"/>
  <c r="DC23" i="2" s="1"/>
  <c r="CR23" i="2"/>
  <c r="DD23" i="2" s="1"/>
  <c r="CS23" i="2"/>
  <c r="DE23" i="2" s="1"/>
  <c r="CT23" i="2"/>
  <c r="DF23" i="2" s="1"/>
  <c r="CU23" i="2"/>
  <c r="DG23" i="2" s="1"/>
  <c r="CV23" i="2"/>
  <c r="DH23" i="2" s="1"/>
  <c r="CW23" i="2"/>
  <c r="DI23" i="2" s="1"/>
  <c r="CO24" i="2"/>
  <c r="CP24" i="2"/>
  <c r="CQ24" i="2"/>
  <c r="CR24" i="2"/>
  <c r="DD24" i="2" s="1"/>
  <c r="CS24" i="2"/>
  <c r="DE24" i="2" s="1"/>
  <c r="CT24" i="2"/>
  <c r="DF24" i="2" s="1"/>
  <c r="CU24" i="2"/>
  <c r="DG24" i="2" s="1"/>
  <c r="CV24" i="2"/>
  <c r="DH24" i="2" s="1"/>
  <c r="CW24" i="2"/>
  <c r="DI24" i="2" s="1"/>
  <c r="CX24" i="2"/>
  <c r="DJ24" i="2" s="1"/>
  <c r="CO25" i="2"/>
  <c r="DA25" i="2" s="1"/>
  <c r="CQ25" i="2"/>
  <c r="DC25" i="2" s="1"/>
  <c r="CR25" i="2"/>
  <c r="DD25" i="2" s="1"/>
  <c r="CS25" i="2"/>
  <c r="DE25" i="2" s="1"/>
  <c r="CT25" i="2"/>
  <c r="DF25" i="2" s="1"/>
  <c r="CU25" i="2"/>
  <c r="DG25" i="2" s="1"/>
  <c r="CV25" i="2"/>
  <c r="CW25" i="2"/>
  <c r="DI25" i="2" s="1"/>
  <c r="CO26" i="2"/>
  <c r="DA26" i="2" s="1"/>
  <c r="CP26" i="2"/>
  <c r="DB26" i="2" s="1"/>
  <c r="CQ26" i="2"/>
  <c r="DC26" i="2" s="1"/>
  <c r="CR26" i="2"/>
  <c r="DD26" i="2" s="1"/>
  <c r="CS26" i="2"/>
  <c r="DE26" i="2" s="1"/>
  <c r="CT26" i="2"/>
  <c r="DF26" i="2" s="1"/>
  <c r="CU26" i="2"/>
  <c r="DG26" i="2" s="1"/>
  <c r="CV26" i="2"/>
  <c r="CW26" i="2"/>
  <c r="DI26" i="2" s="1"/>
  <c r="CO27" i="2"/>
  <c r="DA27" i="2" s="1"/>
  <c r="CP27" i="2"/>
  <c r="DB27" i="2" s="1"/>
  <c r="CQ27" i="2"/>
  <c r="DC27" i="2" s="1"/>
  <c r="CR27" i="2"/>
  <c r="DD27" i="2" s="1"/>
  <c r="CS27" i="2"/>
  <c r="DE27" i="2" s="1"/>
  <c r="CT27" i="2"/>
  <c r="DF27" i="2" s="1"/>
  <c r="CU27" i="2"/>
  <c r="DG27" i="2" s="1"/>
  <c r="CV27" i="2"/>
  <c r="DH27" i="2" s="1"/>
  <c r="CW27" i="2"/>
  <c r="DI27" i="2" s="1"/>
  <c r="CX27" i="2"/>
  <c r="DJ27" i="2" s="1"/>
  <c r="CO28" i="2"/>
  <c r="DA28" i="2" s="1"/>
  <c r="CP28" i="2"/>
  <c r="CQ28" i="2"/>
  <c r="DC28" i="2" s="1"/>
  <c r="CR28" i="2"/>
  <c r="DD28" i="2" s="1"/>
  <c r="CS28" i="2"/>
  <c r="DE28" i="2" s="1"/>
  <c r="CT28" i="2"/>
  <c r="DF28" i="2" s="1"/>
  <c r="CU28" i="2"/>
  <c r="DG28" i="2" s="1"/>
  <c r="CV28" i="2"/>
  <c r="DH28" i="2" s="1"/>
  <c r="CW28" i="2"/>
  <c r="DI28" i="2" s="1"/>
  <c r="CX28" i="2"/>
  <c r="DJ28" i="2" s="1"/>
  <c r="CO29" i="2"/>
  <c r="CP29" i="2"/>
  <c r="CQ29" i="2"/>
  <c r="CR29" i="2"/>
  <c r="CS29" i="2"/>
  <c r="CT29" i="2"/>
  <c r="CU29" i="2"/>
  <c r="CV29" i="2"/>
  <c r="CW29" i="2"/>
  <c r="CX29" i="2"/>
  <c r="CO30" i="2"/>
  <c r="DA30" i="2" s="1"/>
  <c r="CQ30" i="2"/>
  <c r="DC30" i="2" s="1"/>
  <c r="CR30" i="2"/>
  <c r="DD30" i="2" s="1"/>
  <c r="CS30" i="2"/>
  <c r="DE30" i="2" s="1"/>
  <c r="CT30" i="2"/>
  <c r="DF30" i="2" s="1"/>
  <c r="CU30" i="2"/>
  <c r="DG30" i="2" s="1"/>
  <c r="CV30" i="2"/>
  <c r="CW30" i="2"/>
  <c r="DI30" i="2" s="1"/>
  <c r="CO31" i="2"/>
  <c r="DA31" i="2" s="1"/>
  <c r="CP31" i="2"/>
  <c r="DB31" i="2" s="1"/>
  <c r="CQ31" i="2"/>
  <c r="DC31" i="2" s="1"/>
  <c r="CR31" i="2"/>
  <c r="DD31" i="2" s="1"/>
  <c r="CS31" i="2"/>
  <c r="DE31" i="2" s="1"/>
  <c r="CT31" i="2"/>
  <c r="DF31" i="2" s="1"/>
  <c r="CU31" i="2"/>
  <c r="DG31" i="2" s="1"/>
  <c r="CV31" i="2"/>
  <c r="CW31" i="2"/>
  <c r="DI31" i="2" s="1"/>
  <c r="CO32" i="2"/>
  <c r="DA32" i="2" s="1"/>
  <c r="CQ32" i="2"/>
  <c r="DC32" i="2" s="1"/>
  <c r="CR32" i="2"/>
  <c r="DD32" i="2" s="1"/>
  <c r="CS32" i="2"/>
  <c r="DE32" i="2" s="1"/>
  <c r="CT32" i="2"/>
  <c r="DF32" i="2" s="1"/>
  <c r="CU32" i="2"/>
  <c r="DG32" i="2" s="1"/>
  <c r="CV32" i="2"/>
  <c r="CW32" i="2"/>
  <c r="DI32" i="2" s="1"/>
  <c r="CO33" i="2"/>
  <c r="CP33" i="2"/>
  <c r="CQ33" i="2"/>
  <c r="CR33" i="2"/>
  <c r="CS33" i="2"/>
  <c r="CT33" i="2"/>
  <c r="CU33" i="2"/>
  <c r="CV33" i="2"/>
  <c r="CW33" i="2"/>
  <c r="CX33" i="2"/>
  <c r="CO34" i="2"/>
  <c r="DA34" i="2" s="1"/>
  <c r="CP34" i="2"/>
  <c r="DB34" i="2" s="1"/>
  <c r="CQ34" i="2"/>
  <c r="DC34" i="2" s="1"/>
  <c r="CR34" i="2"/>
  <c r="DD34" i="2" s="1"/>
  <c r="CS34" i="2"/>
  <c r="DE34" i="2" s="1"/>
  <c r="CT34" i="2"/>
  <c r="DF34" i="2" s="1"/>
  <c r="CU34" i="2"/>
  <c r="DG34" i="2" s="1"/>
  <c r="CV34" i="2"/>
  <c r="CW34" i="2"/>
  <c r="DI34" i="2" s="1"/>
  <c r="CO35" i="2"/>
  <c r="DA35" i="2" s="1"/>
  <c r="CP35" i="2"/>
  <c r="DB35" i="2" s="1"/>
  <c r="CQ35" i="2"/>
  <c r="DC35" i="2" s="1"/>
  <c r="CR35" i="2"/>
  <c r="DD35" i="2" s="1"/>
  <c r="CS35" i="2"/>
  <c r="DE35" i="2" s="1"/>
  <c r="CT35" i="2"/>
  <c r="DF35" i="2" s="1"/>
  <c r="CU35" i="2"/>
  <c r="DG35" i="2" s="1"/>
  <c r="CV35" i="2"/>
  <c r="DH35" i="2" s="1"/>
  <c r="CW35" i="2"/>
  <c r="DI35" i="2" s="1"/>
  <c r="CO36" i="2"/>
  <c r="CP36" i="2"/>
  <c r="CQ36" i="2"/>
  <c r="CR36" i="2"/>
  <c r="CS36" i="2"/>
  <c r="CT36" i="2"/>
  <c r="CU36" i="2"/>
  <c r="CV36" i="2"/>
  <c r="CW36" i="2"/>
  <c r="CO37" i="2"/>
  <c r="CP37" i="2"/>
  <c r="CQ37" i="2"/>
  <c r="CR37" i="2"/>
  <c r="CS37" i="2"/>
  <c r="CT37" i="2"/>
  <c r="CU37" i="2"/>
  <c r="CV37" i="2"/>
  <c r="CW37" i="2"/>
  <c r="CX37" i="2"/>
  <c r="CO38" i="2"/>
  <c r="CP38" i="2"/>
  <c r="CQ38" i="2"/>
  <c r="CR38" i="2"/>
  <c r="CS38" i="2"/>
  <c r="CT38" i="2"/>
  <c r="CU38" i="2"/>
  <c r="CV38" i="2"/>
  <c r="CW38" i="2"/>
  <c r="CX38" i="2"/>
  <c r="CO39" i="2"/>
  <c r="DA39" i="2" s="1"/>
  <c r="CP39" i="2"/>
  <c r="DB39" i="2" s="1"/>
  <c r="CQ39" i="2"/>
  <c r="DC39" i="2" s="1"/>
  <c r="CR39" i="2"/>
  <c r="DD39" i="2" s="1"/>
  <c r="CS39" i="2"/>
  <c r="DE39" i="2" s="1"/>
  <c r="CT39" i="2"/>
  <c r="DF39" i="2" s="1"/>
  <c r="CU39" i="2"/>
  <c r="DG39" i="2" s="1"/>
  <c r="CV39" i="2"/>
  <c r="CW39" i="2"/>
  <c r="DI39" i="2" s="1"/>
  <c r="CO40" i="2"/>
  <c r="DA40" i="2" s="1"/>
  <c r="CP40" i="2"/>
  <c r="DB40" i="2" s="1"/>
  <c r="CQ40" i="2"/>
  <c r="DC40" i="2" s="1"/>
  <c r="CR40" i="2"/>
  <c r="DD40" i="2" s="1"/>
  <c r="CS40" i="2"/>
  <c r="DE40" i="2" s="1"/>
  <c r="CT40" i="2"/>
  <c r="DF40" i="2" s="1"/>
  <c r="CU40" i="2"/>
  <c r="DG40" i="2" s="1"/>
  <c r="CW40" i="2"/>
  <c r="DI40" i="2" s="1"/>
  <c r="CO41" i="2"/>
  <c r="CP41" i="2"/>
  <c r="CQ41" i="2"/>
  <c r="CR41" i="2"/>
  <c r="CS41" i="2"/>
  <c r="CT41" i="2"/>
  <c r="CU41" i="2"/>
  <c r="DG41" i="2" s="1"/>
  <c r="CV41" i="2"/>
  <c r="DH41" i="2" s="1"/>
  <c r="CW41" i="2"/>
  <c r="DI41" i="2" s="1"/>
  <c r="CX41" i="2"/>
  <c r="DJ41" i="2" s="1"/>
  <c r="CO44" i="2"/>
  <c r="DA44" i="2" s="1"/>
  <c r="CP44" i="2"/>
  <c r="DB44" i="2" s="1"/>
  <c r="CQ44" i="2"/>
  <c r="DC44" i="2" s="1"/>
  <c r="CR44" i="2"/>
  <c r="DD44" i="2" s="1"/>
  <c r="CS44" i="2"/>
  <c r="DE44" i="2" s="1"/>
  <c r="CT44" i="2"/>
  <c r="DF44" i="2" s="1"/>
  <c r="CU44" i="2"/>
  <c r="DG44" i="2" s="1"/>
  <c r="CV44" i="2"/>
  <c r="CW44" i="2"/>
  <c r="DI44" i="2" s="1"/>
  <c r="CO45" i="2"/>
  <c r="CP45" i="2"/>
  <c r="CQ45" i="2"/>
  <c r="CR45" i="2"/>
  <c r="CS45" i="2"/>
  <c r="CT45" i="2"/>
  <c r="CU45" i="2"/>
  <c r="CV45" i="2"/>
  <c r="CW45" i="2"/>
  <c r="CX45" i="2"/>
  <c r="DJ45" i="2" s="1"/>
  <c r="CO6" i="2"/>
  <c r="DA6" i="2" s="1"/>
  <c r="CQ6" i="2"/>
  <c r="DC6" i="2" s="1"/>
  <c r="CR6" i="2"/>
  <c r="DD6" i="2" s="1"/>
  <c r="CS6" i="2"/>
  <c r="DE6" i="2" s="1"/>
  <c r="CT6" i="2"/>
  <c r="DF6" i="2" s="1"/>
  <c r="CU6" i="2"/>
  <c r="DG6" i="2" s="1"/>
  <c r="CV6" i="2"/>
  <c r="CW6" i="2"/>
  <c r="DI6" i="2" s="1"/>
  <c r="CO7" i="2"/>
  <c r="CP7" i="2"/>
  <c r="CQ7" i="2"/>
  <c r="CR7" i="2"/>
  <c r="DD7" i="2" s="1"/>
  <c r="CS7" i="2"/>
  <c r="DE7" i="2" s="1"/>
  <c r="CT7" i="2"/>
  <c r="DF7" i="2" s="1"/>
  <c r="CU7" i="2"/>
  <c r="DG7" i="2" s="1"/>
  <c r="CV7" i="2"/>
  <c r="DH7" i="2" s="1"/>
  <c r="CW7" i="2"/>
  <c r="DI7" i="2" s="1"/>
  <c r="CX7" i="2"/>
  <c r="DJ7" i="2" s="1"/>
  <c r="CO8" i="2"/>
  <c r="CP8" i="2"/>
  <c r="CQ8" i="2"/>
  <c r="CR8" i="2"/>
  <c r="CS8" i="2"/>
  <c r="CT8" i="2"/>
  <c r="CU8" i="2"/>
  <c r="CV8" i="2"/>
  <c r="CW8" i="2"/>
  <c r="CX8" i="2"/>
  <c r="CO9" i="2"/>
  <c r="CP9" i="2"/>
  <c r="CQ9" i="2"/>
  <c r="CR9" i="2"/>
  <c r="DD9" i="2" s="1"/>
  <c r="CS9" i="2"/>
  <c r="DE9" i="2" s="1"/>
  <c r="CT9" i="2"/>
  <c r="DF9" i="2" s="1"/>
  <c r="CU9" i="2"/>
  <c r="DG9" i="2" s="1"/>
  <c r="CV9" i="2"/>
  <c r="DH9" i="2" s="1"/>
  <c r="CW9" i="2"/>
  <c r="DI9" i="2" s="1"/>
  <c r="CX9" i="2"/>
  <c r="DJ9" i="2" s="1"/>
  <c r="CO10" i="2"/>
  <c r="CP10" i="2"/>
  <c r="CQ10" i="2"/>
  <c r="CR10" i="2"/>
  <c r="CS10" i="2"/>
  <c r="CT10" i="2"/>
  <c r="CU10" i="2"/>
  <c r="CV10" i="2"/>
  <c r="CW10" i="2"/>
  <c r="CX10" i="2"/>
  <c r="DJ10" i="2" s="1"/>
  <c r="CO11" i="2"/>
  <c r="CP11" i="2"/>
  <c r="CQ11" i="2"/>
  <c r="CR11" i="2"/>
  <c r="CS11" i="2"/>
  <c r="CT11" i="2"/>
  <c r="CU11" i="2"/>
  <c r="CV11" i="2"/>
  <c r="CW11" i="2"/>
  <c r="CX11" i="2"/>
  <c r="CO12" i="2"/>
  <c r="DA12" i="2" s="1"/>
  <c r="CQ12" i="2"/>
  <c r="DC12" i="2" s="1"/>
  <c r="CR12" i="2"/>
  <c r="DD12" i="2" s="1"/>
  <c r="CS12" i="2"/>
  <c r="DE12" i="2" s="1"/>
  <c r="CT12" i="2"/>
  <c r="DF12" i="2" s="1"/>
  <c r="CU12" i="2"/>
  <c r="DG12" i="2" s="1"/>
  <c r="CV12" i="2"/>
  <c r="CW12" i="2"/>
  <c r="DI12" i="2" s="1"/>
  <c r="CO13" i="2"/>
  <c r="DA13" i="2" s="1"/>
  <c r="CP13" i="2"/>
  <c r="DB13" i="2" s="1"/>
  <c r="CQ13" i="2"/>
  <c r="DC13" i="2" s="1"/>
  <c r="CR13" i="2"/>
  <c r="DD13" i="2" s="1"/>
  <c r="CS13" i="2"/>
  <c r="DE13" i="2" s="1"/>
  <c r="CT13" i="2"/>
  <c r="DF13" i="2" s="1"/>
  <c r="CU13" i="2"/>
  <c r="DG13" i="2" s="1"/>
  <c r="CV13" i="2"/>
  <c r="CW13" i="2"/>
  <c r="DI13" i="2" s="1"/>
  <c r="CO14" i="2"/>
  <c r="DA14" i="2" s="1"/>
  <c r="CP14" i="2"/>
  <c r="DB14" i="2" s="1"/>
  <c r="CQ14" i="2"/>
  <c r="DC14" i="2" s="1"/>
  <c r="CR14" i="2"/>
  <c r="DD14" i="2" s="1"/>
  <c r="CS14" i="2"/>
  <c r="DE14" i="2" s="1"/>
  <c r="CT14" i="2"/>
  <c r="DF14" i="2" s="1"/>
  <c r="CU14" i="2"/>
  <c r="DG14" i="2" s="1"/>
  <c r="CV14" i="2"/>
  <c r="DH14" i="2" s="1"/>
  <c r="CW14" i="2"/>
  <c r="DI14" i="2" s="1"/>
  <c r="CX14" i="2"/>
  <c r="DJ14" i="2" s="1"/>
  <c r="CO15" i="2"/>
  <c r="CP15" i="2"/>
  <c r="CQ15" i="2"/>
  <c r="CR15" i="2"/>
  <c r="CS15" i="2"/>
  <c r="CT15" i="2"/>
  <c r="CU15" i="2"/>
  <c r="CV15" i="2"/>
  <c r="CW15" i="2"/>
  <c r="CX15" i="2"/>
  <c r="CO16" i="2"/>
  <c r="CP16" i="2"/>
  <c r="CQ16" i="2"/>
  <c r="CR16" i="2"/>
  <c r="CS16" i="2"/>
  <c r="CT16" i="2"/>
  <c r="CU16" i="2"/>
  <c r="CV16" i="2"/>
  <c r="CW16" i="2"/>
  <c r="CX16" i="2"/>
  <c r="CO17" i="2"/>
  <c r="CP17" i="2"/>
  <c r="CQ17" i="2"/>
  <c r="CR17" i="2"/>
  <c r="CS17" i="2"/>
  <c r="CT17" i="2"/>
  <c r="CU17" i="2"/>
  <c r="CV17" i="2"/>
  <c r="CW17" i="2"/>
  <c r="CX17" i="2"/>
  <c r="CO18" i="2"/>
  <c r="DA18" i="2" s="1"/>
  <c r="CP18" i="2"/>
  <c r="DB18" i="2" s="1"/>
  <c r="CQ18" i="2"/>
  <c r="DC18" i="2" s="1"/>
  <c r="CR18" i="2"/>
  <c r="DD18" i="2" s="1"/>
  <c r="CS18" i="2"/>
  <c r="DE18" i="2" s="1"/>
  <c r="CT18" i="2"/>
  <c r="DF18" i="2" s="1"/>
  <c r="CU18" i="2"/>
  <c r="DG18" i="2" s="1"/>
  <c r="CV18" i="2"/>
  <c r="DH18" i="2" s="1"/>
  <c r="CW18" i="2"/>
  <c r="DI18" i="2" s="1"/>
  <c r="CX18" i="2"/>
  <c r="DJ18" i="2" s="1"/>
  <c r="CO19" i="2"/>
  <c r="CP19" i="2"/>
  <c r="CQ19" i="2"/>
  <c r="CR19" i="2"/>
  <c r="CS19" i="2"/>
  <c r="CT19" i="2"/>
  <c r="CU19" i="2"/>
  <c r="CV19" i="2"/>
  <c r="CW19" i="2"/>
  <c r="CX19" i="2"/>
  <c r="DJ19" i="2" s="1"/>
  <c r="CO20" i="2"/>
  <c r="CP20" i="2"/>
  <c r="CQ20" i="2"/>
  <c r="CR20" i="2"/>
  <c r="CS20" i="2"/>
  <c r="CT20" i="2"/>
  <c r="CU20" i="2"/>
  <c r="CV20" i="2"/>
  <c r="CW20" i="2"/>
  <c r="CX20" i="2"/>
  <c r="CO46" i="2"/>
  <c r="DA46" i="2" s="1"/>
  <c r="CQ46" i="2"/>
  <c r="DC46" i="2" s="1"/>
  <c r="CR46" i="2"/>
  <c r="DD46" i="2" s="1"/>
  <c r="CS46" i="2"/>
  <c r="DE46" i="2" s="1"/>
  <c r="CT46" i="2"/>
  <c r="DF46" i="2" s="1"/>
  <c r="CU46" i="2"/>
  <c r="DG46" i="2" s="1"/>
  <c r="CV46" i="2"/>
  <c r="CW46" i="2"/>
  <c r="DI46" i="2" s="1"/>
  <c r="CO47" i="2"/>
  <c r="DA47" i="2" s="1"/>
  <c r="CQ47" i="2"/>
  <c r="DC47" i="2" s="1"/>
  <c r="CR47" i="2"/>
  <c r="DD47" i="2" s="1"/>
  <c r="CS47" i="2"/>
  <c r="DE47" i="2" s="1"/>
  <c r="CT47" i="2"/>
  <c r="DF47" i="2" s="1"/>
  <c r="CU47" i="2"/>
  <c r="DG47" i="2" s="1"/>
  <c r="CV47" i="2"/>
  <c r="CW47" i="2"/>
  <c r="DI47" i="2" s="1"/>
  <c r="CO48" i="2"/>
  <c r="CP48" i="2"/>
  <c r="CQ48" i="2"/>
  <c r="CR48" i="2"/>
  <c r="CS48" i="2"/>
  <c r="CT48" i="2"/>
  <c r="CU48" i="2"/>
  <c r="CV48" i="2"/>
  <c r="CW48" i="2"/>
  <c r="DI48" i="2" s="1"/>
  <c r="CO49" i="2"/>
  <c r="CP49" i="2"/>
  <c r="CQ49" i="2"/>
  <c r="CR49" i="2"/>
  <c r="CS49" i="2"/>
  <c r="DE49" i="2" s="1"/>
  <c r="CT49" i="2"/>
  <c r="DF49" i="2" s="1"/>
  <c r="CU49" i="2"/>
  <c r="DG49" i="2" s="1"/>
  <c r="CV49" i="2"/>
  <c r="DH49" i="2" s="1"/>
  <c r="CW49" i="2"/>
  <c r="DI49" i="2" s="1"/>
  <c r="CX49" i="2"/>
  <c r="DJ49" i="2" s="1"/>
  <c r="CO50" i="2"/>
  <c r="CP50" i="2"/>
  <c r="CQ50" i="2"/>
  <c r="CR50" i="2"/>
  <c r="CS50" i="2"/>
  <c r="CT50" i="2"/>
  <c r="CU50" i="2"/>
  <c r="DG50" i="2" s="1"/>
  <c r="CV50" i="2"/>
  <c r="DH50" i="2" s="1"/>
  <c r="CW50" i="2"/>
  <c r="DI50" i="2" s="1"/>
  <c r="CO51" i="2"/>
  <c r="CP51" i="2"/>
  <c r="CQ51" i="2"/>
  <c r="CR51" i="2"/>
  <c r="CS51" i="2"/>
  <c r="CT51" i="2"/>
  <c r="CU51" i="2"/>
  <c r="DG51" i="2" s="1"/>
  <c r="CV51" i="2"/>
  <c r="DH51" i="2" s="1"/>
  <c r="CW51" i="2"/>
  <c r="DI51" i="2" s="1"/>
  <c r="CO52" i="2"/>
  <c r="DA52" i="2" s="1"/>
  <c r="CP52" i="2"/>
  <c r="DB52" i="2" s="1"/>
  <c r="CQ52" i="2"/>
  <c r="DC52" i="2" s="1"/>
  <c r="CR52" i="2"/>
  <c r="DD52" i="2" s="1"/>
  <c r="CS52" i="2"/>
  <c r="DE52" i="2" s="1"/>
  <c r="CT52" i="2"/>
  <c r="DF52" i="2" s="1"/>
  <c r="CU52" i="2"/>
  <c r="DG52" i="2" s="1"/>
  <c r="CV52" i="2"/>
  <c r="DH52" i="2" s="1"/>
  <c r="CW52" i="2"/>
  <c r="DI52" i="2" s="1"/>
  <c r="CX52" i="2"/>
  <c r="DJ52" i="2" s="1"/>
  <c r="CO53" i="2"/>
  <c r="DA53" i="2" s="1"/>
  <c r="CP53" i="2"/>
  <c r="DB53" i="2" s="1"/>
  <c r="CQ53" i="2"/>
  <c r="DC53" i="2" s="1"/>
  <c r="CR53" i="2"/>
  <c r="DD53" i="2" s="1"/>
  <c r="CS53" i="2"/>
  <c r="DE53" i="2" s="1"/>
  <c r="CT53" i="2"/>
  <c r="DF53" i="2" s="1"/>
  <c r="CU53" i="2"/>
  <c r="DG53" i="2" s="1"/>
  <c r="CV53" i="2"/>
  <c r="CW53" i="2"/>
  <c r="DI53" i="2" s="1"/>
  <c r="CO54" i="2"/>
  <c r="DA54" i="2" s="1"/>
  <c r="CP54" i="2"/>
  <c r="DB54" i="2" s="1"/>
  <c r="CQ54" i="2"/>
  <c r="DC54" i="2" s="1"/>
  <c r="CR54" i="2"/>
  <c r="DD54" i="2" s="1"/>
  <c r="CS54" i="2"/>
  <c r="DE54" i="2" s="1"/>
  <c r="CT54" i="2"/>
  <c r="DF54" i="2" s="1"/>
  <c r="CU54" i="2"/>
  <c r="DG54" i="2" s="1"/>
  <c r="CV54" i="2"/>
  <c r="CW54" i="2"/>
  <c r="DI54" i="2" s="1"/>
  <c r="CO55" i="2"/>
  <c r="DA55" i="2" s="1"/>
  <c r="CQ55" i="2"/>
  <c r="DC55" i="2" s="1"/>
  <c r="CR55" i="2"/>
  <c r="DD55" i="2" s="1"/>
  <c r="CS55" i="2"/>
  <c r="DE55" i="2" s="1"/>
  <c r="CT55" i="2"/>
  <c r="DF55" i="2" s="1"/>
  <c r="CU55" i="2"/>
  <c r="DG55" i="2" s="1"/>
  <c r="CV55" i="2"/>
  <c r="CW55" i="2"/>
  <c r="DI55" i="2" s="1"/>
  <c r="CO56" i="2"/>
  <c r="DA56" i="2" s="1"/>
  <c r="CP56" i="2"/>
  <c r="DB56" i="2" s="1"/>
  <c r="CQ56" i="2"/>
  <c r="DC56" i="2" s="1"/>
  <c r="CR56" i="2"/>
  <c r="DD56" i="2" s="1"/>
  <c r="CS56" i="2"/>
  <c r="DE56" i="2" s="1"/>
  <c r="CT56" i="2"/>
  <c r="DF56" i="2" s="1"/>
  <c r="CU56" i="2"/>
  <c r="DG56" i="2" s="1"/>
  <c r="CV56" i="2"/>
  <c r="CW56" i="2"/>
  <c r="DI56" i="2" s="1"/>
  <c r="CO57" i="2"/>
  <c r="DA57" i="2" s="1"/>
  <c r="CP57" i="2"/>
  <c r="DB57" i="2" s="1"/>
  <c r="CQ57" i="2"/>
  <c r="DC57" i="2" s="1"/>
  <c r="CR57" i="2"/>
  <c r="DD57" i="2" s="1"/>
  <c r="CS57" i="2"/>
  <c r="DE57" i="2" s="1"/>
  <c r="CT57" i="2"/>
  <c r="DF57" i="2" s="1"/>
  <c r="CU57" i="2"/>
  <c r="DG57" i="2" s="1"/>
  <c r="CV57" i="2"/>
  <c r="CW57" i="2"/>
  <c r="DI57" i="2" s="1"/>
  <c r="CO58" i="2"/>
  <c r="DA58" i="2" s="1"/>
  <c r="CP58" i="2"/>
  <c r="DB58" i="2" s="1"/>
  <c r="CQ58" i="2"/>
  <c r="DC58" i="2" s="1"/>
  <c r="CR58" i="2"/>
  <c r="DD58" i="2" s="1"/>
  <c r="CS58" i="2"/>
  <c r="DE58" i="2" s="1"/>
  <c r="CT58" i="2"/>
  <c r="DF58" i="2" s="1"/>
  <c r="CU58" i="2"/>
  <c r="DG58" i="2" s="1"/>
  <c r="CV58" i="2"/>
  <c r="DH58" i="2" s="1"/>
  <c r="CW58" i="2"/>
  <c r="DI58" i="2" s="1"/>
  <c r="CO59" i="2"/>
  <c r="DA59" i="2" s="1"/>
  <c r="CP59" i="2"/>
  <c r="DB59" i="2" s="1"/>
  <c r="CQ59" i="2"/>
  <c r="DC59" i="2" s="1"/>
  <c r="CR59" i="2"/>
  <c r="DD59" i="2" s="1"/>
  <c r="CS59" i="2"/>
  <c r="DE59" i="2" s="1"/>
  <c r="CT59" i="2"/>
  <c r="DF59" i="2" s="1"/>
  <c r="CU59" i="2"/>
  <c r="DG59" i="2" s="1"/>
  <c r="CV59" i="2"/>
  <c r="DH59" i="2" s="1"/>
  <c r="CW59" i="2"/>
  <c r="DI59" i="2" s="1"/>
  <c r="CO60" i="2"/>
  <c r="DA60" i="2" s="1"/>
  <c r="CP60" i="2"/>
  <c r="DB60" i="2" s="1"/>
  <c r="CQ60" i="2"/>
  <c r="DC60" i="2" s="1"/>
  <c r="CR60" i="2"/>
  <c r="DD60" i="2" s="1"/>
  <c r="CS60" i="2"/>
  <c r="DE60" i="2" s="1"/>
  <c r="CT60" i="2"/>
  <c r="DF60" i="2" s="1"/>
  <c r="CU60" i="2"/>
  <c r="DG60" i="2" s="1"/>
  <c r="CV60" i="2"/>
  <c r="CW60" i="2"/>
  <c r="DI60" i="2" s="1"/>
  <c r="CO61" i="2"/>
  <c r="DA61" i="2" s="1"/>
  <c r="CP61" i="2"/>
  <c r="DB61" i="2" s="1"/>
  <c r="CQ61" i="2"/>
  <c r="DC61" i="2" s="1"/>
  <c r="CR61" i="2"/>
  <c r="DD61" i="2" s="1"/>
  <c r="CS61" i="2"/>
  <c r="DE61" i="2" s="1"/>
  <c r="CT61" i="2"/>
  <c r="DF61" i="2" s="1"/>
  <c r="CU61" i="2"/>
  <c r="DG61" i="2" s="1"/>
  <c r="CV61" i="2"/>
  <c r="CW61" i="2"/>
  <c r="DI61" i="2" s="1"/>
  <c r="CO62" i="2"/>
  <c r="DA62" i="2" s="1"/>
  <c r="CP62" i="2"/>
  <c r="DB62" i="2" s="1"/>
  <c r="CQ62" i="2"/>
  <c r="DC62" i="2" s="1"/>
  <c r="CR62" i="2"/>
  <c r="DD62" i="2" s="1"/>
  <c r="CS62" i="2"/>
  <c r="DE62" i="2" s="1"/>
  <c r="CT62" i="2"/>
  <c r="DF62" i="2" s="1"/>
  <c r="CU62" i="2"/>
  <c r="DG62" i="2" s="1"/>
  <c r="CV62" i="2"/>
  <c r="DH62" i="2" s="1"/>
  <c r="CW62" i="2"/>
  <c r="DI62" i="2" s="1"/>
  <c r="CO63" i="2"/>
  <c r="DA63" i="2" s="1"/>
  <c r="CP63" i="2"/>
  <c r="DB63" i="2" s="1"/>
  <c r="CQ63" i="2"/>
  <c r="DC63" i="2" s="1"/>
  <c r="CR63" i="2"/>
  <c r="DD63" i="2" s="1"/>
  <c r="CS63" i="2"/>
  <c r="DE63" i="2" s="1"/>
  <c r="CT63" i="2"/>
  <c r="DF63" i="2" s="1"/>
  <c r="CU63" i="2"/>
  <c r="DG63" i="2" s="1"/>
  <c r="CV63" i="2"/>
  <c r="CW63" i="2"/>
  <c r="DI63" i="2" s="1"/>
  <c r="CO64" i="2"/>
  <c r="DA64" i="2" s="1"/>
  <c r="CQ64" i="2"/>
  <c r="DC64" i="2" s="1"/>
  <c r="CR64" i="2"/>
  <c r="DD64" i="2" s="1"/>
  <c r="CS64" i="2"/>
  <c r="DE64" i="2" s="1"/>
  <c r="CT64" i="2"/>
  <c r="DF64" i="2" s="1"/>
  <c r="CU64" i="2"/>
  <c r="DG64" i="2" s="1"/>
  <c r="CV64" i="2"/>
  <c r="DH64" i="2" s="1"/>
  <c r="CW64" i="2"/>
  <c r="DI64" i="2" s="1"/>
  <c r="CO65" i="2"/>
  <c r="DA65" i="2" s="1"/>
  <c r="CQ65" i="2"/>
  <c r="DC65" i="2" s="1"/>
  <c r="CR65" i="2"/>
  <c r="DD65" i="2" s="1"/>
  <c r="CS65" i="2"/>
  <c r="DE65" i="2" s="1"/>
  <c r="CT65" i="2"/>
  <c r="DF65" i="2" s="1"/>
  <c r="CU65" i="2"/>
  <c r="DG65" i="2" s="1"/>
  <c r="CV65" i="2"/>
  <c r="CW65" i="2"/>
  <c r="DI65" i="2" s="1"/>
  <c r="CO69" i="2"/>
  <c r="CP69" i="2"/>
  <c r="CQ69" i="2"/>
  <c r="CR69" i="2"/>
  <c r="CS69" i="2"/>
  <c r="CT69" i="2"/>
  <c r="CU69" i="2"/>
  <c r="CV69" i="2"/>
  <c r="CW69" i="2"/>
  <c r="CX69" i="2"/>
  <c r="CO70" i="2"/>
  <c r="CP70" i="2"/>
  <c r="CQ70" i="2"/>
  <c r="CR70" i="2"/>
  <c r="CS70" i="2"/>
  <c r="CT70" i="2"/>
  <c r="CU70" i="2"/>
  <c r="CV70" i="2"/>
  <c r="CW70" i="2"/>
  <c r="CX70" i="2"/>
  <c r="CO71" i="2"/>
  <c r="DA71" i="2" s="1"/>
  <c r="CQ71" i="2"/>
  <c r="DC71" i="2" s="1"/>
  <c r="CR71" i="2"/>
  <c r="DD71" i="2" s="1"/>
  <c r="CS71" i="2"/>
  <c r="DE71" i="2" s="1"/>
  <c r="CT71" i="2"/>
  <c r="DF71" i="2" s="1"/>
  <c r="CU71" i="2"/>
  <c r="DG71" i="2" s="1"/>
  <c r="CV71" i="2"/>
  <c r="CW71" i="2"/>
  <c r="DI71" i="2" s="1"/>
  <c r="CO72" i="2"/>
  <c r="DA72" i="2" s="1"/>
  <c r="CP72" i="2"/>
  <c r="DB72" i="2" s="1"/>
  <c r="CQ72" i="2"/>
  <c r="DC72" i="2" s="1"/>
  <c r="CR72" i="2"/>
  <c r="DD72" i="2" s="1"/>
  <c r="CS72" i="2"/>
  <c r="DE72" i="2" s="1"/>
  <c r="CT72" i="2"/>
  <c r="DF72" i="2" s="1"/>
  <c r="CU72" i="2"/>
  <c r="DG72" i="2" s="1"/>
  <c r="CV72" i="2"/>
  <c r="CW72" i="2"/>
  <c r="DI72" i="2" s="1"/>
  <c r="CO73" i="2"/>
  <c r="CP73" i="2"/>
  <c r="CQ73" i="2"/>
  <c r="CR73" i="2"/>
  <c r="DD73" i="2" s="1"/>
  <c r="CS73" i="2"/>
  <c r="DE73" i="2" s="1"/>
  <c r="CT73" i="2"/>
  <c r="DF73" i="2" s="1"/>
  <c r="CU73" i="2"/>
  <c r="DG73" i="2" s="1"/>
  <c r="CV73" i="2"/>
  <c r="DH73" i="2" s="1"/>
  <c r="CW73" i="2"/>
  <c r="DI73" i="2" s="1"/>
  <c r="CX73" i="2"/>
  <c r="DJ73" i="2" s="1"/>
  <c r="CO74" i="2"/>
  <c r="DA74" i="2" s="1"/>
  <c r="CQ74" i="2"/>
  <c r="DC74" i="2" s="1"/>
  <c r="CR74" i="2"/>
  <c r="DD74" i="2" s="1"/>
  <c r="CS74" i="2"/>
  <c r="DE74" i="2" s="1"/>
  <c r="CT74" i="2"/>
  <c r="DF74" i="2" s="1"/>
  <c r="CU74" i="2"/>
  <c r="DG74" i="2" s="1"/>
  <c r="CV74" i="2"/>
  <c r="CW74" i="2"/>
  <c r="DI74" i="2" s="1"/>
  <c r="CO75" i="2"/>
  <c r="CP75" i="2"/>
  <c r="DB75" i="2" s="1"/>
  <c r="CQ75" i="2"/>
  <c r="DC75" i="2" s="1"/>
  <c r="CR75" i="2"/>
  <c r="DD75" i="2" s="1"/>
  <c r="CS75" i="2"/>
  <c r="DE75" i="2" s="1"/>
  <c r="CT75" i="2"/>
  <c r="DF75" i="2" s="1"/>
  <c r="CU75" i="2"/>
  <c r="DG75" i="2" s="1"/>
  <c r="CV75" i="2"/>
  <c r="DH75" i="2" s="1"/>
  <c r="CW75" i="2"/>
  <c r="DI75" i="2" s="1"/>
  <c r="CX75" i="2"/>
  <c r="DJ75" i="2" s="1"/>
  <c r="CO76" i="2"/>
  <c r="DA76" i="2" s="1"/>
  <c r="CP76" i="2"/>
  <c r="DB76" i="2" s="1"/>
  <c r="CQ76" i="2"/>
  <c r="DC76" i="2" s="1"/>
  <c r="CR76" i="2"/>
  <c r="DD76" i="2" s="1"/>
  <c r="CS76" i="2"/>
  <c r="DE76" i="2" s="1"/>
  <c r="CT76" i="2"/>
  <c r="DF76" i="2" s="1"/>
  <c r="CU76" i="2"/>
  <c r="DG76" i="2" s="1"/>
  <c r="CV76" i="2"/>
  <c r="DH76" i="2" s="1"/>
  <c r="CW76" i="2"/>
  <c r="DI76" i="2" s="1"/>
  <c r="CO77" i="2"/>
  <c r="DA77" i="2" s="1"/>
  <c r="CP77" i="2"/>
  <c r="DB77" i="2" s="1"/>
  <c r="CQ77" i="2"/>
  <c r="DC77" i="2" s="1"/>
  <c r="CR77" i="2"/>
  <c r="DD77" i="2" s="1"/>
  <c r="CS77" i="2"/>
  <c r="DE77" i="2" s="1"/>
  <c r="CT77" i="2"/>
  <c r="DF77" i="2" s="1"/>
  <c r="CU77" i="2"/>
  <c r="DG77" i="2" s="1"/>
  <c r="CV77" i="2"/>
  <c r="DH77" i="2" s="1"/>
  <c r="CW77" i="2"/>
  <c r="DI77" i="2" s="1"/>
  <c r="CX77" i="2"/>
  <c r="DJ77" i="2" s="1"/>
  <c r="CO78" i="2"/>
  <c r="CP78" i="2"/>
  <c r="CQ78" i="2"/>
  <c r="CR78" i="2"/>
  <c r="DD78" i="2" s="1"/>
  <c r="CS78" i="2"/>
  <c r="DE78" i="2" s="1"/>
  <c r="CT78" i="2"/>
  <c r="DF78" i="2" s="1"/>
  <c r="CU78" i="2"/>
  <c r="DG78" i="2" s="1"/>
  <c r="CV78" i="2"/>
  <c r="DH78" i="2" s="1"/>
  <c r="CW78" i="2"/>
  <c r="DI78" i="2" s="1"/>
  <c r="CX78" i="2"/>
  <c r="DJ78" i="2" s="1"/>
  <c r="CO79" i="2"/>
  <c r="DA79" i="2" s="1"/>
  <c r="CQ79" i="2"/>
  <c r="DC79" i="2" s="1"/>
  <c r="CR79" i="2"/>
  <c r="DD79" i="2" s="1"/>
  <c r="CS79" i="2"/>
  <c r="DE79" i="2" s="1"/>
  <c r="CT79" i="2"/>
  <c r="DF79" i="2" s="1"/>
  <c r="CU79" i="2"/>
  <c r="DG79" i="2" s="1"/>
  <c r="CV79" i="2"/>
  <c r="CW79" i="2"/>
  <c r="DI79" i="2" s="1"/>
  <c r="CO80" i="2"/>
  <c r="DA80" i="2" s="1"/>
  <c r="CQ80" i="2"/>
  <c r="DC80" i="2" s="1"/>
  <c r="CR80" i="2"/>
  <c r="DD80" i="2" s="1"/>
  <c r="CS80" i="2"/>
  <c r="DE80" i="2" s="1"/>
  <c r="CT80" i="2"/>
  <c r="DF80" i="2" s="1"/>
  <c r="CU80" i="2"/>
  <c r="DG80" i="2" s="1"/>
  <c r="CV80" i="2"/>
  <c r="CW80" i="2"/>
  <c r="DI80" i="2" s="1"/>
  <c r="CO81" i="2"/>
  <c r="DA81" i="2" s="1"/>
  <c r="CQ81" i="2"/>
  <c r="DC81" i="2" s="1"/>
  <c r="CR81" i="2"/>
  <c r="DD81" i="2" s="1"/>
  <c r="CS81" i="2"/>
  <c r="DE81" i="2" s="1"/>
  <c r="CT81" i="2"/>
  <c r="DF81" i="2" s="1"/>
  <c r="CU81" i="2"/>
  <c r="DG81" i="2" s="1"/>
  <c r="CV81" i="2"/>
  <c r="CW81" i="2"/>
  <c r="DI81" i="2" s="1"/>
  <c r="CO82" i="2"/>
  <c r="DA82" i="2" s="1"/>
  <c r="CP82" i="2"/>
  <c r="DB82" i="2" s="1"/>
  <c r="CQ82" i="2"/>
  <c r="DC82" i="2" s="1"/>
  <c r="CR82" i="2"/>
  <c r="DD82" i="2" s="1"/>
  <c r="CS82" i="2"/>
  <c r="DE82" i="2" s="1"/>
  <c r="CT82" i="2"/>
  <c r="DF82" i="2" s="1"/>
  <c r="CU82" i="2"/>
  <c r="DG82" i="2" s="1"/>
  <c r="CV82" i="2"/>
  <c r="CW82" i="2"/>
  <c r="DI82" i="2" s="1"/>
  <c r="CO83" i="2"/>
  <c r="DA83" i="2" s="1"/>
  <c r="CQ83" i="2"/>
  <c r="DC83" i="2" s="1"/>
  <c r="CR83" i="2"/>
  <c r="DD83" i="2" s="1"/>
  <c r="CS83" i="2"/>
  <c r="DE83" i="2" s="1"/>
  <c r="CT83" i="2"/>
  <c r="DF83" i="2" s="1"/>
  <c r="CU83" i="2"/>
  <c r="DG83" i="2" s="1"/>
  <c r="CV83" i="2"/>
  <c r="CW83" i="2"/>
  <c r="DI83" i="2" s="1"/>
  <c r="CO84" i="2"/>
  <c r="DA84" i="2" s="1"/>
  <c r="CQ84" i="2"/>
  <c r="DC84" i="2" s="1"/>
  <c r="CR84" i="2"/>
  <c r="DD84" i="2" s="1"/>
  <c r="CS84" i="2"/>
  <c r="DE84" i="2" s="1"/>
  <c r="CT84" i="2"/>
  <c r="DF84" i="2" s="1"/>
  <c r="CU84" i="2"/>
  <c r="DG84" i="2" s="1"/>
  <c r="CV84" i="2"/>
  <c r="CW84" i="2"/>
  <c r="DI84" i="2" s="1"/>
  <c r="CO85" i="2"/>
  <c r="DA85" i="2" s="1"/>
  <c r="CP85" i="2"/>
  <c r="DB85" i="2" s="1"/>
  <c r="CQ85" i="2"/>
  <c r="DC85" i="2" s="1"/>
  <c r="CR85" i="2"/>
  <c r="DD85" i="2" s="1"/>
  <c r="CS85" i="2"/>
  <c r="DE85" i="2" s="1"/>
  <c r="CT85" i="2"/>
  <c r="DF85" i="2" s="1"/>
  <c r="CU85" i="2"/>
  <c r="DG85" i="2" s="1"/>
  <c r="CV85" i="2"/>
  <c r="CW85" i="2"/>
  <c r="DI85" i="2" s="1"/>
  <c r="CO86" i="2"/>
  <c r="DA86" i="2" s="1"/>
  <c r="CQ86" i="2"/>
  <c r="DC86" i="2" s="1"/>
  <c r="CR86" i="2"/>
  <c r="DD86" i="2" s="1"/>
  <c r="CS86" i="2"/>
  <c r="DE86" i="2" s="1"/>
  <c r="CT86" i="2"/>
  <c r="DF86" i="2" s="1"/>
  <c r="CU86" i="2"/>
  <c r="DG86" i="2" s="1"/>
  <c r="CV86" i="2"/>
  <c r="CW86" i="2"/>
  <c r="DI86" i="2" s="1"/>
  <c r="CO87" i="2"/>
  <c r="DA87" i="2" s="1"/>
  <c r="CP87" i="2"/>
  <c r="DB87" i="2" s="1"/>
  <c r="CQ87" i="2"/>
  <c r="DC87" i="2" s="1"/>
  <c r="CR87" i="2"/>
  <c r="DD87" i="2" s="1"/>
  <c r="CS87" i="2"/>
  <c r="DE87" i="2" s="1"/>
  <c r="CT87" i="2"/>
  <c r="DF87" i="2" s="1"/>
  <c r="CU87" i="2"/>
  <c r="DG87" i="2" s="1"/>
  <c r="CV87" i="2"/>
  <c r="DH87" i="2" s="1"/>
  <c r="CW87" i="2"/>
  <c r="DI87" i="2" s="1"/>
  <c r="CO88" i="2"/>
  <c r="DA88" i="2" s="1"/>
  <c r="CP88" i="2"/>
  <c r="DB88" i="2" s="1"/>
  <c r="CQ88" i="2"/>
  <c r="DC88" i="2" s="1"/>
  <c r="CR88" i="2"/>
  <c r="DD88" i="2" s="1"/>
  <c r="CS88" i="2"/>
  <c r="DE88" i="2" s="1"/>
  <c r="CT88" i="2"/>
  <c r="DF88" i="2" s="1"/>
  <c r="CU88" i="2"/>
  <c r="DG88" i="2" s="1"/>
  <c r="CV88" i="2"/>
  <c r="DH88" i="2" s="1"/>
  <c r="CW88" i="2"/>
  <c r="DI88" i="2" s="1"/>
  <c r="CO90" i="2"/>
  <c r="CP90" i="2"/>
  <c r="DB90" i="2" s="1"/>
  <c r="CQ90" i="2"/>
  <c r="DC90" i="2" s="1"/>
  <c r="CR90" i="2"/>
  <c r="DD90" i="2" s="1"/>
  <c r="CS90" i="2"/>
  <c r="DE90" i="2" s="1"/>
  <c r="CT90" i="2"/>
  <c r="DF90" i="2" s="1"/>
  <c r="CU90" i="2"/>
  <c r="DG90" i="2" s="1"/>
  <c r="CV90" i="2"/>
  <c r="CW90" i="2"/>
  <c r="DI90" i="2" s="1"/>
  <c r="CO91" i="2"/>
  <c r="DA91" i="2" s="1"/>
  <c r="CQ91" i="2"/>
  <c r="DC91" i="2" s="1"/>
  <c r="CR91" i="2"/>
  <c r="DD91" i="2" s="1"/>
  <c r="CS91" i="2"/>
  <c r="DE91" i="2" s="1"/>
  <c r="CT91" i="2"/>
  <c r="DF91" i="2" s="1"/>
  <c r="CU91" i="2"/>
  <c r="DG91" i="2" s="1"/>
  <c r="CV91" i="2"/>
  <c r="CW91" i="2"/>
  <c r="DI91" i="2" s="1"/>
  <c r="CO92" i="2"/>
  <c r="DA92" i="2" s="1"/>
  <c r="CP92" i="2"/>
  <c r="DB92" i="2" s="1"/>
  <c r="CQ92" i="2"/>
  <c r="DC92" i="2" s="1"/>
  <c r="CR92" i="2"/>
  <c r="DD92" i="2" s="1"/>
  <c r="CS92" i="2"/>
  <c r="DE92" i="2" s="1"/>
  <c r="CT92" i="2"/>
  <c r="DF92" i="2" s="1"/>
  <c r="CU92" i="2"/>
  <c r="DG92" i="2" s="1"/>
  <c r="CV92" i="2"/>
  <c r="CW92" i="2"/>
  <c r="DI92" i="2" s="1"/>
  <c r="CO93" i="2"/>
  <c r="DA93" i="2" s="1"/>
  <c r="CP93" i="2"/>
  <c r="DB93" i="2" s="1"/>
  <c r="CQ93" i="2"/>
  <c r="DC93" i="2" s="1"/>
  <c r="CR93" i="2"/>
  <c r="DD93" i="2" s="1"/>
  <c r="CS93" i="2"/>
  <c r="DE93" i="2" s="1"/>
  <c r="CT93" i="2"/>
  <c r="DF93" i="2" s="1"/>
  <c r="CU93" i="2"/>
  <c r="DG93" i="2" s="1"/>
  <c r="CV93" i="2"/>
  <c r="CW93" i="2"/>
  <c r="DI93" i="2" s="1"/>
  <c r="CO94" i="2"/>
  <c r="DA94" i="2" s="1"/>
  <c r="CP94" i="2"/>
  <c r="DB94" i="2" s="1"/>
  <c r="CQ94" i="2"/>
  <c r="DC94" i="2" s="1"/>
  <c r="CR94" i="2"/>
  <c r="DD94" i="2" s="1"/>
  <c r="CS94" i="2"/>
  <c r="DE94" i="2" s="1"/>
  <c r="CT94" i="2"/>
  <c r="DF94" i="2" s="1"/>
  <c r="CU94" i="2"/>
  <c r="DG94" i="2" s="1"/>
  <c r="CV94" i="2"/>
  <c r="CW94" i="2"/>
  <c r="DI94" i="2" s="1"/>
  <c r="CO95" i="2"/>
  <c r="DA95" i="2" s="1"/>
  <c r="CP95" i="2"/>
  <c r="DB95" i="2" s="1"/>
  <c r="CQ95" i="2"/>
  <c r="DC95" i="2" s="1"/>
  <c r="CR95" i="2"/>
  <c r="DD95" i="2" s="1"/>
  <c r="CS95" i="2"/>
  <c r="DE95" i="2" s="1"/>
  <c r="CT95" i="2"/>
  <c r="DF95" i="2" s="1"/>
  <c r="CU95" i="2"/>
  <c r="DG95" i="2" s="1"/>
  <c r="CV95" i="2"/>
  <c r="CW95" i="2"/>
  <c r="DI95" i="2" s="1"/>
  <c r="CO96" i="2"/>
  <c r="DA96" i="2" s="1"/>
  <c r="CP96" i="2"/>
  <c r="DB96" i="2" s="1"/>
  <c r="CQ96" i="2"/>
  <c r="DC96" i="2" s="1"/>
  <c r="CR96" i="2"/>
  <c r="DD96" i="2" s="1"/>
  <c r="CS96" i="2"/>
  <c r="DE96" i="2" s="1"/>
  <c r="CT96" i="2"/>
  <c r="DF96" i="2" s="1"/>
  <c r="CU96" i="2"/>
  <c r="DG96" i="2" s="1"/>
  <c r="CV96" i="2"/>
  <c r="CW96" i="2"/>
  <c r="DI96" i="2" s="1"/>
  <c r="CO97" i="2"/>
  <c r="DA97" i="2" s="1"/>
  <c r="CP97" i="2"/>
  <c r="DB97" i="2" s="1"/>
  <c r="CQ97" i="2"/>
  <c r="DC97" i="2" s="1"/>
  <c r="CR97" i="2"/>
  <c r="DD97" i="2" s="1"/>
  <c r="CS97" i="2"/>
  <c r="DE97" i="2" s="1"/>
  <c r="CT97" i="2"/>
  <c r="DF97" i="2" s="1"/>
  <c r="CU97" i="2"/>
  <c r="DG97" i="2" s="1"/>
  <c r="CV97" i="2"/>
  <c r="CW97" i="2"/>
  <c r="DI97" i="2" s="1"/>
  <c r="CO98" i="2"/>
  <c r="DA98" i="2" s="1"/>
  <c r="CQ98" i="2"/>
  <c r="DC98" i="2" s="1"/>
  <c r="CR98" i="2"/>
  <c r="DD98" i="2" s="1"/>
  <c r="CS98" i="2"/>
  <c r="DE98" i="2" s="1"/>
  <c r="CT98" i="2"/>
  <c r="DF98" i="2" s="1"/>
  <c r="CU98" i="2"/>
  <c r="DG98" i="2" s="1"/>
  <c r="CV98" i="2"/>
  <c r="CW98" i="2"/>
  <c r="DI98" i="2" s="1"/>
  <c r="CO99" i="2"/>
  <c r="DA99" i="2" s="1"/>
  <c r="CP99" i="2"/>
  <c r="DB99" i="2" s="1"/>
  <c r="CQ99" i="2"/>
  <c r="DC99" i="2" s="1"/>
  <c r="CR99" i="2"/>
  <c r="DD99" i="2" s="1"/>
  <c r="CS99" i="2"/>
  <c r="DE99" i="2" s="1"/>
  <c r="CT99" i="2"/>
  <c r="DF99" i="2" s="1"/>
  <c r="CU99" i="2"/>
  <c r="DG99" i="2" s="1"/>
  <c r="CV99" i="2"/>
  <c r="CW99" i="2"/>
  <c r="DI99" i="2" s="1"/>
  <c r="CO100" i="2"/>
  <c r="DA100" i="2" s="1"/>
  <c r="CP100" i="2"/>
  <c r="DB100" i="2" s="1"/>
  <c r="CQ100" i="2"/>
  <c r="DC100" i="2" s="1"/>
  <c r="CR100" i="2"/>
  <c r="DD100" i="2" s="1"/>
  <c r="CS100" i="2"/>
  <c r="DE100" i="2" s="1"/>
  <c r="CT100" i="2"/>
  <c r="DF100" i="2" s="1"/>
  <c r="CU100" i="2"/>
  <c r="DG100" i="2" s="1"/>
  <c r="CV100" i="2"/>
  <c r="CW100" i="2"/>
  <c r="DI100" i="2" s="1"/>
  <c r="CO101" i="2"/>
  <c r="DA101" i="2" s="1"/>
  <c r="CP101" i="2"/>
  <c r="DB101" i="2" s="1"/>
  <c r="CQ101" i="2"/>
  <c r="DC101" i="2" s="1"/>
  <c r="CR101" i="2"/>
  <c r="DD101" i="2" s="1"/>
  <c r="CS101" i="2"/>
  <c r="DE101" i="2" s="1"/>
  <c r="CT101" i="2"/>
  <c r="DF101" i="2" s="1"/>
  <c r="CU101" i="2"/>
  <c r="DG101" i="2" s="1"/>
  <c r="CV101" i="2"/>
  <c r="CW101" i="2"/>
  <c r="DI101" i="2" s="1"/>
  <c r="CO102" i="2"/>
  <c r="DA102" i="2" s="1"/>
  <c r="CP102" i="2"/>
  <c r="DB102" i="2" s="1"/>
  <c r="CQ102" i="2"/>
  <c r="DC102" i="2" s="1"/>
  <c r="CR102" i="2"/>
  <c r="DD102" i="2" s="1"/>
  <c r="CS102" i="2"/>
  <c r="DE102" i="2" s="1"/>
  <c r="CT102" i="2"/>
  <c r="DF102" i="2" s="1"/>
  <c r="CU102" i="2"/>
  <c r="DG102" i="2" s="1"/>
  <c r="CV102" i="2"/>
  <c r="CW102" i="2"/>
  <c r="DI102" i="2" s="1"/>
  <c r="CO103" i="2"/>
  <c r="DA103" i="2" s="1"/>
  <c r="CP103" i="2"/>
  <c r="DB103" i="2" s="1"/>
  <c r="CQ103" i="2"/>
  <c r="DC103" i="2" s="1"/>
  <c r="CR103" i="2"/>
  <c r="DD103" i="2" s="1"/>
  <c r="CS103" i="2"/>
  <c r="DE103" i="2" s="1"/>
  <c r="CT103" i="2"/>
  <c r="DF103" i="2" s="1"/>
  <c r="CU103" i="2"/>
  <c r="DG103" i="2" s="1"/>
  <c r="CV103" i="2"/>
  <c r="DH103" i="2" s="1"/>
  <c r="CW103" i="2"/>
  <c r="DI103" i="2" s="1"/>
  <c r="CO104" i="2"/>
  <c r="DA104" i="2" s="1"/>
  <c r="CP104" i="2"/>
  <c r="DB104" i="2" s="1"/>
  <c r="CQ104" i="2"/>
  <c r="DC104" i="2" s="1"/>
  <c r="CR104" i="2"/>
  <c r="DD104" i="2" s="1"/>
  <c r="CS104" i="2"/>
  <c r="DE104" i="2" s="1"/>
  <c r="CT104" i="2"/>
  <c r="DF104" i="2" s="1"/>
  <c r="CU104" i="2"/>
  <c r="DG104" i="2" s="1"/>
  <c r="CV104" i="2"/>
  <c r="DH104" i="2" s="1"/>
  <c r="CW104" i="2"/>
  <c r="DI104" i="2" s="1"/>
  <c r="CO105" i="2"/>
  <c r="DA105" i="2" s="1"/>
  <c r="CP105" i="2"/>
  <c r="DB105" i="2" s="1"/>
  <c r="CQ105" i="2"/>
  <c r="DC105" i="2" s="1"/>
  <c r="CR105" i="2"/>
  <c r="DD105" i="2" s="1"/>
  <c r="CS105" i="2"/>
  <c r="DE105" i="2" s="1"/>
  <c r="CT105" i="2"/>
  <c r="DF105" i="2" s="1"/>
  <c r="CU105" i="2"/>
  <c r="DG105" i="2" s="1"/>
  <c r="CV105" i="2"/>
  <c r="DH105" i="2" s="1"/>
  <c r="CW105" i="2"/>
  <c r="DI105" i="2" s="1"/>
  <c r="CO106" i="2"/>
  <c r="DA106" i="2" s="1"/>
  <c r="CP106" i="2"/>
  <c r="DB106" i="2" s="1"/>
  <c r="CQ106" i="2"/>
  <c r="DC106" i="2" s="1"/>
  <c r="CR106" i="2"/>
  <c r="DD106" i="2" s="1"/>
  <c r="CS106" i="2"/>
  <c r="DE106" i="2" s="1"/>
  <c r="CT106" i="2"/>
  <c r="DF106" i="2" s="1"/>
  <c r="CU106" i="2"/>
  <c r="DG106" i="2" s="1"/>
  <c r="CV106" i="2"/>
  <c r="DH106" i="2" s="1"/>
  <c r="CW106" i="2"/>
  <c r="DI106" i="2" s="1"/>
  <c r="CO107" i="2"/>
  <c r="CP107" i="2"/>
  <c r="CQ107" i="2"/>
  <c r="CR107" i="2"/>
  <c r="CS107" i="2"/>
  <c r="CT107" i="2"/>
  <c r="CU107" i="2"/>
  <c r="CV107" i="2"/>
  <c r="CW107" i="2"/>
  <c r="CX107" i="2"/>
  <c r="DJ107" i="2" s="1"/>
  <c r="CO108" i="2"/>
  <c r="CP108" i="2"/>
  <c r="CQ108" i="2"/>
  <c r="CR108" i="2"/>
  <c r="CS108" i="2"/>
  <c r="CT108" i="2"/>
  <c r="CU108" i="2"/>
  <c r="CV108" i="2"/>
  <c r="CW108" i="2"/>
  <c r="CX108" i="2"/>
  <c r="CO109" i="2"/>
  <c r="DA109" i="2" s="1"/>
  <c r="CP109" i="2"/>
  <c r="DB109" i="2" s="1"/>
  <c r="CQ109" i="2"/>
  <c r="DC109" i="2" s="1"/>
  <c r="CR109" i="2"/>
  <c r="DD109" i="2" s="1"/>
  <c r="CS109" i="2"/>
  <c r="DE109" i="2" s="1"/>
  <c r="CT109" i="2"/>
  <c r="DF109" i="2" s="1"/>
  <c r="CU109" i="2"/>
  <c r="DG109" i="2" s="1"/>
  <c r="CV109" i="2"/>
  <c r="DH109" i="2" s="1"/>
  <c r="CW109" i="2"/>
  <c r="DI109" i="2" s="1"/>
  <c r="CX109" i="2"/>
  <c r="DJ109" i="2" s="1"/>
  <c r="CO110" i="2"/>
  <c r="DA110" i="2" s="1"/>
  <c r="CP110" i="2"/>
  <c r="DB110" i="2" s="1"/>
  <c r="CQ110" i="2"/>
  <c r="DC110" i="2" s="1"/>
  <c r="CR110" i="2"/>
  <c r="DD110" i="2" s="1"/>
  <c r="CS110" i="2"/>
  <c r="DE110" i="2" s="1"/>
  <c r="CT110" i="2"/>
  <c r="DF110" i="2" s="1"/>
  <c r="CU110" i="2"/>
  <c r="DG110" i="2" s="1"/>
  <c r="CV110" i="2"/>
  <c r="CW110" i="2"/>
  <c r="DI110" i="2" s="1"/>
  <c r="CO111" i="2"/>
  <c r="DA111" i="2" s="1"/>
  <c r="CQ111" i="2"/>
  <c r="DC111" i="2" s="1"/>
  <c r="CR111" i="2"/>
  <c r="DD111" i="2" s="1"/>
  <c r="CS111" i="2"/>
  <c r="DE111" i="2" s="1"/>
  <c r="CT111" i="2"/>
  <c r="DF111" i="2" s="1"/>
  <c r="CU111" i="2"/>
  <c r="DG111" i="2" s="1"/>
  <c r="CV111" i="2"/>
  <c r="CW111" i="2"/>
  <c r="DI111" i="2" s="1"/>
  <c r="CO112" i="2"/>
  <c r="DA112" i="2" s="1"/>
  <c r="CP112" i="2"/>
  <c r="DB112" i="2" s="1"/>
  <c r="CQ112" i="2"/>
  <c r="DC112" i="2" s="1"/>
  <c r="CR112" i="2"/>
  <c r="DD112" i="2" s="1"/>
  <c r="CS112" i="2"/>
  <c r="DE112" i="2" s="1"/>
  <c r="CT112" i="2"/>
  <c r="DF112" i="2" s="1"/>
  <c r="CU112" i="2"/>
  <c r="DG112" i="2" s="1"/>
  <c r="CV112" i="2"/>
  <c r="DH112" i="2" s="1"/>
  <c r="CW112" i="2"/>
  <c r="DI112" i="2" s="1"/>
  <c r="CO113" i="2"/>
  <c r="DA113" i="2" s="1"/>
  <c r="CP113" i="2"/>
  <c r="DB113" i="2" s="1"/>
  <c r="CQ113" i="2"/>
  <c r="DC113" i="2" s="1"/>
  <c r="CR113" i="2"/>
  <c r="DD113" i="2" s="1"/>
  <c r="CS113" i="2"/>
  <c r="DE113" i="2" s="1"/>
  <c r="CT113" i="2"/>
  <c r="DF113" i="2" s="1"/>
  <c r="CU113" i="2"/>
  <c r="DG113" i="2" s="1"/>
  <c r="CV113" i="2"/>
  <c r="DH113" i="2" s="1"/>
  <c r="CW113" i="2"/>
  <c r="DI113" i="2" s="1"/>
  <c r="CO114" i="2"/>
  <c r="CP114" i="2"/>
  <c r="CQ114" i="2"/>
  <c r="DC114" i="2" s="1"/>
  <c r="CR114" i="2"/>
  <c r="DD114" i="2" s="1"/>
  <c r="CS114" i="2"/>
  <c r="DE114" i="2" s="1"/>
  <c r="CT114" i="2"/>
  <c r="DF114" i="2" s="1"/>
  <c r="CU114" i="2"/>
  <c r="DG114" i="2" s="1"/>
  <c r="CV114" i="2"/>
  <c r="DH114" i="2" s="1"/>
  <c r="CW114" i="2"/>
  <c r="DI114" i="2" s="1"/>
  <c r="CX114" i="2"/>
  <c r="DJ114" i="2" s="1"/>
  <c r="CO115" i="2"/>
  <c r="CP115" i="2"/>
  <c r="CQ115" i="2"/>
  <c r="CR115" i="2"/>
  <c r="CS115" i="2"/>
  <c r="CT115" i="2"/>
  <c r="CU115" i="2"/>
  <c r="CV115" i="2"/>
  <c r="CW115" i="2"/>
  <c r="CX115" i="2"/>
  <c r="DJ115" i="2" s="1"/>
  <c r="CO116" i="2"/>
  <c r="DA116" i="2" s="1"/>
  <c r="CP116" i="2"/>
  <c r="DB116" i="2" s="1"/>
  <c r="CQ116" i="2"/>
  <c r="DC116" i="2" s="1"/>
  <c r="CR116" i="2"/>
  <c r="DD116" i="2" s="1"/>
  <c r="CS116" i="2"/>
  <c r="DE116" i="2" s="1"/>
  <c r="CT116" i="2"/>
  <c r="DF116" i="2" s="1"/>
  <c r="CU116" i="2"/>
  <c r="DG116" i="2" s="1"/>
  <c r="CV116" i="2"/>
  <c r="CW116" i="2"/>
  <c r="DI116" i="2" s="1"/>
  <c r="CP117" i="2"/>
  <c r="DB117" i="2" s="1"/>
  <c r="CQ117" i="2"/>
  <c r="DC117" i="2" s="1"/>
  <c r="CR117" i="2"/>
  <c r="DD117" i="2" s="1"/>
  <c r="CS117" i="2"/>
  <c r="DE117" i="2" s="1"/>
  <c r="CT117" i="2"/>
  <c r="DF117" i="2" s="1"/>
  <c r="CU117" i="2"/>
  <c r="DG117" i="2" s="1"/>
  <c r="CV117" i="2"/>
  <c r="CW117" i="2"/>
  <c r="DI117" i="2" s="1"/>
  <c r="CO119" i="2"/>
  <c r="DA119" i="2" s="1"/>
  <c r="CQ119" i="2"/>
  <c r="DC119" i="2" s="1"/>
  <c r="CR119" i="2"/>
  <c r="DD119" i="2" s="1"/>
  <c r="CS119" i="2"/>
  <c r="DE119" i="2" s="1"/>
  <c r="CT119" i="2"/>
  <c r="DF119" i="2" s="1"/>
  <c r="CU119" i="2"/>
  <c r="DG119" i="2" s="1"/>
  <c r="CV119" i="2"/>
  <c r="CW119" i="2"/>
  <c r="DI119" i="2" s="1"/>
  <c r="CO120" i="2"/>
  <c r="DA120" i="2" s="1"/>
  <c r="CP120" i="2"/>
  <c r="DB120" i="2" s="1"/>
  <c r="CQ120" i="2"/>
  <c r="DC120" i="2" s="1"/>
  <c r="CR120" i="2"/>
  <c r="DD120" i="2" s="1"/>
  <c r="CS120" i="2"/>
  <c r="DE120" i="2" s="1"/>
  <c r="CT120" i="2"/>
  <c r="DF120" i="2" s="1"/>
  <c r="CU120" i="2"/>
  <c r="DG120" i="2" s="1"/>
  <c r="CV120" i="2"/>
  <c r="DH120" i="2" s="1"/>
  <c r="CW120" i="2"/>
  <c r="DI120" i="2" s="1"/>
  <c r="CO121" i="2"/>
  <c r="DA121" i="2" s="1"/>
  <c r="CP121" i="2"/>
  <c r="DB121" i="2" s="1"/>
  <c r="CQ121" i="2"/>
  <c r="DC121" i="2" s="1"/>
  <c r="CR121" i="2"/>
  <c r="DD121" i="2" s="1"/>
  <c r="CS121" i="2"/>
  <c r="DE121" i="2" s="1"/>
  <c r="CT121" i="2"/>
  <c r="DF121" i="2" s="1"/>
  <c r="CU121" i="2"/>
  <c r="DG121" i="2" s="1"/>
  <c r="CV121" i="2"/>
  <c r="DH121" i="2" s="1"/>
  <c r="CW121" i="2"/>
  <c r="DI121" i="2" s="1"/>
  <c r="CO122" i="2"/>
  <c r="CP122" i="2"/>
  <c r="CQ122" i="2"/>
  <c r="CR122" i="2"/>
  <c r="CS122" i="2"/>
  <c r="CT122" i="2"/>
  <c r="CU122" i="2"/>
  <c r="DG122" i="2" s="1"/>
  <c r="CV122" i="2"/>
  <c r="DH122" i="2" s="1"/>
  <c r="CW122" i="2"/>
  <c r="DI122" i="2" s="1"/>
  <c r="CX122" i="2"/>
  <c r="DJ122" i="2" s="1"/>
  <c r="CO123" i="2"/>
  <c r="CP123" i="2"/>
  <c r="DB123" i="2" s="1"/>
  <c r="CQ123" i="2"/>
  <c r="DC123" i="2" s="1"/>
  <c r="CR123" i="2"/>
  <c r="DD123" i="2" s="1"/>
  <c r="CS123" i="2"/>
  <c r="DE123" i="2" s="1"/>
  <c r="CT123" i="2"/>
  <c r="DF123" i="2" s="1"/>
  <c r="CU123" i="2"/>
  <c r="DG123" i="2" s="1"/>
  <c r="CV123" i="2"/>
  <c r="CW123" i="2"/>
  <c r="DI123" i="2" s="1"/>
  <c r="CO124" i="2"/>
  <c r="DA124" i="2" s="1"/>
  <c r="CP124" i="2"/>
  <c r="DB124" i="2" s="1"/>
  <c r="CQ124" i="2"/>
  <c r="DC124" i="2" s="1"/>
  <c r="CR124" i="2"/>
  <c r="DD124" i="2" s="1"/>
  <c r="CS124" i="2"/>
  <c r="DE124" i="2" s="1"/>
  <c r="CT124" i="2"/>
  <c r="DF124" i="2" s="1"/>
  <c r="CU124" i="2"/>
  <c r="DG124" i="2" s="1"/>
  <c r="CV124" i="2"/>
  <c r="CW124" i="2"/>
  <c r="DI124" i="2" s="1"/>
  <c r="CO125" i="2"/>
  <c r="DA125" i="2" s="1"/>
  <c r="CP125" i="2"/>
  <c r="DB125" i="2" s="1"/>
  <c r="CQ125" i="2"/>
  <c r="DC125" i="2" s="1"/>
  <c r="CR125" i="2"/>
  <c r="DD125" i="2" s="1"/>
  <c r="CS125" i="2"/>
  <c r="DE125" i="2" s="1"/>
  <c r="CT125" i="2"/>
  <c r="DF125" i="2" s="1"/>
  <c r="CU125" i="2"/>
  <c r="DG125" i="2" s="1"/>
  <c r="CV125" i="2"/>
  <c r="CW125" i="2"/>
  <c r="DI125" i="2" s="1"/>
  <c r="CO126" i="2"/>
  <c r="DA126" i="2" s="1"/>
  <c r="CP126" i="2"/>
  <c r="DB126" i="2" s="1"/>
  <c r="CQ126" i="2"/>
  <c r="DC126" i="2" s="1"/>
  <c r="CR126" i="2"/>
  <c r="DD126" i="2" s="1"/>
  <c r="CS126" i="2"/>
  <c r="DE126" i="2" s="1"/>
  <c r="CT126" i="2"/>
  <c r="DF126" i="2" s="1"/>
  <c r="CU126" i="2"/>
  <c r="DG126" i="2" s="1"/>
  <c r="CV126" i="2"/>
  <c r="DH126" i="2" s="1"/>
  <c r="CW126" i="2"/>
  <c r="DI126" i="2" s="1"/>
  <c r="CX126" i="2"/>
  <c r="DJ126" i="2" s="1"/>
  <c r="CO127" i="2"/>
  <c r="CP127" i="2"/>
  <c r="CQ127" i="2"/>
  <c r="DC127" i="2" s="1"/>
  <c r="CR127" i="2"/>
  <c r="DD127" i="2" s="1"/>
  <c r="CS127" i="2"/>
  <c r="DE127" i="2" s="1"/>
  <c r="CT127" i="2"/>
  <c r="DF127" i="2" s="1"/>
  <c r="CU127" i="2"/>
  <c r="DG127" i="2" s="1"/>
  <c r="CV127" i="2"/>
  <c r="DH127" i="2" s="1"/>
  <c r="CW127" i="2"/>
  <c r="DI127" i="2" s="1"/>
  <c r="CX127" i="2"/>
  <c r="DJ127" i="2" s="1"/>
  <c r="CO129" i="2"/>
  <c r="DA129" i="2" s="1"/>
  <c r="CQ129" i="2"/>
  <c r="DC129" i="2" s="1"/>
  <c r="CR129" i="2"/>
  <c r="DD129" i="2" s="1"/>
  <c r="CS129" i="2"/>
  <c r="DE129" i="2" s="1"/>
  <c r="CT129" i="2"/>
  <c r="DF129" i="2" s="1"/>
  <c r="CU129" i="2"/>
  <c r="DG129" i="2" s="1"/>
  <c r="CV129" i="2"/>
  <c r="CW129" i="2"/>
  <c r="DI129" i="2" s="1"/>
  <c r="CO130" i="2"/>
  <c r="DA130" i="2" s="1"/>
  <c r="CP130" i="2"/>
  <c r="DB130" i="2" s="1"/>
  <c r="CQ130" i="2"/>
  <c r="DC130" i="2" s="1"/>
  <c r="CR130" i="2"/>
  <c r="DD130" i="2" s="1"/>
  <c r="CS130" i="2"/>
  <c r="DE130" i="2" s="1"/>
  <c r="CT130" i="2"/>
  <c r="DF130" i="2" s="1"/>
  <c r="CU130" i="2"/>
  <c r="DG130" i="2" s="1"/>
  <c r="CV130" i="2"/>
  <c r="DH130" i="2" s="1"/>
  <c r="CW130" i="2"/>
  <c r="DI130" i="2" s="1"/>
  <c r="CX130" i="2"/>
  <c r="DJ130" i="2" s="1"/>
  <c r="CO131" i="2"/>
  <c r="DA131" i="2" s="1"/>
  <c r="CP131" i="2"/>
  <c r="DB131" i="2" s="1"/>
  <c r="CQ131" i="2"/>
  <c r="DC131" i="2" s="1"/>
  <c r="CR131" i="2"/>
  <c r="DD131" i="2" s="1"/>
  <c r="CS131" i="2"/>
  <c r="DE131" i="2" s="1"/>
  <c r="CT131" i="2"/>
  <c r="DF131" i="2" s="1"/>
  <c r="CU131" i="2"/>
  <c r="DG131" i="2" s="1"/>
  <c r="CV131" i="2"/>
  <c r="DH131" i="2" s="1"/>
  <c r="CW131" i="2"/>
  <c r="DI131" i="2" s="1"/>
  <c r="CX131" i="2"/>
  <c r="DJ131" i="2" s="1"/>
  <c r="CO132" i="2"/>
  <c r="DA132" i="2" s="1"/>
  <c r="CP132" i="2"/>
  <c r="DB132" i="2" s="1"/>
  <c r="CQ132" i="2"/>
  <c r="DC132" i="2" s="1"/>
  <c r="CR132" i="2"/>
  <c r="DD132" i="2" s="1"/>
  <c r="CS132" i="2"/>
  <c r="DE132" i="2" s="1"/>
  <c r="CT132" i="2"/>
  <c r="DF132" i="2" s="1"/>
  <c r="CU132" i="2"/>
  <c r="DG132" i="2" s="1"/>
  <c r="CV132" i="2"/>
  <c r="CW132" i="2"/>
  <c r="DI132" i="2" s="1"/>
  <c r="CO133" i="2"/>
  <c r="DA133" i="2" s="1"/>
  <c r="CP133" i="2"/>
  <c r="DB133" i="2" s="1"/>
  <c r="CQ133" i="2"/>
  <c r="DC133" i="2" s="1"/>
  <c r="CR133" i="2"/>
  <c r="DD133" i="2" s="1"/>
  <c r="CS133" i="2"/>
  <c r="DE133" i="2" s="1"/>
  <c r="CT133" i="2"/>
  <c r="DF133" i="2" s="1"/>
  <c r="CU133" i="2"/>
  <c r="DG133" i="2" s="1"/>
  <c r="CV133" i="2"/>
  <c r="DH133" i="2" s="1"/>
  <c r="CW133" i="2"/>
  <c r="DI133" i="2" s="1"/>
  <c r="CX133" i="2"/>
  <c r="DJ133" i="2" s="1"/>
  <c r="CO134" i="2"/>
  <c r="CP134" i="2"/>
  <c r="CQ134" i="2"/>
  <c r="CR134" i="2"/>
  <c r="CS134" i="2"/>
  <c r="CT134" i="2"/>
  <c r="CU134" i="2"/>
  <c r="CV134" i="2"/>
  <c r="CW134" i="2"/>
  <c r="CX134" i="2"/>
  <c r="CO135" i="2"/>
  <c r="DA135" i="2" s="1"/>
  <c r="CP135" i="2"/>
  <c r="DB135" i="2" s="1"/>
  <c r="CQ135" i="2"/>
  <c r="DC135" i="2" s="1"/>
  <c r="CR135" i="2"/>
  <c r="DD135" i="2" s="1"/>
  <c r="CS135" i="2"/>
  <c r="DE135" i="2" s="1"/>
  <c r="CT135" i="2"/>
  <c r="DF135" i="2" s="1"/>
  <c r="CU135" i="2"/>
  <c r="DG135" i="2" s="1"/>
  <c r="CV135" i="2"/>
  <c r="CW135" i="2"/>
  <c r="DI135" i="2" s="1"/>
  <c r="CO136" i="2"/>
  <c r="DA136" i="2" s="1"/>
  <c r="CQ136" i="2"/>
  <c r="DC136" i="2" s="1"/>
  <c r="CR136" i="2"/>
  <c r="DD136" i="2" s="1"/>
  <c r="CT136" i="2"/>
  <c r="DF136" i="2" s="1"/>
  <c r="CU136" i="2"/>
  <c r="DG136" i="2" s="1"/>
  <c r="CV136" i="2"/>
  <c r="CW136" i="2"/>
  <c r="DI136" i="2" s="1"/>
  <c r="CO137" i="2"/>
  <c r="DA137" i="2" s="1"/>
  <c r="CQ137" i="2"/>
  <c r="DC137" i="2" s="1"/>
  <c r="CR137" i="2"/>
  <c r="DD137" i="2" s="1"/>
  <c r="CS137" i="2"/>
  <c r="DE137" i="2" s="1"/>
  <c r="CT137" i="2"/>
  <c r="DF137" i="2" s="1"/>
  <c r="CU137" i="2"/>
  <c r="DG137" i="2" s="1"/>
  <c r="CV137" i="2"/>
  <c r="CW137" i="2"/>
  <c r="DI137" i="2" s="1"/>
  <c r="CO138" i="2"/>
  <c r="DA138" i="2" s="1"/>
  <c r="CQ138" i="2"/>
  <c r="DC138" i="2" s="1"/>
  <c r="CR138" i="2"/>
  <c r="DD138" i="2" s="1"/>
  <c r="CS138" i="2"/>
  <c r="DE138" i="2" s="1"/>
  <c r="CT138" i="2"/>
  <c r="DF138" i="2" s="1"/>
  <c r="CU138" i="2"/>
  <c r="DG138" i="2" s="1"/>
  <c r="CV138" i="2"/>
  <c r="CW138" i="2"/>
  <c r="DI138" i="2" s="1"/>
  <c r="CO139" i="2"/>
  <c r="DA139" i="2" s="1"/>
  <c r="CP139" i="2"/>
  <c r="DB139" i="2" s="1"/>
  <c r="CQ139" i="2"/>
  <c r="DC139" i="2" s="1"/>
  <c r="CR139" i="2"/>
  <c r="DD139" i="2" s="1"/>
  <c r="CS139" i="2"/>
  <c r="DE139" i="2" s="1"/>
  <c r="CT139" i="2"/>
  <c r="DF139" i="2" s="1"/>
  <c r="CU139" i="2"/>
  <c r="DG139" i="2" s="1"/>
  <c r="CV139" i="2"/>
  <c r="DH139" i="2" s="1"/>
  <c r="CW139" i="2"/>
  <c r="DI139" i="2" s="1"/>
  <c r="CO140" i="2"/>
  <c r="DA140" i="2" s="1"/>
  <c r="CQ140" i="2"/>
  <c r="DC140" i="2" s="1"/>
  <c r="CR140" i="2"/>
  <c r="DD140" i="2" s="1"/>
  <c r="CS140" i="2"/>
  <c r="DE140" i="2" s="1"/>
  <c r="CT140" i="2"/>
  <c r="DF140" i="2" s="1"/>
  <c r="CU140" i="2"/>
  <c r="DG140" i="2" s="1"/>
  <c r="CV140" i="2"/>
  <c r="CW140" i="2"/>
  <c r="DI140" i="2" s="1"/>
  <c r="CO141" i="2"/>
  <c r="DA141" i="2" s="1"/>
  <c r="CQ141" i="2"/>
  <c r="DC141" i="2" s="1"/>
  <c r="CR141" i="2"/>
  <c r="DD141" i="2" s="1"/>
  <c r="CS141" i="2"/>
  <c r="DE141" i="2" s="1"/>
  <c r="CT141" i="2"/>
  <c r="DF141" i="2" s="1"/>
  <c r="CU141" i="2"/>
  <c r="DG141" i="2" s="1"/>
  <c r="CV141" i="2"/>
  <c r="CW141" i="2"/>
  <c r="DI141" i="2" s="1"/>
  <c r="CO142" i="2"/>
  <c r="DA142" i="2" s="1"/>
  <c r="CP142" i="2"/>
  <c r="DB142" i="2" s="1"/>
  <c r="CQ142" i="2"/>
  <c r="DC142" i="2" s="1"/>
  <c r="CR142" i="2"/>
  <c r="DD142" i="2" s="1"/>
  <c r="CS142" i="2"/>
  <c r="DE142" i="2" s="1"/>
  <c r="CT142" i="2"/>
  <c r="DF142" i="2" s="1"/>
  <c r="CU142" i="2"/>
  <c r="DG142" i="2" s="1"/>
  <c r="CV142" i="2"/>
  <c r="CW142" i="2"/>
  <c r="DI142" i="2" s="1"/>
  <c r="CO143" i="2"/>
  <c r="CP143" i="2"/>
  <c r="CQ143" i="2"/>
  <c r="CR143" i="2"/>
  <c r="CS143" i="2"/>
  <c r="CT143" i="2"/>
  <c r="CU143" i="2"/>
  <c r="CV143" i="2"/>
  <c r="CW143" i="2"/>
  <c r="CX143" i="2"/>
  <c r="CO144" i="2"/>
  <c r="CP144" i="2"/>
  <c r="DB144" i="2" s="1"/>
  <c r="CQ144" i="2"/>
  <c r="DC144" i="2" s="1"/>
  <c r="CR144" i="2"/>
  <c r="DD144" i="2" s="1"/>
  <c r="CS144" i="2"/>
  <c r="DE144" i="2" s="1"/>
  <c r="CT144" i="2"/>
  <c r="DF144" i="2" s="1"/>
  <c r="CU144" i="2"/>
  <c r="DG144" i="2" s="1"/>
  <c r="CV144" i="2"/>
  <c r="CW144" i="2"/>
  <c r="DI144" i="2" s="1"/>
  <c r="CO145" i="2"/>
  <c r="DA145" i="2" s="1"/>
  <c r="CQ145" i="2"/>
  <c r="DC145" i="2" s="1"/>
  <c r="CR145" i="2"/>
  <c r="DD145" i="2" s="1"/>
  <c r="CS145" i="2"/>
  <c r="DE145" i="2" s="1"/>
  <c r="CT145" i="2"/>
  <c r="DF145" i="2" s="1"/>
  <c r="CU145" i="2"/>
  <c r="DG145" i="2" s="1"/>
  <c r="CV145" i="2"/>
  <c r="CW145" i="2"/>
  <c r="DI145" i="2" s="1"/>
  <c r="CO146" i="2"/>
  <c r="CP146" i="2"/>
  <c r="CQ146" i="2"/>
  <c r="CR146" i="2"/>
  <c r="CS146" i="2"/>
  <c r="CT146" i="2"/>
  <c r="CU146" i="2"/>
  <c r="CV146" i="2"/>
  <c r="CW146" i="2"/>
  <c r="CX146" i="2"/>
  <c r="CO147" i="2"/>
  <c r="CP147" i="2"/>
  <c r="CQ147" i="2"/>
  <c r="CR147" i="2"/>
  <c r="CS147" i="2"/>
  <c r="CT147" i="2"/>
  <c r="CU147" i="2"/>
  <c r="CV147" i="2"/>
  <c r="CW147" i="2"/>
  <c r="CO148" i="2"/>
  <c r="DA148" i="2" s="1"/>
  <c r="CP148" i="2"/>
  <c r="DB148" i="2" s="1"/>
  <c r="CQ148" i="2"/>
  <c r="DC148" i="2" s="1"/>
  <c r="CR148" i="2"/>
  <c r="DD148" i="2" s="1"/>
  <c r="CS148" i="2"/>
  <c r="DE148" i="2" s="1"/>
  <c r="CT148" i="2"/>
  <c r="DF148" i="2" s="1"/>
  <c r="CU148" i="2"/>
  <c r="DG148" i="2" s="1"/>
  <c r="CV148" i="2"/>
  <c r="CW148" i="2"/>
  <c r="DI148" i="2" s="1"/>
  <c r="CO149" i="2"/>
  <c r="DA149" i="2" s="1"/>
  <c r="CP149" i="2"/>
  <c r="DB149" i="2" s="1"/>
  <c r="CQ149" i="2"/>
  <c r="DC149" i="2" s="1"/>
  <c r="CR149" i="2"/>
  <c r="DD149" i="2" s="1"/>
  <c r="CS149" i="2"/>
  <c r="DE149" i="2" s="1"/>
  <c r="CT149" i="2"/>
  <c r="DF149" i="2" s="1"/>
  <c r="CU149" i="2"/>
  <c r="DG149" i="2" s="1"/>
  <c r="CV149" i="2"/>
  <c r="DH149" i="2" s="1"/>
  <c r="CW149" i="2"/>
  <c r="DI149" i="2" s="1"/>
  <c r="CX149" i="2"/>
  <c r="DJ149" i="2" s="1"/>
  <c r="CO152" i="2"/>
  <c r="DA152" i="2" s="1"/>
  <c r="CP152" i="2"/>
  <c r="DB152" i="2" s="1"/>
  <c r="CQ152" i="2"/>
  <c r="DC152" i="2" s="1"/>
  <c r="CR152" i="2"/>
  <c r="DD152" i="2" s="1"/>
  <c r="CS152" i="2"/>
  <c r="DE152" i="2" s="1"/>
  <c r="CT152" i="2"/>
  <c r="DF152" i="2" s="1"/>
  <c r="CU152" i="2"/>
  <c r="DG152" i="2" s="1"/>
  <c r="CV152" i="2"/>
  <c r="DH152" i="2" s="1"/>
  <c r="CW152" i="2"/>
  <c r="DI152" i="2" s="1"/>
  <c r="CX152" i="2"/>
  <c r="DJ152" i="2" s="1"/>
  <c r="CO153" i="2"/>
  <c r="CP153" i="2"/>
  <c r="CQ153" i="2"/>
  <c r="CR153" i="2"/>
  <c r="DD153" i="2" s="1"/>
  <c r="CS153" i="2"/>
  <c r="DE153" i="2" s="1"/>
  <c r="CT153" i="2"/>
  <c r="DF153" i="2" s="1"/>
  <c r="CU153" i="2"/>
  <c r="DG153" i="2" s="1"/>
  <c r="CV153" i="2"/>
  <c r="DH153" i="2" s="1"/>
  <c r="CW153" i="2"/>
  <c r="DI153" i="2" s="1"/>
  <c r="CX153" i="2"/>
  <c r="DJ153" i="2" s="1"/>
  <c r="CO154" i="2"/>
  <c r="DA154" i="2" s="1"/>
  <c r="CP154" i="2"/>
  <c r="DB154" i="2" s="1"/>
  <c r="CQ154" i="2"/>
  <c r="DC154" i="2" s="1"/>
  <c r="CR154" i="2"/>
  <c r="DD154" i="2" s="1"/>
  <c r="CS154" i="2"/>
  <c r="DE154" i="2" s="1"/>
  <c r="CT154" i="2"/>
  <c r="DF154" i="2" s="1"/>
  <c r="CU154" i="2"/>
  <c r="DG154" i="2" s="1"/>
  <c r="CV154" i="2"/>
  <c r="DH154" i="2" s="1"/>
  <c r="CW154" i="2"/>
  <c r="DI154" i="2" s="1"/>
  <c r="CO155" i="2"/>
  <c r="CP155" i="2"/>
  <c r="CQ155" i="2"/>
  <c r="DC155" i="2" s="1"/>
  <c r="CR155" i="2"/>
  <c r="DD155" i="2" s="1"/>
  <c r="CS155" i="2"/>
  <c r="DE155" i="2" s="1"/>
  <c r="CT155" i="2"/>
  <c r="DF155" i="2" s="1"/>
  <c r="CU155" i="2"/>
  <c r="DG155" i="2" s="1"/>
  <c r="CV155" i="2"/>
  <c r="DH155" i="2" s="1"/>
  <c r="CW155" i="2"/>
  <c r="DI155" i="2" s="1"/>
  <c r="CX155" i="2"/>
  <c r="DJ155" i="2" s="1"/>
  <c r="CO156" i="2"/>
  <c r="CP156" i="2"/>
  <c r="CQ156" i="2"/>
  <c r="CR156" i="2"/>
  <c r="DD156" i="2" s="1"/>
  <c r="CS156" i="2"/>
  <c r="DE156" i="2" s="1"/>
  <c r="CT156" i="2"/>
  <c r="DF156" i="2" s="1"/>
  <c r="CU156" i="2"/>
  <c r="DG156" i="2" s="1"/>
  <c r="CV156" i="2"/>
  <c r="DH156" i="2" s="1"/>
  <c r="CW156" i="2"/>
  <c r="DI156" i="2" s="1"/>
  <c r="CX156" i="2"/>
  <c r="DJ156" i="2" s="1"/>
  <c r="CO157" i="2"/>
  <c r="CP157" i="2"/>
  <c r="CQ157" i="2"/>
  <c r="CR157" i="2"/>
  <c r="CS157" i="2"/>
  <c r="CT157" i="2"/>
  <c r="CU157" i="2"/>
  <c r="DG157" i="2" s="1"/>
  <c r="CV157" i="2"/>
  <c r="DH157" i="2" s="1"/>
  <c r="CW157" i="2"/>
  <c r="DI157" i="2" s="1"/>
  <c r="CX157" i="2"/>
  <c r="DJ157" i="2" s="1"/>
  <c r="CX3" i="2"/>
  <c r="DJ3" i="2" s="1"/>
  <c r="CW3" i="2"/>
  <c r="DI3" i="2" s="1"/>
  <c r="CV3" i="2"/>
  <c r="DH3" i="2" s="1"/>
  <c r="CU3" i="2"/>
  <c r="DG3" i="2" s="1"/>
  <c r="CT3" i="2"/>
  <c r="DF3" i="2" s="1"/>
  <c r="CS3" i="2"/>
  <c r="DE3" i="2" s="1"/>
  <c r="CR3" i="2"/>
  <c r="DD3" i="2" s="1"/>
  <c r="CQ3" i="2"/>
  <c r="DC3" i="2" s="1"/>
  <c r="DA3" i="2"/>
  <c r="EJ4" i="2"/>
  <c r="EJ5" i="2"/>
  <c r="EJ21" i="2"/>
  <c r="EJ22" i="2"/>
  <c r="EJ23" i="2"/>
  <c r="EJ24" i="2"/>
  <c r="EJ25" i="2"/>
  <c r="EJ27" i="2"/>
  <c r="EJ28" i="2"/>
  <c r="EJ29" i="2"/>
  <c r="EJ30" i="2"/>
  <c r="EJ32" i="2"/>
  <c r="EJ33" i="2"/>
  <c r="EJ34" i="2"/>
  <c r="EJ35" i="2"/>
  <c r="EJ36" i="2"/>
  <c r="EJ37" i="2"/>
  <c r="EJ38" i="2"/>
  <c r="EJ40" i="2"/>
  <c r="EJ41" i="2"/>
  <c r="EJ44" i="2"/>
  <c r="EJ45" i="2"/>
  <c r="EJ6" i="2"/>
  <c r="EJ7" i="2"/>
  <c r="EJ8" i="2"/>
  <c r="EJ9" i="2"/>
  <c r="EJ10" i="2"/>
  <c r="EJ11" i="2"/>
  <c r="EJ12" i="2"/>
  <c r="EJ13" i="2"/>
  <c r="EJ14" i="2"/>
  <c r="EJ15" i="2"/>
  <c r="EJ16" i="2"/>
  <c r="EJ17" i="2"/>
  <c r="EJ18" i="2"/>
  <c r="EJ19" i="2"/>
  <c r="EJ20" i="2"/>
  <c r="EJ46" i="2"/>
  <c r="EJ47" i="2"/>
  <c r="EJ48" i="2"/>
  <c r="EJ49" i="2"/>
  <c r="EJ50" i="2"/>
  <c r="EJ51" i="2"/>
  <c r="EJ52" i="2"/>
  <c r="EJ53" i="2"/>
  <c r="EJ54" i="2"/>
  <c r="EJ55" i="2"/>
  <c r="EJ56" i="2"/>
  <c r="EJ57" i="2"/>
  <c r="EJ58" i="2"/>
  <c r="EJ59" i="2"/>
  <c r="EJ60" i="2"/>
  <c r="EJ61" i="2"/>
  <c r="EJ62" i="2"/>
  <c r="EJ63" i="2"/>
  <c r="EJ64" i="2"/>
  <c r="EJ65" i="2"/>
  <c r="EJ69" i="2"/>
  <c r="EJ70" i="2"/>
  <c r="EJ71" i="2"/>
  <c r="EJ72" i="2"/>
  <c r="EJ73" i="2"/>
  <c r="EJ74" i="2"/>
  <c r="EJ75" i="2"/>
  <c r="EJ76" i="2"/>
  <c r="EJ77" i="2"/>
  <c r="EJ78" i="2"/>
  <c r="EJ79" i="2"/>
  <c r="EJ80" i="2"/>
  <c r="EJ81" i="2"/>
  <c r="EJ82" i="2"/>
  <c r="EJ83" i="2"/>
  <c r="EJ84" i="2"/>
  <c r="EJ85" i="2"/>
  <c r="EJ86" i="2"/>
  <c r="EJ87" i="2"/>
  <c r="EJ88" i="2"/>
  <c r="EJ90" i="2"/>
  <c r="EJ91" i="2"/>
  <c r="EJ92" i="2"/>
  <c r="EJ94" i="2"/>
  <c r="EJ95" i="2"/>
  <c r="EJ96" i="2"/>
  <c r="EJ97" i="2"/>
  <c r="EJ98" i="2"/>
  <c r="EJ99" i="2"/>
  <c r="EJ100" i="2"/>
  <c r="EJ101" i="2"/>
  <c r="EJ102" i="2"/>
  <c r="EJ103" i="2"/>
  <c r="EJ104" i="2"/>
  <c r="EJ105" i="2"/>
  <c r="EJ106" i="2"/>
  <c r="EJ107" i="2"/>
  <c r="EJ108" i="2"/>
  <c r="EJ109" i="2"/>
  <c r="EJ110" i="2"/>
  <c r="EJ111" i="2"/>
  <c r="EJ112" i="2"/>
  <c r="EJ113" i="2"/>
  <c r="EJ114" i="2"/>
  <c r="EJ115" i="2"/>
  <c r="EJ116" i="2"/>
  <c r="EJ117" i="2"/>
  <c r="EJ119" i="2"/>
  <c r="EJ120" i="2"/>
  <c r="EJ121" i="2"/>
  <c r="EJ122" i="2"/>
  <c r="EJ123" i="2"/>
  <c r="EJ124" i="2"/>
  <c r="EJ125" i="2"/>
  <c r="EJ126" i="2"/>
  <c r="EJ127" i="2"/>
  <c r="EJ129" i="2"/>
  <c r="EJ130" i="2"/>
  <c r="EJ131" i="2"/>
  <c r="EJ132" i="2"/>
  <c r="EJ133" i="2"/>
  <c r="EJ134" i="2"/>
  <c r="EJ135" i="2"/>
  <c r="EJ136" i="2"/>
  <c r="EJ137" i="2"/>
  <c r="EJ138" i="2"/>
  <c r="EJ139" i="2"/>
  <c r="EJ140" i="2"/>
  <c r="EJ141" i="2"/>
  <c r="EJ142" i="2"/>
  <c r="EJ143" i="2"/>
  <c r="EJ144" i="2"/>
  <c r="EJ145" i="2"/>
  <c r="EJ146" i="2"/>
  <c r="EJ147" i="2"/>
  <c r="EJ148" i="2"/>
  <c r="EJ149" i="2"/>
  <c r="EJ152" i="2"/>
  <c r="EJ153" i="2"/>
  <c r="EJ154" i="2"/>
  <c r="EJ155" i="2"/>
  <c r="EJ156" i="2"/>
  <c r="EJ157" i="2"/>
  <c r="EJ3" i="2"/>
  <c r="CY4" i="2"/>
  <c r="DK4" i="2" s="1"/>
  <c r="CB4" i="2"/>
  <c r="CM5" i="2"/>
  <c r="CN5" i="2"/>
  <c r="DX5" i="2" s="1"/>
  <c r="DV21" i="2"/>
  <c r="DX21" i="2"/>
  <c r="DV22" i="2"/>
  <c r="DV23" i="2"/>
  <c r="CY23" i="2"/>
  <c r="DX23" i="2"/>
  <c r="CY24" i="2"/>
  <c r="DX24" i="2"/>
  <c r="CX25" i="2"/>
  <c r="CY26" i="2"/>
  <c r="CY27" i="2"/>
  <c r="DX27" i="2"/>
  <c r="DV28" i="2"/>
  <c r="DX28" i="2"/>
  <c r="DV29" i="2"/>
  <c r="CM29" i="2"/>
  <c r="CN29" i="2"/>
  <c r="CB29" i="2" s="1"/>
  <c r="CY30" i="2"/>
  <c r="DX30" i="2"/>
  <c r="DX31" i="2"/>
  <c r="DV32" i="2"/>
  <c r="CY32" i="2"/>
  <c r="DX32" i="2"/>
  <c r="DV33" i="2"/>
  <c r="CY34" i="2"/>
  <c r="DX34" i="2"/>
  <c r="CY35" i="2"/>
  <c r="BZ36" i="2"/>
  <c r="DV37" i="2"/>
  <c r="CM37" i="2"/>
  <c r="CN37" i="2"/>
  <c r="DV38" i="2"/>
  <c r="CM38" i="2"/>
  <c r="CN38" i="2"/>
  <c r="DX38" i="2" s="1"/>
  <c r="CY39" i="2"/>
  <c r="DX39" i="2"/>
  <c r="DV40" i="2"/>
  <c r="CY40" i="2"/>
  <c r="DL40" i="2"/>
  <c r="DV41" i="2"/>
  <c r="CB41" i="2"/>
  <c r="CY44" i="2"/>
  <c r="DL44" i="2"/>
  <c r="BZ45" i="2"/>
  <c r="DX45" i="2"/>
  <c r="DV7" i="2"/>
  <c r="DL7" i="2"/>
  <c r="CM8" i="2"/>
  <c r="CN8" i="2"/>
  <c r="DX8" i="2" s="1"/>
  <c r="CY9" i="2"/>
  <c r="DX9" i="2"/>
  <c r="DV10" i="2"/>
  <c r="CY10" i="2"/>
  <c r="DK10" i="2" s="1"/>
  <c r="DX10" i="2"/>
  <c r="DV11" i="2"/>
  <c r="CM11" i="2"/>
  <c r="CN11" i="2"/>
  <c r="CY12" i="2"/>
  <c r="DX12" i="2"/>
  <c r="BZ13" i="2"/>
  <c r="DX13" i="2"/>
  <c r="DV14" i="2"/>
  <c r="CY14" i="2"/>
  <c r="DL14" i="2"/>
  <c r="DV15" i="2"/>
  <c r="CM15" i="2"/>
  <c r="CN15" i="2"/>
  <c r="CM16" i="2"/>
  <c r="CN16" i="2"/>
  <c r="DX16" i="2" s="1"/>
  <c r="CM17" i="2"/>
  <c r="CN17" i="2"/>
  <c r="DX17" i="2" s="1"/>
  <c r="DV18" i="2"/>
  <c r="CY18" i="2"/>
  <c r="DX18" i="2"/>
  <c r="DV19" i="2"/>
  <c r="CY19" i="2"/>
  <c r="DL19" i="2"/>
  <c r="CM20" i="2"/>
  <c r="CN20" i="2"/>
  <c r="DX20" i="2" s="1"/>
  <c r="CY46" i="2"/>
  <c r="DX46" i="2"/>
  <c r="DL47" i="2"/>
  <c r="DV48" i="2"/>
  <c r="CM48" i="2"/>
  <c r="CY48" i="2" s="1"/>
  <c r="CN48" i="2"/>
  <c r="DV49" i="2"/>
  <c r="DX49" i="2"/>
  <c r="CY50" i="2"/>
  <c r="DX50" i="2"/>
  <c r="CM51" i="2"/>
  <c r="CY51" i="2" s="1"/>
  <c r="CN51" i="2"/>
  <c r="DL51" i="2" s="1"/>
  <c r="DV52" i="2"/>
  <c r="CY53" i="2"/>
  <c r="DX53" i="2"/>
  <c r="CY54" i="2"/>
  <c r="DX54" i="2"/>
  <c r="BZ55" i="2"/>
  <c r="CY55" i="2"/>
  <c r="DX55" i="2"/>
  <c r="BZ56" i="2"/>
  <c r="CY56" i="2"/>
  <c r="DX56" i="2"/>
  <c r="CY57" i="2"/>
  <c r="DX57" i="2"/>
  <c r="DV58" i="2"/>
  <c r="CY58" i="2"/>
  <c r="DV59" i="2"/>
  <c r="DK59" i="2"/>
  <c r="DL59" i="2"/>
  <c r="CY60" i="2"/>
  <c r="DX60" i="2"/>
  <c r="BZ61" i="2"/>
  <c r="CY61" i="2"/>
  <c r="DX61" i="2"/>
  <c r="DV62" i="2"/>
  <c r="CY62" i="2"/>
  <c r="DX62" i="2"/>
  <c r="DV63" i="2"/>
  <c r="CY64" i="2"/>
  <c r="DX64" i="2"/>
  <c r="CY65" i="2"/>
  <c r="DX65" i="2"/>
  <c r="CM69" i="2"/>
  <c r="CN69" i="2"/>
  <c r="DV70" i="2"/>
  <c r="CM70" i="2"/>
  <c r="CN70" i="2"/>
  <c r="CY71" i="2"/>
  <c r="DX71" i="2"/>
  <c r="CY72" i="2"/>
  <c r="DX72" i="2"/>
  <c r="DV73" i="2"/>
  <c r="DV74" i="2"/>
  <c r="CY74" i="2"/>
  <c r="DV75" i="2"/>
  <c r="DX75" i="2"/>
  <c r="BZ76" i="2"/>
  <c r="CY76" i="2"/>
  <c r="DX76" i="2"/>
  <c r="DV77" i="2"/>
  <c r="DV78" i="2"/>
  <c r="CY79" i="2"/>
  <c r="DX79" i="2"/>
  <c r="CY80" i="2"/>
  <c r="DX80" i="2"/>
  <c r="CY81" i="2"/>
  <c r="CY82" i="2"/>
  <c r="DX82" i="2"/>
  <c r="CY83" i="2"/>
  <c r="DX83" i="2"/>
  <c r="CY84" i="2"/>
  <c r="DX84" i="2"/>
  <c r="CY85" i="2"/>
  <c r="DV86" i="2"/>
  <c r="CX87" i="2"/>
  <c r="DJ87" i="2" s="1"/>
  <c r="CY87" i="2"/>
  <c r="DX87" i="2"/>
  <c r="DV88" i="2"/>
  <c r="CY88" i="2"/>
  <c r="DX88" i="2"/>
  <c r="DV91" i="2"/>
  <c r="CY91" i="2"/>
  <c r="DL91" i="2"/>
  <c r="CX92" i="2"/>
  <c r="DJ92" i="2" s="1"/>
  <c r="CY92" i="2"/>
  <c r="DX92" i="2"/>
  <c r="CX93" i="2"/>
  <c r="DJ93" i="2" s="1"/>
  <c r="CY93" i="2"/>
  <c r="DX93" i="2"/>
  <c r="DV94" i="2"/>
  <c r="DL94" i="2"/>
  <c r="DV95" i="2"/>
  <c r="DX95" i="2"/>
  <c r="CX96" i="2"/>
  <c r="DJ96" i="2" s="1"/>
  <c r="CY96" i="2"/>
  <c r="DX96" i="2"/>
  <c r="CY97" i="2"/>
  <c r="DX97" i="2"/>
  <c r="DV98" i="2"/>
  <c r="CY98" i="2"/>
  <c r="DV99" i="2"/>
  <c r="CY99" i="2"/>
  <c r="DV100" i="2"/>
  <c r="CY100" i="2"/>
  <c r="DX100" i="2"/>
  <c r="CY101" i="2"/>
  <c r="DX101" i="2"/>
  <c r="BZ102" i="2"/>
  <c r="CY102" i="2"/>
  <c r="DV103" i="2"/>
  <c r="CY104" i="2"/>
  <c r="DX104" i="2"/>
  <c r="BZ105" i="2"/>
  <c r="CY105" i="2"/>
  <c r="DX105" i="2"/>
  <c r="CX106" i="2"/>
  <c r="DJ106" i="2" s="1"/>
  <c r="CY106" i="2"/>
  <c r="DL106" i="2"/>
  <c r="DV107" i="2"/>
  <c r="CM108" i="2"/>
  <c r="CN108" i="2"/>
  <c r="DX108" i="2" s="1"/>
  <c r="BZ109" i="2"/>
  <c r="CY109" i="2"/>
  <c r="DX109" i="2"/>
  <c r="DV110" i="2"/>
  <c r="CY110" i="2"/>
  <c r="DX110" i="2"/>
  <c r="DV111" i="2"/>
  <c r="CY111" i="2"/>
  <c r="CX112" i="2"/>
  <c r="DJ112" i="2" s="1"/>
  <c r="CY112" i="2"/>
  <c r="DX112" i="2"/>
  <c r="CX113" i="2"/>
  <c r="DX113" i="2"/>
  <c r="DV114" i="2"/>
  <c r="DX114" i="2"/>
  <c r="DV115" i="2"/>
  <c r="CY116" i="2"/>
  <c r="DX116" i="2"/>
  <c r="CY117" i="2"/>
  <c r="DX117" i="2"/>
  <c r="DV119" i="2"/>
  <c r="DV120" i="2"/>
  <c r="CY120" i="2"/>
  <c r="DV121" i="2"/>
  <c r="CY121" i="2"/>
  <c r="DL121" i="2"/>
  <c r="BZ122" i="2"/>
  <c r="DX122" i="2"/>
  <c r="DV123" i="2"/>
  <c r="DV124" i="2"/>
  <c r="CZ124" i="2"/>
  <c r="BZ125" i="2"/>
  <c r="CY125" i="2"/>
  <c r="DX125" i="2"/>
  <c r="DX126" i="2"/>
  <c r="DV127" i="2"/>
  <c r="DX127" i="2"/>
  <c r="DV129" i="2"/>
  <c r="DX130" i="2"/>
  <c r="DX131" i="2"/>
  <c r="DV133" i="2"/>
  <c r="DV134" i="2"/>
  <c r="DX134" i="2"/>
  <c r="CY135" i="2"/>
  <c r="DX135" i="2"/>
  <c r="DV136" i="2"/>
  <c r="CY136" i="2"/>
  <c r="DV137" i="2"/>
  <c r="BZ138" i="2"/>
  <c r="CY138" i="2"/>
  <c r="DX138" i="2"/>
  <c r="DV139" i="2"/>
  <c r="CY139" i="2"/>
  <c r="DX139" i="2"/>
  <c r="BZ140" i="2"/>
  <c r="CY140" i="2"/>
  <c r="DV141" i="2"/>
  <c r="CY142" i="2"/>
  <c r="DX142" i="2"/>
  <c r="CM143" i="2"/>
  <c r="CN143" i="2"/>
  <c r="DX143" i="2" s="1"/>
  <c r="DV144" i="2"/>
  <c r="CY144" i="2"/>
  <c r="DL144" i="2"/>
  <c r="DV145" i="2"/>
  <c r="CY145" i="2"/>
  <c r="DX145" i="2"/>
  <c r="DV146" i="2"/>
  <c r="DX146" i="2"/>
  <c r="BZ147" i="2"/>
  <c r="CM147" i="2"/>
  <c r="CY147" i="2" s="1"/>
  <c r="CN147" i="2"/>
  <c r="DX147" i="2" s="1"/>
  <c r="DV148" i="2"/>
  <c r="CY148" i="2"/>
  <c r="DV149" i="2"/>
  <c r="CN149" i="2"/>
  <c r="DL149" i="2" s="1"/>
  <c r="BZ152" i="2"/>
  <c r="CM152" i="2"/>
  <c r="CN152" i="2"/>
  <c r="DX152" i="2" s="1"/>
  <c r="CM153" i="2"/>
  <c r="CN153" i="2"/>
  <c r="DX153" i="2" s="1"/>
  <c r="DV154" i="2"/>
  <c r="CM154" i="2"/>
  <c r="CY154" i="2" s="1"/>
  <c r="CN154" i="2"/>
  <c r="DX154" i="2" s="1"/>
  <c r="DV155" i="2"/>
  <c r="CM155" i="2"/>
  <c r="CY155" i="2" s="1"/>
  <c r="CN155" i="2"/>
  <c r="DL155" i="2" s="1"/>
  <c r="DV156" i="2"/>
  <c r="CM156" i="2"/>
  <c r="CY156" i="2" s="1"/>
  <c r="CN156" i="2"/>
  <c r="DX156" i="2" s="1"/>
  <c r="BZ157" i="2"/>
  <c r="CM157" i="2"/>
  <c r="CY157" i="2" s="1"/>
  <c r="CN157" i="2"/>
  <c r="DX157" i="2" s="1"/>
  <c r="CY3" i="2"/>
  <c r="DK3" i="2" s="1"/>
  <c r="DL3" i="2"/>
  <c r="DV3" i="2"/>
  <c r="DU3" i="2"/>
  <c r="DT3" i="2"/>
  <c r="DS3" i="2"/>
  <c r="DR3" i="2"/>
  <c r="DQ3" i="2"/>
  <c r="DP3" i="2"/>
  <c r="DO3" i="2"/>
  <c r="DN3" i="2"/>
  <c r="DB28" i="2"/>
  <c r="DA29" i="2"/>
  <c r="DB29" i="2"/>
  <c r="DC29" i="2"/>
  <c r="DD29" i="2"/>
  <c r="DE29" i="2"/>
  <c r="DF29" i="2"/>
  <c r="DG29" i="2"/>
  <c r="DH29" i="2"/>
  <c r="DI29" i="2"/>
  <c r="DJ29" i="2"/>
  <c r="DK29" i="2"/>
  <c r="DL29" i="2"/>
  <c r="DA33" i="2"/>
  <c r="DB33" i="2"/>
  <c r="DC33" i="2"/>
  <c r="DD33" i="2"/>
  <c r="DE33" i="2"/>
  <c r="DF33" i="2"/>
  <c r="DG33" i="2"/>
  <c r="DH33" i="2"/>
  <c r="DI33" i="2"/>
  <c r="DJ33" i="2"/>
  <c r="DK33" i="2"/>
  <c r="DL33" i="2"/>
  <c r="DA36" i="2"/>
  <c r="DB36" i="2"/>
  <c r="DC36" i="2"/>
  <c r="DD36" i="2"/>
  <c r="DE36" i="2"/>
  <c r="DF36" i="2"/>
  <c r="DG36" i="2"/>
  <c r="DH36" i="2"/>
  <c r="DI36" i="2"/>
  <c r="DA37" i="2"/>
  <c r="DB37" i="2"/>
  <c r="DC37" i="2"/>
  <c r="DD37" i="2"/>
  <c r="DE37" i="2"/>
  <c r="DF37" i="2"/>
  <c r="DG37" i="2"/>
  <c r="DH37" i="2"/>
  <c r="DI37" i="2"/>
  <c r="DJ37" i="2"/>
  <c r="DK37" i="2"/>
  <c r="DL37" i="2"/>
  <c r="DA38" i="2"/>
  <c r="DB38" i="2"/>
  <c r="DC38" i="2"/>
  <c r="DD38" i="2"/>
  <c r="DE38" i="2"/>
  <c r="DF38" i="2"/>
  <c r="DG38" i="2"/>
  <c r="DH38" i="2"/>
  <c r="DI38" i="2"/>
  <c r="DJ38" i="2"/>
  <c r="DK38" i="2"/>
  <c r="DL38" i="2"/>
  <c r="DA41" i="2"/>
  <c r="DB41" i="2"/>
  <c r="DC41" i="2"/>
  <c r="DD41" i="2"/>
  <c r="DE41" i="2"/>
  <c r="DF41" i="2"/>
  <c r="DK41" i="2"/>
  <c r="DL41" i="2"/>
  <c r="DA45" i="2"/>
  <c r="DB45" i="2"/>
  <c r="DC45" i="2"/>
  <c r="DD45" i="2"/>
  <c r="DE45" i="2"/>
  <c r="DF45" i="2"/>
  <c r="DG45" i="2"/>
  <c r="DH45" i="2"/>
  <c r="DI45" i="2"/>
  <c r="DK45" i="2"/>
  <c r="DL45" i="2"/>
  <c r="DA7" i="2"/>
  <c r="DB7" i="2"/>
  <c r="DC7" i="2"/>
  <c r="DA8" i="2"/>
  <c r="DB8" i="2"/>
  <c r="DC8" i="2"/>
  <c r="DD8" i="2"/>
  <c r="DE8" i="2"/>
  <c r="DF8" i="2"/>
  <c r="DG8" i="2"/>
  <c r="DH8" i="2"/>
  <c r="DI8" i="2"/>
  <c r="DJ8" i="2"/>
  <c r="DK8" i="2"/>
  <c r="DL8" i="2"/>
  <c r="DA9" i="2"/>
  <c r="DB9" i="2"/>
  <c r="DC9" i="2"/>
  <c r="DA10" i="2"/>
  <c r="DB10" i="2"/>
  <c r="DC10" i="2"/>
  <c r="DD10" i="2"/>
  <c r="DE10" i="2"/>
  <c r="DF10" i="2"/>
  <c r="DG10" i="2"/>
  <c r="DH10" i="2"/>
  <c r="DI10" i="2"/>
  <c r="DA11" i="2"/>
  <c r="DB11" i="2"/>
  <c r="DC11" i="2"/>
  <c r="DD11" i="2"/>
  <c r="DE11" i="2"/>
  <c r="DF11" i="2"/>
  <c r="DG11" i="2"/>
  <c r="DH11" i="2"/>
  <c r="DI11" i="2"/>
  <c r="DJ11" i="2"/>
  <c r="DK11" i="2"/>
  <c r="DL11" i="2"/>
  <c r="DA15" i="2"/>
  <c r="DB15" i="2"/>
  <c r="DC15" i="2"/>
  <c r="DD15" i="2"/>
  <c r="DE15" i="2"/>
  <c r="DF15" i="2"/>
  <c r="DG15" i="2"/>
  <c r="DH15" i="2"/>
  <c r="DI15" i="2"/>
  <c r="DJ15" i="2"/>
  <c r="DK15" i="2"/>
  <c r="DL15" i="2"/>
  <c r="DA16" i="2"/>
  <c r="DB16" i="2"/>
  <c r="DC16" i="2"/>
  <c r="DD16" i="2"/>
  <c r="DE16" i="2"/>
  <c r="DF16" i="2"/>
  <c r="DG16" i="2"/>
  <c r="DH16" i="2"/>
  <c r="DI16" i="2"/>
  <c r="DJ16" i="2"/>
  <c r="DK16" i="2"/>
  <c r="DL16" i="2"/>
  <c r="DA17" i="2"/>
  <c r="DB17" i="2"/>
  <c r="DC17" i="2"/>
  <c r="DD17" i="2"/>
  <c r="DE17" i="2"/>
  <c r="DF17" i="2"/>
  <c r="DG17" i="2"/>
  <c r="DH17" i="2"/>
  <c r="DI17" i="2"/>
  <c r="DJ17" i="2"/>
  <c r="DK17" i="2"/>
  <c r="DL17" i="2"/>
  <c r="DA19" i="2"/>
  <c r="DB19" i="2"/>
  <c r="DC19" i="2"/>
  <c r="DD19" i="2"/>
  <c r="DE19" i="2"/>
  <c r="DF19" i="2"/>
  <c r="DG19" i="2"/>
  <c r="DH19" i="2"/>
  <c r="DI19" i="2"/>
  <c r="DA20" i="2"/>
  <c r="DB20" i="2"/>
  <c r="DC20" i="2"/>
  <c r="DD20" i="2"/>
  <c r="DE20" i="2"/>
  <c r="DF20" i="2"/>
  <c r="DG20" i="2"/>
  <c r="DH20" i="2"/>
  <c r="DI20" i="2"/>
  <c r="DJ20" i="2"/>
  <c r="DK20" i="2"/>
  <c r="DL20" i="2"/>
  <c r="DA48" i="2"/>
  <c r="DB48" i="2"/>
  <c r="DC48" i="2"/>
  <c r="DD48" i="2"/>
  <c r="DE48" i="2"/>
  <c r="DF48" i="2"/>
  <c r="DG48" i="2"/>
  <c r="DH48" i="2"/>
  <c r="DA49" i="2"/>
  <c r="DB49" i="2"/>
  <c r="DC49" i="2"/>
  <c r="DD49" i="2"/>
  <c r="DK49" i="2"/>
  <c r="DL49" i="2"/>
  <c r="DA50" i="2"/>
  <c r="DB50" i="2"/>
  <c r="DC50" i="2"/>
  <c r="DD50" i="2"/>
  <c r="DE50" i="2"/>
  <c r="DF50" i="2"/>
  <c r="DA51" i="2"/>
  <c r="DB51" i="2"/>
  <c r="DC51" i="2"/>
  <c r="DD51" i="2"/>
  <c r="DE51" i="2"/>
  <c r="DF51" i="2"/>
  <c r="DK52" i="2"/>
  <c r="DL52" i="2"/>
  <c r="DA69" i="2"/>
  <c r="DB69" i="2"/>
  <c r="DC69" i="2"/>
  <c r="DD69" i="2"/>
  <c r="DE69" i="2"/>
  <c r="DF69" i="2"/>
  <c r="DG69" i="2"/>
  <c r="DH69" i="2"/>
  <c r="DI69" i="2"/>
  <c r="DJ69" i="2"/>
  <c r="DK69" i="2"/>
  <c r="DL69" i="2"/>
  <c r="DA70" i="2"/>
  <c r="DB70" i="2"/>
  <c r="DC70" i="2"/>
  <c r="DD70" i="2"/>
  <c r="DE70" i="2"/>
  <c r="DF70" i="2"/>
  <c r="DG70" i="2"/>
  <c r="DH70" i="2"/>
  <c r="DI70" i="2"/>
  <c r="DJ70" i="2"/>
  <c r="DK70" i="2"/>
  <c r="DL70" i="2"/>
  <c r="DA73" i="2"/>
  <c r="DB73" i="2"/>
  <c r="DC73" i="2"/>
  <c r="DK73" i="2"/>
  <c r="DL73" i="2"/>
  <c r="DA75" i="2"/>
  <c r="DK75" i="2"/>
  <c r="DL75" i="2"/>
  <c r="DK77" i="2"/>
  <c r="DL77" i="2"/>
  <c r="DA78" i="2"/>
  <c r="DB78" i="2"/>
  <c r="DC78" i="2"/>
  <c r="DK78" i="2"/>
  <c r="DL78" i="2"/>
  <c r="DA90" i="2"/>
  <c r="DA107" i="2"/>
  <c r="DB107" i="2"/>
  <c r="DC107" i="2"/>
  <c r="DD107" i="2"/>
  <c r="DE107" i="2"/>
  <c r="DF107" i="2"/>
  <c r="DG107" i="2"/>
  <c r="DH107" i="2"/>
  <c r="DI107" i="2"/>
  <c r="DK107" i="2"/>
  <c r="DL107" i="2"/>
  <c r="DA108" i="2"/>
  <c r="DB108" i="2"/>
  <c r="DC108" i="2"/>
  <c r="DD108" i="2"/>
  <c r="DE108" i="2"/>
  <c r="DF108" i="2"/>
  <c r="DG108" i="2"/>
  <c r="DH108" i="2"/>
  <c r="DI108" i="2"/>
  <c r="DJ108" i="2"/>
  <c r="DK108" i="2"/>
  <c r="DL108" i="2"/>
  <c r="DA114" i="2"/>
  <c r="DB114" i="2"/>
  <c r="DK114" i="2"/>
  <c r="DL114" i="2"/>
  <c r="DA115" i="2"/>
  <c r="DB115" i="2"/>
  <c r="DC115" i="2"/>
  <c r="DD115" i="2"/>
  <c r="DE115" i="2"/>
  <c r="DF115" i="2"/>
  <c r="DG115" i="2"/>
  <c r="DH115" i="2"/>
  <c r="DI115" i="2"/>
  <c r="DK115" i="2"/>
  <c r="DL115" i="2"/>
  <c r="DA122" i="2"/>
  <c r="DB122" i="2"/>
  <c r="DC122" i="2"/>
  <c r="DD122" i="2"/>
  <c r="DE122" i="2"/>
  <c r="DF122" i="2"/>
  <c r="DK122" i="2"/>
  <c r="DL122" i="2"/>
  <c r="DA123" i="2"/>
  <c r="DK126" i="2"/>
  <c r="DL126" i="2"/>
  <c r="DA127" i="2"/>
  <c r="DB127" i="2"/>
  <c r="DK127" i="2"/>
  <c r="DL127" i="2"/>
  <c r="DK130" i="2"/>
  <c r="DL130" i="2"/>
  <c r="DK131" i="2"/>
  <c r="DL131" i="2"/>
  <c r="DK133" i="2"/>
  <c r="DL133" i="2"/>
  <c r="DA134" i="2"/>
  <c r="DB134" i="2"/>
  <c r="DC134" i="2"/>
  <c r="DD134" i="2"/>
  <c r="DE134" i="2"/>
  <c r="DF134" i="2"/>
  <c r="DG134" i="2"/>
  <c r="DH134" i="2"/>
  <c r="DI134" i="2"/>
  <c r="DJ134" i="2"/>
  <c r="DK134" i="2"/>
  <c r="DL134" i="2"/>
  <c r="DA143" i="2"/>
  <c r="DB143" i="2"/>
  <c r="DC143" i="2"/>
  <c r="DD143" i="2"/>
  <c r="DE143" i="2"/>
  <c r="DF143" i="2"/>
  <c r="DG143" i="2"/>
  <c r="DH143" i="2"/>
  <c r="DI143" i="2"/>
  <c r="DJ143" i="2"/>
  <c r="DK143" i="2"/>
  <c r="DL143" i="2"/>
  <c r="DA144" i="2"/>
  <c r="DA146" i="2"/>
  <c r="DB146" i="2"/>
  <c r="DC146" i="2"/>
  <c r="DD146" i="2"/>
  <c r="DE146" i="2"/>
  <c r="DF146" i="2"/>
  <c r="DG146" i="2"/>
  <c r="DH146" i="2"/>
  <c r="DI146" i="2"/>
  <c r="DJ146" i="2"/>
  <c r="DK146" i="2"/>
  <c r="DL146" i="2"/>
  <c r="DA147" i="2"/>
  <c r="DB147" i="2"/>
  <c r="DC147" i="2"/>
  <c r="DD147" i="2"/>
  <c r="DE147" i="2"/>
  <c r="DF147" i="2"/>
  <c r="DG147" i="2"/>
  <c r="DH147" i="2"/>
  <c r="DI147" i="2"/>
  <c r="DK149" i="2"/>
  <c r="DA153" i="2"/>
  <c r="DB153" i="2"/>
  <c r="DC153" i="2"/>
  <c r="DA155" i="2"/>
  <c r="DB155" i="2"/>
  <c r="DA156" i="2"/>
  <c r="DB156" i="2"/>
  <c r="DC156" i="2"/>
  <c r="DA157" i="2"/>
  <c r="DB157" i="2"/>
  <c r="DC157" i="2"/>
  <c r="DD157" i="2"/>
  <c r="DE157" i="2"/>
  <c r="DF157" i="2"/>
  <c r="DB4" i="2"/>
  <c r="DC4" i="2"/>
  <c r="DD4" i="2"/>
  <c r="DE4" i="2"/>
  <c r="DF4" i="2"/>
  <c r="DG4" i="2"/>
  <c r="DL4" i="2"/>
  <c r="DA5" i="2"/>
  <c r="DB5" i="2"/>
  <c r="DC5" i="2"/>
  <c r="DD5" i="2"/>
  <c r="DE5" i="2"/>
  <c r="DF5" i="2"/>
  <c r="DG5" i="2"/>
  <c r="DH5" i="2"/>
  <c r="DI5" i="2"/>
  <c r="DJ5" i="2"/>
  <c r="DK5" i="2"/>
  <c r="DL5" i="2"/>
  <c r="DA21" i="2"/>
  <c r="DB21" i="2"/>
  <c r="DC21" i="2"/>
  <c r="DD21" i="2"/>
  <c r="DE21" i="2"/>
  <c r="DF21" i="2"/>
  <c r="DG21" i="2"/>
  <c r="DH21" i="2"/>
  <c r="DI21" i="2"/>
  <c r="DL22" i="2"/>
  <c r="DA24" i="2"/>
  <c r="DB24" i="2"/>
  <c r="DC24" i="2"/>
  <c r="DB3" i="2"/>
  <c r="BQ4" i="2"/>
  <c r="S4" i="2" s="1"/>
  <c r="BR4" i="2"/>
  <c r="BQ5" i="2"/>
  <c r="S5" i="2" s="1"/>
  <c r="BR5" i="2"/>
  <c r="BQ21" i="2"/>
  <c r="S21" i="2" s="1"/>
  <c r="BR21" i="2"/>
  <c r="BQ22" i="2"/>
  <c r="S22" i="2" s="1"/>
  <c r="BR22" i="2"/>
  <c r="BQ23" i="2"/>
  <c r="S23" i="2" s="1"/>
  <c r="BR23" i="2"/>
  <c r="BQ24" i="2"/>
  <c r="S24" i="2" s="1"/>
  <c r="BR24" i="2"/>
  <c r="BQ25" i="2"/>
  <c r="S25" i="2" s="1"/>
  <c r="BR25" i="2"/>
  <c r="BQ26" i="2"/>
  <c r="S26" i="2" s="1"/>
  <c r="BR26" i="2"/>
  <c r="BQ27" i="2"/>
  <c r="S27" i="2" s="1"/>
  <c r="BR27" i="2"/>
  <c r="BQ28" i="2"/>
  <c r="S28" i="2" s="1"/>
  <c r="BR28" i="2"/>
  <c r="BQ29" i="2"/>
  <c r="S29" i="2" s="1"/>
  <c r="BR29" i="2"/>
  <c r="BQ30" i="2"/>
  <c r="S30" i="2" s="1"/>
  <c r="BR30" i="2"/>
  <c r="BQ31" i="2"/>
  <c r="S31" i="2" s="1"/>
  <c r="BR31" i="2"/>
  <c r="BQ32" i="2"/>
  <c r="S32" i="2" s="1"/>
  <c r="BR32" i="2"/>
  <c r="BQ33" i="2"/>
  <c r="S33" i="2" s="1"/>
  <c r="BR33" i="2"/>
  <c r="BQ34" i="2"/>
  <c r="S34" i="2" s="1"/>
  <c r="BR34" i="2"/>
  <c r="BQ35" i="2"/>
  <c r="S35" i="2" s="1"/>
  <c r="BR35" i="2"/>
  <c r="BQ36" i="2"/>
  <c r="S36" i="2" s="1"/>
  <c r="BR36" i="2"/>
  <c r="BQ37" i="2"/>
  <c r="S37" i="2" s="1"/>
  <c r="BR37" i="2"/>
  <c r="BQ38" i="2"/>
  <c r="S38" i="2" s="1"/>
  <c r="BR38" i="2"/>
  <c r="BQ39" i="2"/>
  <c r="S39" i="2" s="1"/>
  <c r="BR39" i="2"/>
  <c r="BQ40" i="2"/>
  <c r="S40" i="2" s="1"/>
  <c r="BR40" i="2"/>
  <c r="BQ41" i="2"/>
  <c r="S41" i="2" s="1"/>
  <c r="BR41" i="2"/>
  <c r="BQ44" i="2"/>
  <c r="S44" i="2" s="1"/>
  <c r="BR44" i="2"/>
  <c r="BQ45" i="2"/>
  <c r="S45" i="2" s="1"/>
  <c r="BR45" i="2"/>
  <c r="BQ6" i="2"/>
  <c r="S6" i="2" s="1"/>
  <c r="BR6" i="2"/>
  <c r="BQ7" i="2"/>
  <c r="S7" i="2" s="1"/>
  <c r="BR7" i="2"/>
  <c r="BQ8" i="2"/>
  <c r="S8" i="2" s="1"/>
  <c r="BR8" i="2"/>
  <c r="BQ9" i="2"/>
  <c r="S9" i="2" s="1"/>
  <c r="BR9" i="2"/>
  <c r="BQ10" i="2"/>
  <c r="S10" i="2" s="1"/>
  <c r="BR10" i="2"/>
  <c r="BQ11" i="2"/>
  <c r="S11" i="2" s="1"/>
  <c r="BR11" i="2"/>
  <c r="BQ12" i="2"/>
  <c r="S12" i="2" s="1"/>
  <c r="BR12" i="2"/>
  <c r="BQ13" i="2"/>
  <c r="S13" i="2" s="1"/>
  <c r="BR13" i="2"/>
  <c r="BQ14" i="2"/>
  <c r="S14" i="2" s="1"/>
  <c r="BR14" i="2"/>
  <c r="BQ15" i="2"/>
  <c r="S15" i="2" s="1"/>
  <c r="BR15" i="2"/>
  <c r="BQ16" i="2"/>
  <c r="S16" i="2" s="1"/>
  <c r="BR16" i="2"/>
  <c r="BQ17" i="2"/>
  <c r="S17" i="2" s="1"/>
  <c r="BR17" i="2"/>
  <c r="BQ18" i="2"/>
  <c r="S18" i="2" s="1"/>
  <c r="BR18" i="2"/>
  <c r="BQ19" i="2"/>
  <c r="S19" i="2" s="1"/>
  <c r="BR19" i="2"/>
  <c r="BQ20" i="2"/>
  <c r="S20" i="2" s="1"/>
  <c r="BR20" i="2"/>
  <c r="BQ46" i="2"/>
  <c r="S46" i="2" s="1"/>
  <c r="BR46" i="2"/>
  <c r="BQ47" i="2"/>
  <c r="S47" i="2" s="1"/>
  <c r="BR47" i="2"/>
  <c r="BQ48" i="2"/>
  <c r="S48" i="2" s="1"/>
  <c r="BR48" i="2"/>
  <c r="BQ49" i="2"/>
  <c r="S49" i="2" s="1"/>
  <c r="BR49" i="2"/>
  <c r="BQ50" i="2"/>
  <c r="S50" i="2" s="1"/>
  <c r="BR50" i="2"/>
  <c r="BQ51" i="2"/>
  <c r="S51" i="2" s="1"/>
  <c r="BR51" i="2"/>
  <c r="BQ52" i="2"/>
  <c r="S52" i="2" s="1"/>
  <c r="BR52" i="2"/>
  <c r="BQ53" i="2"/>
  <c r="S53" i="2" s="1"/>
  <c r="BR53" i="2"/>
  <c r="BQ54" i="2"/>
  <c r="S54" i="2" s="1"/>
  <c r="BR54" i="2"/>
  <c r="BQ55" i="2"/>
  <c r="S55" i="2" s="1"/>
  <c r="BR55" i="2"/>
  <c r="BQ56" i="2"/>
  <c r="S56" i="2" s="1"/>
  <c r="BR56" i="2"/>
  <c r="BQ57" i="2"/>
  <c r="S57" i="2" s="1"/>
  <c r="BR57" i="2"/>
  <c r="BQ58" i="2"/>
  <c r="S58" i="2" s="1"/>
  <c r="BR58" i="2"/>
  <c r="BQ59" i="2"/>
  <c r="S59" i="2" s="1"/>
  <c r="BR59" i="2"/>
  <c r="BQ60" i="2"/>
  <c r="S60" i="2" s="1"/>
  <c r="BR60" i="2"/>
  <c r="BQ61" i="2"/>
  <c r="S61" i="2" s="1"/>
  <c r="BR61" i="2"/>
  <c r="BQ62" i="2"/>
  <c r="S62" i="2" s="1"/>
  <c r="BR62" i="2"/>
  <c r="BQ63" i="2"/>
  <c r="S63" i="2" s="1"/>
  <c r="BR63" i="2"/>
  <c r="BQ64" i="2"/>
  <c r="S64" i="2" s="1"/>
  <c r="BR64" i="2"/>
  <c r="BQ65" i="2"/>
  <c r="S65" i="2" s="1"/>
  <c r="BR65" i="2"/>
  <c r="BQ69" i="2"/>
  <c r="S69" i="2" s="1"/>
  <c r="BR69" i="2"/>
  <c r="BQ70" i="2"/>
  <c r="S70" i="2" s="1"/>
  <c r="BR70" i="2"/>
  <c r="BQ71" i="2"/>
  <c r="S71" i="2" s="1"/>
  <c r="BR71" i="2"/>
  <c r="BQ72" i="2"/>
  <c r="S72" i="2" s="1"/>
  <c r="BR72" i="2"/>
  <c r="BQ73" i="2"/>
  <c r="S73" i="2" s="1"/>
  <c r="BR73" i="2"/>
  <c r="BQ74" i="2"/>
  <c r="S74" i="2" s="1"/>
  <c r="BR74" i="2"/>
  <c r="BQ75" i="2"/>
  <c r="S75" i="2" s="1"/>
  <c r="BR75" i="2"/>
  <c r="BQ76" i="2"/>
  <c r="S76" i="2" s="1"/>
  <c r="BR76" i="2"/>
  <c r="BQ77" i="2"/>
  <c r="S77" i="2" s="1"/>
  <c r="BR77" i="2"/>
  <c r="BQ78" i="2"/>
  <c r="S78" i="2" s="1"/>
  <c r="BR78" i="2"/>
  <c r="BQ79" i="2"/>
  <c r="S79" i="2" s="1"/>
  <c r="BR79" i="2"/>
  <c r="BQ80" i="2"/>
  <c r="S80" i="2" s="1"/>
  <c r="BR80" i="2"/>
  <c r="BQ81" i="2"/>
  <c r="S81" i="2" s="1"/>
  <c r="BR81" i="2"/>
  <c r="BQ82" i="2"/>
  <c r="S82" i="2" s="1"/>
  <c r="BR82" i="2"/>
  <c r="BQ83" i="2"/>
  <c r="S83" i="2" s="1"/>
  <c r="BR83" i="2"/>
  <c r="BQ84" i="2"/>
  <c r="S84" i="2" s="1"/>
  <c r="BR84" i="2"/>
  <c r="BQ85" i="2"/>
  <c r="S85" i="2" s="1"/>
  <c r="BR85" i="2"/>
  <c r="BQ86" i="2"/>
  <c r="S86" i="2" s="1"/>
  <c r="BR86" i="2"/>
  <c r="BQ87" i="2"/>
  <c r="S87" i="2" s="1"/>
  <c r="BR87" i="2"/>
  <c r="BQ88" i="2"/>
  <c r="S88" i="2" s="1"/>
  <c r="BR88" i="2"/>
  <c r="BQ90" i="2"/>
  <c r="S90" i="2" s="1"/>
  <c r="BR90" i="2"/>
  <c r="BQ91" i="2"/>
  <c r="S91" i="2" s="1"/>
  <c r="BR91" i="2"/>
  <c r="BQ92" i="2"/>
  <c r="S92" i="2" s="1"/>
  <c r="BR92" i="2"/>
  <c r="BQ93" i="2"/>
  <c r="S93" i="2" s="1"/>
  <c r="BR93" i="2"/>
  <c r="BQ94" i="2"/>
  <c r="S94" i="2" s="1"/>
  <c r="BR94" i="2"/>
  <c r="BQ95" i="2"/>
  <c r="S95" i="2" s="1"/>
  <c r="BR95" i="2"/>
  <c r="BQ96" i="2"/>
  <c r="S96" i="2" s="1"/>
  <c r="BR96" i="2"/>
  <c r="BQ97" i="2"/>
  <c r="S97" i="2" s="1"/>
  <c r="BR97" i="2"/>
  <c r="BQ98" i="2"/>
  <c r="S98" i="2" s="1"/>
  <c r="BR98" i="2"/>
  <c r="BQ99" i="2"/>
  <c r="S99" i="2" s="1"/>
  <c r="BR99" i="2"/>
  <c r="BQ100" i="2"/>
  <c r="S100" i="2" s="1"/>
  <c r="BR100" i="2"/>
  <c r="BQ101" i="2"/>
  <c r="S101" i="2" s="1"/>
  <c r="BR101" i="2"/>
  <c r="BQ102" i="2"/>
  <c r="S102" i="2" s="1"/>
  <c r="BR102" i="2"/>
  <c r="BQ103" i="2"/>
  <c r="S103" i="2" s="1"/>
  <c r="BR103" i="2"/>
  <c r="BQ104" i="2"/>
  <c r="S104" i="2" s="1"/>
  <c r="BR104" i="2"/>
  <c r="BQ105" i="2"/>
  <c r="S105" i="2" s="1"/>
  <c r="BR105" i="2"/>
  <c r="BQ106" i="2"/>
  <c r="S106" i="2" s="1"/>
  <c r="BR106" i="2"/>
  <c r="BQ107" i="2"/>
  <c r="S107" i="2" s="1"/>
  <c r="BR107" i="2"/>
  <c r="BQ108" i="2"/>
  <c r="S108" i="2" s="1"/>
  <c r="BR108" i="2"/>
  <c r="BQ109" i="2"/>
  <c r="S109" i="2" s="1"/>
  <c r="BR109" i="2"/>
  <c r="BQ110" i="2"/>
  <c r="S110" i="2" s="1"/>
  <c r="BR110" i="2"/>
  <c r="BQ111" i="2"/>
  <c r="S111" i="2" s="1"/>
  <c r="BR111" i="2"/>
  <c r="BQ112" i="2"/>
  <c r="S112" i="2" s="1"/>
  <c r="BR112" i="2"/>
  <c r="BQ113" i="2"/>
  <c r="S113" i="2" s="1"/>
  <c r="BR113" i="2"/>
  <c r="BQ114" i="2"/>
  <c r="S114" i="2" s="1"/>
  <c r="BR114" i="2"/>
  <c r="BQ115" i="2"/>
  <c r="S115" i="2" s="1"/>
  <c r="BR115" i="2"/>
  <c r="BQ116" i="2"/>
  <c r="S116" i="2" s="1"/>
  <c r="BR116" i="2"/>
  <c r="BQ117" i="2"/>
  <c r="S117" i="2" s="1"/>
  <c r="BR117" i="2"/>
  <c r="BQ119" i="2"/>
  <c r="S119" i="2" s="1"/>
  <c r="BR119" i="2"/>
  <c r="BQ120" i="2"/>
  <c r="S120" i="2" s="1"/>
  <c r="BR120" i="2"/>
  <c r="BQ121" i="2"/>
  <c r="S121" i="2" s="1"/>
  <c r="BR121" i="2"/>
  <c r="BQ122" i="2"/>
  <c r="S122" i="2" s="1"/>
  <c r="BR122" i="2"/>
  <c r="BQ123" i="2"/>
  <c r="S123" i="2" s="1"/>
  <c r="BR123" i="2"/>
  <c r="BQ124" i="2"/>
  <c r="S124" i="2" s="1"/>
  <c r="BR124" i="2"/>
  <c r="BQ125" i="2"/>
  <c r="S125" i="2" s="1"/>
  <c r="BR125" i="2"/>
  <c r="BQ126" i="2"/>
  <c r="S126" i="2" s="1"/>
  <c r="BR126" i="2"/>
  <c r="BQ127" i="2"/>
  <c r="S127" i="2" s="1"/>
  <c r="BR127" i="2"/>
  <c r="BQ129" i="2"/>
  <c r="S129" i="2" s="1"/>
  <c r="BR129" i="2"/>
  <c r="BQ130" i="2"/>
  <c r="S130" i="2" s="1"/>
  <c r="BR130" i="2"/>
  <c r="BQ131" i="2"/>
  <c r="S131" i="2" s="1"/>
  <c r="BR131" i="2"/>
  <c r="BQ132" i="2"/>
  <c r="S132" i="2" s="1"/>
  <c r="BR132" i="2"/>
  <c r="BQ133" i="2"/>
  <c r="S133" i="2" s="1"/>
  <c r="BR133" i="2"/>
  <c r="BQ134" i="2"/>
  <c r="S134" i="2" s="1"/>
  <c r="BR134" i="2"/>
  <c r="BQ135" i="2"/>
  <c r="S135" i="2" s="1"/>
  <c r="BR135" i="2"/>
  <c r="BQ136" i="2"/>
  <c r="S136" i="2" s="1"/>
  <c r="BR136" i="2"/>
  <c r="BQ137" i="2"/>
  <c r="S137" i="2" s="1"/>
  <c r="BR137" i="2"/>
  <c r="BQ138" i="2"/>
  <c r="S138" i="2" s="1"/>
  <c r="BR138" i="2"/>
  <c r="BQ139" i="2"/>
  <c r="S139" i="2" s="1"/>
  <c r="BR139" i="2"/>
  <c r="BQ140" i="2"/>
  <c r="S140" i="2" s="1"/>
  <c r="BR140" i="2"/>
  <c r="BQ141" i="2"/>
  <c r="S141" i="2" s="1"/>
  <c r="BR141" i="2"/>
  <c r="BQ142" i="2"/>
  <c r="S142" i="2" s="1"/>
  <c r="BR142" i="2"/>
  <c r="BQ143" i="2"/>
  <c r="S143" i="2" s="1"/>
  <c r="BR143" i="2"/>
  <c r="BQ144" i="2"/>
  <c r="S144" i="2" s="1"/>
  <c r="BR144" i="2"/>
  <c r="BQ145" i="2"/>
  <c r="S145" i="2" s="1"/>
  <c r="BR145" i="2"/>
  <c r="BQ146" i="2"/>
  <c r="S146" i="2" s="1"/>
  <c r="BR146" i="2"/>
  <c r="BQ147" i="2"/>
  <c r="S147" i="2" s="1"/>
  <c r="BR147" i="2"/>
  <c r="BR148" i="2"/>
  <c r="BQ149" i="2"/>
  <c r="S149" i="2" s="1"/>
  <c r="BR149" i="2"/>
  <c r="BQ152" i="2"/>
  <c r="S152" i="2" s="1"/>
  <c r="BR152" i="2"/>
  <c r="BQ153" i="2"/>
  <c r="S153" i="2" s="1"/>
  <c r="BR153" i="2"/>
  <c r="BQ154" i="2"/>
  <c r="S154" i="2" s="1"/>
  <c r="BR154" i="2"/>
  <c r="BQ155" i="2"/>
  <c r="S155" i="2" s="1"/>
  <c r="BR155" i="2"/>
  <c r="BQ156" i="2"/>
  <c r="S156" i="2" s="1"/>
  <c r="BR156" i="2"/>
  <c r="BQ157" i="2"/>
  <c r="S157" i="2" s="1"/>
  <c r="BR157" i="2"/>
  <c r="BS25" i="2"/>
  <c r="BT25" i="2"/>
  <c r="BU25" i="2"/>
  <c r="BV25" i="2"/>
  <c r="BW25" i="2"/>
  <c r="BY25" i="2"/>
  <c r="BS26" i="2"/>
  <c r="BT26" i="2"/>
  <c r="BU26" i="2"/>
  <c r="BV26" i="2"/>
  <c r="BW26" i="2"/>
  <c r="BY26" i="2"/>
  <c r="BS27" i="2"/>
  <c r="BT27" i="2"/>
  <c r="BU27" i="2"/>
  <c r="BV27" i="2"/>
  <c r="BW27" i="2"/>
  <c r="BY27" i="2"/>
  <c r="BS28" i="2"/>
  <c r="BT28" i="2"/>
  <c r="BU28" i="2"/>
  <c r="BV28" i="2"/>
  <c r="BW28" i="2"/>
  <c r="BY28" i="2"/>
  <c r="BS29" i="2"/>
  <c r="BT29" i="2"/>
  <c r="BU29" i="2"/>
  <c r="BV29" i="2"/>
  <c r="BW29" i="2"/>
  <c r="BY29" i="2"/>
  <c r="BS30" i="2"/>
  <c r="BT30" i="2"/>
  <c r="BU30" i="2"/>
  <c r="BV30" i="2"/>
  <c r="BW30" i="2"/>
  <c r="BY30" i="2"/>
  <c r="BS31" i="2"/>
  <c r="BT31" i="2"/>
  <c r="BU31" i="2"/>
  <c r="BV31" i="2"/>
  <c r="BW31" i="2"/>
  <c r="BY31" i="2"/>
  <c r="BS32" i="2"/>
  <c r="BT32" i="2"/>
  <c r="BU32" i="2"/>
  <c r="BV32" i="2"/>
  <c r="BW32" i="2"/>
  <c r="BY32" i="2"/>
  <c r="BS33" i="2"/>
  <c r="BT33" i="2"/>
  <c r="BU33" i="2"/>
  <c r="BV33" i="2"/>
  <c r="BW33" i="2"/>
  <c r="BY33" i="2"/>
  <c r="BS34" i="2"/>
  <c r="BT34" i="2"/>
  <c r="BU34" i="2"/>
  <c r="BV34" i="2"/>
  <c r="BW34" i="2"/>
  <c r="BY34" i="2"/>
  <c r="BS35" i="2"/>
  <c r="BT35" i="2"/>
  <c r="BU35" i="2"/>
  <c r="BV35" i="2"/>
  <c r="BW35" i="2"/>
  <c r="BY35" i="2"/>
  <c r="BS36" i="2"/>
  <c r="BT36" i="2"/>
  <c r="BU36" i="2"/>
  <c r="BV36" i="2"/>
  <c r="BW36" i="2"/>
  <c r="BY36" i="2"/>
  <c r="BS37" i="2"/>
  <c r="BT37" i="2"/>
  <c r="BU37" i="2"/>
  <c r="BV37" i="2"/>
  <c r="BW37" i="2"/>
  <c r="BY37" i="2"/>
  <c r="BS38" i="2"/>
  <c r="BT38" i="2"/>
  <c r="BU38" i="2"/>
  <c r="BV38" i="2"/>
  <c r="BW38" i="2"/>
  <c r="BY38" i="2"/>
  <c r="BS39" i="2"/>
  <c r="BT39" i="2"/>
  <c r="BU39" i="2"/>
  <c r="BV39" i="2"/>
  <c r="BW39" i="2"/>
  <c r="BY39" i="2"/>
  <c r="BS40" i="2"/>
  <c r="BT40" i="2"/>
  <c r="BU40" i="2"/>
  <c r="BV40" i="2"/>
  <c r="BW40" i="2"/>
  <c r="BX40" i="2"/>
  <c r="BY40" i="2"/>
  <c r="BS41" i="2"/>
  <c r="BT41" i="2"/>
  <c r="BU41" i="2"/>
  <c r="BV41" i="2"/>
  <c r="BW41" i="2"/>
  <c r="BX41" i="2"/>
  <c r="BY41" i="2"/>
  <c r="BS44" i="2"/>
  <c r="BT44" i="2"/>
  <c r="BU44" i="2"/>
  <c r="BV44" i="2"/>
  <c r="BW44" i="2"/>
  <c r="BY44" i="2"/>
  <c r="BS45" i="2"/>
  <c r="BT45" i="2"/>
  <c r="BU45" i="2"/>
  <c r="BV45" i="2"/>
  <c r="BW45" i="2"/>
  <c r="BY45" i="2"/>
  <c r="BS6" i="2"/>
  <c r="BT6" i="2"/>
  <c r="BU6" i="2"/>
  <c r="BV6" i="2"/>
  <c r="BW6" i="2"/>
  <c r="BY6" i="2"/>
  <c r="BS7" i="2"/>
  <c r="BT7" i="2"/>
  <c r="BU7" i="2"/>
  <c r="BV7" i="2"/>
  <c r="BW7" i="2"/>
  <c r="BX7" i="2"/>
  <c r="BY7" i="2"/>
  <c r="BS8" i="2"/>
  <c r="BT8" i="2"/>
  <c r="BU8" i="2"/>
  <c r="BV8" i="2"/>
  <c r="BW8" i="2"/>
  <c r="BX8" i="2"/>
  <c r="BY8" i="2"/>
  <c r="BS9" i="2"/>
  <c r="BT9" i="2"/>
  <c r="BU9" i="2"/>
  <c r="BV9" i="2"/>
  <c r="BW9" i="2"/>
  <c r="BX9" i="2"/>
  <c r="BY9" i="2"/>
  <c r="BS10" i="2"/>
  <c r="BT10" i="2"/>
  <c r="BU10" i="2"/>
  <c r="BV10" i="2"/>
  <c r="BW10" i="2"/>
  <c r="BX10" i="2"/>
  <c r="BY10" i="2"/>
  <c r="BS11" i="2"/>
  <c r="BT11" i="2"/>
  <c r="BU11" i="2"/>
  <c r="BV11" i="2"/>
  <c r="BW11" i="2"/>
  <c r="BX11" i="2"/>
  <c r="BY11" i="2"/>
  <c r="BS12" i="2"/>
  <c r="BT12" i="2"/>
  <c r="BU12" i="2"/>
  <c r="BV12" i="2"/>
  <c r="BW12" i="2"/>
  <c r="BY12" i="2"/>
  <c r="BS13" i="2"/>
  <c r="BT13" i="2"/>
  <c r="BU13" i="2"/>
  <c r="BV13" i="2"/>
  <c r="BW13" i="2"/>
  <c r="BY13" i="2"/>
  <c r="BS14" i="2"/>
  <c r="BT14" i="2"/>
  <c r="BU14" i="2"/>
  <c r="BV14" i="2"/>
  <c r="BW14" i="2"/>
  <c r="BY14" i="2"/>
  <c r="BS15" i="2"/>
  <c r="BT15" i="2"/>
  <c r="BU15" i="2"/>
  <c r="BV15" i="2"/>
  <c r="BW15" i="2"/>
  <c r="BY15" i="2"/>
  <c r="BS16" i="2"/>
  <c r="BT16" i="2"/>
  <c r="BU16" i="2"/>
  <c r="BV16" i="2"/>
  <c r="BW16" i="2"/>
  <c r="BY16" i="2"/>
  <c r="BS17" i="2"/>
  <c r="BT17" i="2"/>
  <c r="BU17" i="2"/>
  <c r="BV17" i="2"/>
  <c r="BW17" i="2"/>
  <c r="BY17" i="2"/>
  <c r="BS18" i="2"/>
  <c r="BT18" i="2"/>
  <c r="BU18" i="2"/>
  <c r="BV18" i="2"/>
  <c r="BW18" i="2"/>
  <c r="BY18" i="2"/>
  <c r="BS19" i="2"/>
  <c r="BT19" i="2"/>
  <c r="BU19" i="2"/>
  <c r="BV19" i="2"/>
  <c r="BW19" i="2"/>
  <c r="BY19" i="2"/>
  <c r="BS20" i="2"/>
  <c r="BT20" i="2"/>
  <c r="BU20" i="2"/>
  <c r="BV20" i="2"/>
  <c r="BW20" i="2"/>
  <c r="BY20" i="2"/>
  <c r="BS46" i="2"/>
  <c r="BT46" i="2"/>
  <c r="BU46" i="2"/>
  <c r="BV46" i="2"/>
  <c r="BW46" i="2"/>
  <c r="BY46" i="2"/>
  <c r="BS47" i="2"/>
  <c r="BT47" i="2"/>
  <c r="BU47" i="2"/>
  <c r="BV47" i="2"/>
  <c r="BW47" i="2"/>
  <c r="BY47" i="2"/>
  <c r="BS48" i="2"/>
  <c r="BT48" i="2"/>
  <c r="BU48" i="2"/>
  <c r="BV48" i="2"/>
  <c r="BW48" i="2"/>
  <c r="BY48" i="2"/>
  <c r="BS49" i="2"/>
  <c r="BT49" i="2"/>
  <c r="BU49" i="2"/>
  <c r="BV49" i="2"/>
  <c r="BW49" i="2"/>
  <c r="BY49" i="2"/>
  <c r="BS50" i="2"/>
  <c r="BT50" i="2"/>
  <c r="BU50" i="2"/>
  <c r="BV50" i="2"/>
  <c r="BW50" i="2"/>
  <c r="BY50" i="2"/>
  <c r="BS51" i="2"/>
  <c r="BT51" i="2"/>
  <c r="BU51" i="2"/>
  <c r="BV51" i="2"/>
  <c r="BW51" i="2"/>
  <c r="BX51" i="2"/>
  <c r="BY51" i="2"/>
  <c r="BS52" i="2"/>
  <c r="BT52" i="2"/>
  <c r="BU52" i="2"/>
  <c r="BV52" i="2"/>
  <c r="BW52" i="2"/>
  <c r="BX52" i="2"/>
  <c r="BY52" i="2"/>
  <c r="BS53" i="2"/>
  <c r="BT53" i="2"/>
  <c r="BU53" i="2"/>
  <c r="BV53" i="2"/>
  <c r="BW53" i="2"/>
  <c r="BY53" i="2"/>
  <c r="BS54" i="2"/>
  <c r="BT54" i="2"/>
  <c r="BU54" i="2"/>
  <c r="BV54" i="2"/>
  <c r="BW54" i="2"/>
  <c r="BY54" i="2"/>
  <c r="BS55" i="2"/>
  <c r="BT55" i="2"/>
  <c r="BU55" i="2"/>
  <c r="BV55" i="2"/>
  <c r="BW55" i="2"/>
  <c r="BY55" i="2"/>
  <c r="BS56" i="2"/>
  <c r="BT56" i="2"/>
  <c r="BU56" i="2"/>
  <c r="BV56" i="2"/>
  <c r="BW56" i="2"/>
  <c r="BY56" i="2"/>
  <c r="BS57" i="2"/>
  <c r="BT57" i="2"/>
  <c r="BU57" i="2"/>
  <c r="BV57" i="2"/>
  <c r="BW57" i="2"/>
  <c r="BY57" i="2"/>
  <c r="BS58" i="2"/>
  <c r="BT58" i="2"/>
  <c r="BU58" i="2"/>
  <c r="BV58" i="2"/>
  <c r="BW58" i="2"/>
  <c r="BY58" i="2"/>
  <c r="BS59" i="2"/>
  <c r="BT59" i="2"/>
  <c r="BU59" i="2"/>
  <c r="BV59" i="2"/>
  <c r="BW59" i="2"/>
  <c r="BY59" i="2"/>
  <c r="BS60" i="2"/>
  <c r="BT60" i="2"/>
  <c r="BU60" i="2"/>
  <c r="BV60" i="2"/>
  <c r="BW60" i="2"/>
  <c r="BX60" i="2"/>
  <c r="BY60" i="2"/>
  <c r="BS61" i="2"/>
  <c r="BT61" i="2"/>
  <c r="BU61" i="2"/>
  <c r="BV61" i="2"/>
  <c r="BW61" i="2"/>
  <c r="BY61" i="2"/>
  <c r="BS62" i="2"/>
  <c r="BT62" i="2"/>
  <c r="BU62" i="2"/>
  <c r="BV62" i="2"/>
  <c r="BW62" i="2"/>
  <c r="BY62" i="2"/>
  <c r="BS63" i="2"/>
  <c r="BT63" i="2"/>
  <c r="BU63" i="2"/>
  <c r="BV63" i="2"/>
  <c r="BW63" i="2"/>
  <c r="BY63" i="2"/>
  <c r="BS64" i="2"/>
  <c r="BT64" i="2"/>
  <c r="BU64" i="2"/>
  <c r="BV64" i="2"/>
  <c r="BW64" i="2"/>
  <c r="BX64" i="2"/>
  <c r="BY64" i="2"/>
  <c r="BS65" i="2"/>
  <c r="BT65" i="2"/>
  <c r="BU65" i="2"/>
  <c r="BV65" i="2"/>
  <c r="BW65" i="2"/>
  <c r="BY65" i="2"/>
  <c r="BS69" i="2"/>
  <c r="BT69" i="2"/>
  <c r="BU69" i="2"/>
  <c r="BV69" i="2"/>
  <c r="BW69" i="2"/>
  <c r="BY69" i="2"/>
  <c r="BS70" i="2"/>
  <c r="BT70" i="2"/>
  <c r="BU70" i="2"/>
  <c r="BV70" i="2"/>
  <c r="BW70" i="2"/>
  <c r="BY70" i="2"/>
  <c r="BS71" i="2"/>
  <c r="BT71" i="2"/>
  <c r="BU71" i="2"/>
  <c r="BV71" i="2"/>
  <c r="BW71" i="2"/>
  <c r="BY71" i="2"/>
  <c r="BS72" i="2"/>
  <c r="BT72" i="2"/>
  <c r="BU72" i="2"/>
  <c r="BV72" i="2"/>
  <c r="BW72" i="2"/>
  <c r="BY72" i="2"/>
  <c r="BS73" i="2"/>
  <c r="BT73" i="2"/>
  <c r="BU73" i="2"/>
  <c r="BV73" i="2"/>
  <c r="BW73" i="2"/>
  <c r="BY73" i="2"/>
  <c r="BS74" i="2"/>
  <c r="BT74" i="2"/>
  <c r="BU74" i="2"/>
  <c r="BV74" i="2"/>
  <c r="BW74" i="2"/>
  <c r="BY74" i="2"/>
  <c r="BS75" i="2"/>
  <c r="BT75" i="2"/>
  <c r="BU75" i="2"/>
  <c r="BV75" i="2"/>
  <c r="BW75" i="2"/>
  <c r="BY75" i="2"/>
  <c r="BS76" i="2"/>
  <c r="BT76" i="2"/>
  <c r="BU76" i="2"/>
  <c r="BV76" i="2"/>
  <c r="BW76" i="2"/>
  <c r="BX76" i="2"/>
  <c r="BY76" i="2"/>
  <c r="BS77" i="2"/>
  <c r="BT77" i="2"/>
  <c r="BU77" i="2"/>
  <c r="BV77" i="2"/>
  <c r="BW77" i="2"/>
  <c r="BX77" i="2"/>
  <c r="BY77" i="2"/>
  <c r="BS78" i="2"/>
  <c r="BT78" i="2"/>
  <c r="BU78" i="2"/>
  <c r="BV78" i="2"/>
  <c r="BW78" i="2"/>
  <c r="BX78" i="2"/>
  <c r="BY78" i="2"/>
  <c r="BS79" i="2"/>
  <c r="BT79" i="2"/>
  <c r="BU79" i="2"/>
  <c r="BV79" i="2"/>
  <c r="BW79" i="2"/>
  <c r="BY79" i="2"/>
  <c r="BS80" i="2"/>
  <c r="BT80" i="2"/>
  <c r="BU80" i="2"/>
  <c r="BV80" i="2"/>
  <c r="BW80" i="2"/>
  <c r="BY80" i="2"/>
  <c r="BS81" i="2"/>
  <c r="BT81" i="2"/>
  <c r="BU81" i="2"/>
  <c r="BV81" i="2"/>
  <c r="BW81" i="2"/>
  <c r="BY81" i="2"/>
  <c r="BS82" i="2"/>
  <c r="BT82" i="2"/>
  <c r="BU82" i="2"/>
  <c r="BV82" i="2"/>
  <c r="BW82" i="2"/>
  <c r="BY82" i="2"/>
  <c r="BS83" i="2"/>
  <c r="BT83" i="2"/>
  <c r="BU83" i="2"/>
  <c r="BV83" i="2"/>
  <c r="BW83" i="2"/>
  <c r="BY83" i="2"/>
  <c r="BS84" i="2"/>
  <c r="BT84" i="2"/>
  <c r="BU84" i="2"/>
  <c r="BV84" i="2"/>
  <c r="BW84" i="2"/>
  <c r="BY84" i="2"/>
  <c r="BS85" i="2"/>
  <c r="BT85" i="2"/>
  <c r="BU85" i="2"/>
  <c r="BV85" i="2"/>
  <c r="BW85" i="2"/>
  <c r="BY85" i="2"/>
  <c r="BS86" i="2"/>
  <c r="BT86" i="2"/>
  <c r="BU86" i="2"/>
  <c r="BV86" i="2"/>
  <c r="BW86" i="2"/>
  <c r="BY86" i="2"/>
  <c r="BS87" i="2"/>
  <c r="BT87" i="2"/>
  <c r="BU87" i="2"/>
  <c r="BV87" i="2"/>
  <c r="BW87" i="2"/>
  <c r="BX87" i="2"/>
  <c r="BY87" i="2"/>
  <c r="BS88" i="2"/>
  <c r="BT88" i="2"/>
  <c r="BU88" i="2"/>
  <c r="BV88" i="2"/>
  <c r="BW88" i="2"/>
  <c r="BX88" i="2"/>
  <c r="BY88" i="2"/>
  <c r="BS90" i="2"/>
  <c r="BT90" i="2"/>
  <c r="BU90" i="2"/>
  <c r="BV90" i="2"/>
  <c r="BW90" i="2"/>
  <c r="BY90" i="2"/>
  <c r="BS91" i="2"/>
  <c r="BT91" i="2"/>
  <c r="BU91" i="2"/>
  <c r="BV91" i="2"/>
  <c r="BW91" i="2"/>
  <c r="BY91" i="2"/>
  <c r="BS92" i="2"/>
  <c r="BT92" i="2"/>
  <c r="BU92" i="2"/>
  <c r="BV92" i="2"/>
  <c r="BW92" i="2"/>
  <c r="BY92" i="2"/>
  <c r="BS93" i="2"/>
  <c r="BT93" i="2"/>
  <c r="BU93" i="2"/>
  <c r="BV93" i="2"/>
  <c r="BW93" i="2"/>
  <c r="BY93" i="2"/>
  <c r="BS94" i="2"/>
  <c r="BT94" i="2"/>
  <c r="BU94" i="2"/>
  <c r="BV94" i="2"/>
  <c r="BW94" i="2"/>
  <c r="BY94" i="2"/>
  <c r="BS95" i="2"/>
  <c r="BT95" i="2"/>
  <c r="BU95" i="2"/>
  <c r="BV95" i="2"/>
  <c r="BW95" i="2"/>
  <c r="BY95" i="2"/>
  <c r="BS96" i="2"/>
  <c r="BT96" i="2"/>
  <c r="BU96" i="2"/>
  <c r="BV96" i="2"/>
  <c r="BW96" i="2"/>
  <c r="BY96" i="2"/>
  <c r="BS97" i="2"/>
  <c r="BT97" i="2"/>
  <c r="BU97" i="2"/>
  <c r="BV97" i="2"/>
  <c r="BW97" i="2"/>
  <c r="BY97" i="2"/>
  <c r="BS98" i="2"/>
  <c r="BT98" i="2"/>
  <c r="BU98" i="2"/>
  <c r="BV98" i="2"/>
  <c r="BW98" i="2"/>
  <c r="BY98" i="2"/>
  <c r="BS99" i="2"/>
  <c r="BT99" i="2"/>
  <c r="BU99" i="2"/>
  <c r="BV99" i="2"/>
  <c r="BW99" i="2"/>
  <c r="BY99" i="2"/>
  <c r="BS100" i="2"/>
  <c r="BT100" i="2"/>
  <c r="BU100" i="2"/>
  <c r="BV100" i="2"/>
  <c r="BW100" i="2"/>
  <c r="BY100" i="2"/>
  <c r="BS101" i="2"/>
  <c r="BT101" i="2"/>
  <c r="BU101" i="2"/>
  <c r="BV101" i="2"/>
  <c r="BW101" i="2"/>
  <c r="BY101" i="2"/>
  <c r="BS102" i="2"/>
  <c r="BT102" i="2"/>
  <c r="BU102" i="2"/>
  <c r="BV102" i="2"/>
  <c r="BW102" i="2"/>
  <c r="BY102" i="2"/>
  <c r="BS103" i="2"/>
  <c r="BT103" i="2"/>
  <c r="BU103" i="2"/>
  <c r="BV103" i="2"/>
  <c r="BW103" i="2"/>
  <c r="BY103" i="2"/>
  <c r="BS104" i="2"/>
  <c r="BT104" i="2"/>
  <c r="BU104" i="2"/>
  <c r="BV104" i="2"/>
  <c r="BW104" i="2"/>
  <c r="BX104" i="2"/>
  <c r="BY104" i="2"/>
  <c r="BS105" i="2"/>
  <c r="BT105" i="2"/>
  <c r="BU105" i="2"/>
  <c r="BV105" i="2"/>
  <c r="BW105" i="2"/>
  <c r="BY105" i="2"/>
  <c r="BS106" i="2"/>
  <c r="BT106" i="2"/>
  <c r="BU106" i="2"/>
  <c r="BV106" i="2"/>
  <c r="BW106" i="2"/>
  <c r="BY106" i="2"/>
  <c r="BS107" i="2"/>
  <c r="BT107" i="2"/>
  <c r="BU107" i="2"/>
  <c r="BV107" i="2"/>
  <c r="BW107" i="2"/>
  <c r="BX107" i="2"/>
  <c r="BY107" i="2"/>
  <c r="BS108" i="2"/>
  <c r="BT108" i="2"/>
  <c r="BU108" i="2"/>
  <c r="BV108" i="2"/>
  <c r="BW108" i="2"/>
  <c r="BX108" i="2"/>
  <c r="BY108" i="2"/>
  <c r="BS109" i="2"/>
  <c r="BT109" i="2"/>
  <c r="BU109" i="2"/>
  <c r="BV109" i="2"/>
  <c r="BW109" i="2"/>
  <c r="BY109" i="2"/>
  <c r="BS110" i="2"/>
  <c r="BT110" i="2"/>
  <c r="BU110" i="2"/>
  <c r="BV110" i="2"/>
  <c r="BW110" i="2"/>
  <c r="BY110" i="2"/>
  <c r="BS111" i="2"/>
  <c r="BT111" i="2"/>
  <c r="BU111" i="2"/>
  <c r="BV111" i="2"/>
  <c r="BW111" i="2"/>
  <c r="BY111" i="2"/>
  <c r="BS112" i="2"/>
  <c r="BT112" i="2"/>
  <c r="BU112" i="2"/>
  <c r="BV112" i="2"/>
  <c r="BW112" i="2"/>
  <c r="BY112" i="2"/>
  <c r="BS113" i="2"/>
  <c r="BT113" i="2"/>
  <c r="BU113" i="2"/>
  <c r="BV113" i="2"/>
  <c r="BW113" i="2"/>
  <c r="BY113" i="2"/>
  <c r="BS114" i="2"/>
  <c r="BT114" i="2"/>
  <c r="BU114" i="2"/>
  <c r="BV114" i="2"/>
  <c r="BW114" i="2"/>
  <c r="BY114" i="2"/>
  <c r="BS115" i="2"/>
  <c r="BT115" i="2"/>
  <c r="BU115" i="2"/>
  <c r="BV115" i="2"/>
  <c r="BW115" i="2"/>
  <c r="BX115" i="2"/>
  <c r="BY115" i="2"/>
  <c r="BS116" i="2"/>
  <c r="BT116" i="2"/>
  <c r="BU116" i="2"/>
  <c r="BV116" i="2"/>
  <c r="BW116" i="2"/>
  <c r="BY116" i="2"/>
  <c r="BS117" i="2"/>
  <c r="BT117" i="2"/>
  <c r="BU117" i="2"/>
  <c r="BV117" i="2"/>
  <c r="BW117" i="2"/>
  <c r="BY117" i="2"/>
  <c r="BS119" i="2"/>
  <c r="BT119" i="2"/>
  <c r="BU119" i="2"/>
  <c r="BV119" i="2"/>
  <c r="BW119" i="2"/>
  <c r="BY119" i="2"/>
  <c r="BS120" i="2"/>
  <c r="BT120" i="2"/>
  <c r="BU120" i="2"/>
  <c r="BV120" i="2"/>
  <c r="BW120" i="2"/>
  <c r="BY120" i="2"/>
  <c r="BS121" i="2"/>
  <c r="BT121" i="2"/>
  <c r="BU121" i="2"/>
  <c r="BV121" i="2"/>
  <c r="BW121" i="2"/>
  <c r="BY121" i="2"/>
  <c r="BS122" i="2"/>
  <c r="BT122" i="2"/>
  <c r="BU122" i="2"/>
  <c r="BV122" i="2"/>
  <c r="BW122" i="2"/>
  <c r="BY122" i="2"/>
  <c r="BS123" i="2"/>
  <c r="BT123" i="2"/>
  <c r="BU123" i="2"/>
  <c r="BV123" i="2"/>
  <c r="BW123" i="2"/>
  <c r="BY123" i="2"/>
  <c r="BS124" i="2"/>
  <c r="BT124" i="2"/>
  <c r="BU124" i="2"/>
  <c r="BV124" i="2"/>
  <c r="BW124" i="2"/>
  <c r="BX124" i="2"/>
  <c r="BY124" i="2"/>
  <c r="BS125" i="2"/>
  <c r="BT125" i="2"/>
  <c r="BU125" i="2"/>
  <c r="BV125" i="2"/>
  <c r="BW125" i="2"/>
  <c r="BY125" i="2"/>
  <c r="BS126" i="2"/>
  <c r="BT126" i="2"/>
  <c r="BU126" i="2"/>
  <c r="BV126" i="2"/>
  <c r="BW126" i="2"/>
  <c r="BX126" i="2"/>
  <c r="BY126" i="2"/>
  <c r="BS127" i="2"/>
  <c r="BT127" i="2"/>
  <c r="BU127" i="2"/>
  <c r="BV127" i="2"/>
  <c r="BW127" i="2"/>
  <c r="BX127" i="2"/>
  <c r="BY127" i="2"/>
  <c r="BS129" i="2"/>
  <c r="BT129" i="2"/>
  <c r="BU129" i="2"/>
  <c r="BV129" i="2"/>
  <c r="BW129" i="2"/>
  <c r="BY129" i="2"/>
  <c r="BS130" i="2"/>
  <c r="BT130" i="2"/>
  <c r="BU130" i="2"/>
  <c r="BV130" i="2"/>
  <c r="BW130" i="2"/>
  <c r="BX130" i="2"/>
  <c r="BY130" i="2"/>
  <c r="BS131" i="2"/>
  <c r="BT131" i="2"/>
  <c r="BU131" i="2"/>
  <c r="BW131" i="2"/>
  <c r="BY131" i="2"/>
  <c r="BS132" i="2"/>
  <c r="BT132" i="2"/>
  <c r="BU132" i="2"/>
  <c r="BV132" i="2"/>
  <c r="BW132" i="2"/>
  <c r="BY132" i="2"/>
  <c r="BS133" i="2"/>
  <c r="BT133" i="2"/>
  <c r="BU133" i="2"/>
  <c r="BW133" i="2"/>
  <c r="BY133" i="2"/>
  <c r="BS134" i="2"/>
  <c r="BT134" i="2"/>
  <c r="BU134" i="2"/>
  <c r="BW134" i="2"/>
  <c r="BY134" i="2"/>
  <c r="BS135" i="2"/>
  <c r="BT135" i="2"/>
  <c r="BU135" i="2"/>
  <c r="BV135" i="2"/>
  <c r="BW135" i="2"/>
  <c r="BX135" i="2"/>
  <c r="BY135" i="2"/>
  <c r="BS136" i="2"/>
  <c r="BT136" i="2"/>
  <c r="BV136" i="2"/>
  <c r="BW136" i="2"/>
  <c r="BY136" i="2"/>
  <c r="BS137" i="2"/>
  <c r="BT137" i="2"/>
  <c r="BU137" i="2"/>
  <c r="BV137" i="2"/>
  <c r="BW137" i="2"/>
  <c r="BY137" i="2"/>
  <c r="BS138" i="2"/>
  <c r="BT138" i="2"/>
  <c r="BU138" i="2"/>
  <c r="BV138" i="2"/>
  <c r="BW138" i="2"/>
  <c r="BY138" i="2"/>
  <c r="BS139" i="2"/>
  <c r="BT139" i="2"/>
  <c r="BU139" i="2"/>
  <c r="BV139" i="2"/>
  <c r="BW139" i="2"/>
  <c r="BY139" i="2"/>
  <c r="BS140" i="2"/>
  <c r="BT140" i="2"/>
  <c r="BU140" i="2"/>
  <c r="BV140" i="2"/>
  <c r="BW140" i="2"/>
  <c r="BY140" i="2"/>
  <c r="BS141" i="2"/>
  <c r="BT141" i="2"/>
  <c r="BU141" i="2"/>
  <c r="BV141" i="2"/>
  <c r="BW141" i="2"/>
  <c r="BY141" i="2"/>
  <c r="BS142" i="2"/>
  <c r="BT142" i="2"/>
  <c r="BU142" i="2"/>
  <c r="BV142" i="2"/>
  <c r="BW142" i="2"/>
  <c r="BY142" i="2"/>
  <c r="BS143" i="2"/>
  <c r="BT143" i="2"/>
  <c r="BU143" i="2"/>
  <c r="BW143" i="2"/>
  <c r="BY143" i="2"/>
  <c r="BS144" i="2"/>
  <c r="BT144" i="2"/>
  <c r="BU144" i="2"/>
  <c r="BV144" i="2"/>
  <c r="BW144" i="2"/>
  <c r="BY144" i="2"/>
  <c r="BS145" i="2"/>
  <c r="BT145" i="2"/>
  <c r="BU145" i="2"/>
  <c r="BV145" i="2"/>
  <c r="BW145" i="2"/>
  <c r="BY145" i="2"/>
  <c r="BS146" i="2"/>
  <c r="BT146" i="2"/>
  <c r="BU146" i="2"/>
  <c r="BW146" i="2"/>
  <c r="BY146" i="2"/>
  <c r="BS147" i="2"/>
  <c r="BT147" i="2"/>
  <c r="BU147" i="2"/>
  <c r="BV147" i="2"/>
  <c r="BW147" i="2"/>
  <c r="BY147" i="2"/>
  <c r="BS148" i="2"/>
  <c r="BT148" i="2"/>
  <c r="BU148" i="2"/>
  <c r="BV148" i="2"/>
  <c r="BW148" i="2"/>
  <c r="BY148" i="2"/>
  <c r="BS149" i="2"/>
  <c r="BT149" i="2"/>
  <c r="BU149" i="2"/>
  <c r="BV149" i="2"/>
  <c r="BW149" i="2"/>
  <c r="BX149" i="2"/>
  <c r="BY149" i="2"/>
  <c r="BS152" i="2"/>
  <c r="BT152" i="2"/>
  <c r="BU152" i="2"/>
  <c r="BV152" i="2"/>
  <c r="BW152" i="2"/>
  <c r="BX152" i="2"/>
  <c r="BY152" i="2"/>
  <c r="BS153" i="2"/>
  <c r="BT153" i="2"/>
  <c r="BU153" i="2"/>
  <c r="BV153" i="2"/>
  <c r="BW153" i="2"/>
  <c r="BX153" i="2"/>
  <c r="BY153" i="2"/>
  <c r="BS154" i="2"/>
  <c r="BT154" i="2"/>
  <c r="BU154" i="2"/>
  <c r="BV154" i="2"/>
  <c r="BW154" i="2"/>
  <c r="BX154" i="2"/>
  <c r="BY154" i="2"/>
  <c r="BS155" i="2"/>
  <c r="BT155" i="2"/>
  <c r="BU155" i="2"/>
  <c r="BV155" i="2"/>
  <c r="BW155" i="2"/>
  <c r="BX155" i="2"/>
  <c r="BY155" i="2"/>
  <c r="BS156" i="2"/>
  <c r="BT156" i="2"/>
  <c r="BU156" i="2"/>
  <c r="BV156" i="2"/>
  <c r="BW156" i="2"/>
  <c r="BX156" i="2"/>
  <c r="BY156" i="2"/>
  <c r="BS157" i="2"/>
  <c r="BT157" i="2"/>
  <c r="BU157" i="2"/>
  <c r="BV157" i="2"/>
  <c r="BW157" i="2"/>
  <c r="BX157" i="2"/>
  <c r="BY157" i="2"/>
  <c r="BS4" i="2"/>
  <c r="BT4" i="2"/>
  <c r="BU4" i="2"/>
  <c r="BV4" i="2"/>
  <c r="BW4" i="2"/>
  <c r="BX4" i="2"/>
  <c r="BY4" i="2"/>
  <c r="BS5" i="2"/>
  <c r="BT5" i="2"/>
  <c r="BU5" i="2"/>
  <c r="BV5" i="2"/>
  <c r="BW5" i="2"/>
  <c r="BX5" i="2"/>
  <c r="BY5" i="2"/>
  <c r="BS21" i="2"/>
  <c r="BT21" i="2"/>
  <c r="BU21" i="2"/>
  <c r="BV21" i="2"/>
  <c r="BW21" i="2"/>
  <c r="BX21" i="2"/>
  <c r="BY21" i="2"/>
  <c r="BS22" i="2"/>
  <c r="BT22" i="2"/>
  <c r="BU22" i="2"/>
  <c r="BV22" i="2"/>
  <c r="BW22" i="2"/>
  <c r="BX22" i="2"/>
  <c r="BY22" i="2"/>
  <c r="BS23" i="2"/>
  <c r="BT23" i="2"/>
  <c r="BU23" i="2"/>
  <c r="BV23" i="2"/>
  <c r="BW23" i="2"/>
  <c r="BX23" i="2"/>
  <c r="BY23" i="2"/>
  <c r="BS24" i="2"/>
  <c r="BT24" i="2"/>
  <c r="BU24" i="2"/>
  <c r="BV24" i="2"/>
  <c r="BW24" i="2"/>
  <c r="BX24" i="2"/>
  <c r="BY24" i="2"/>
  <c r="BQ3" i="2"/>
  <c r="S3" i="2" s="1"/>
  <c r="BY3" i="2"/>
  <c r="BX3" i="2"/>
  <c r="BW3" i="2"/>
  <c r="BV3" i="2"/>
  <c r="BU3" i="2"/>
  <c r="BT3" i="2"/>
  <c r="BS3" i="2"/>
  <c r="BR3" i="2"/>
  <c r="AS5" i="2"/>
  <c r="AT5" i="2"/>
  <c r="AU5" i="2"/>
  <c r="AV5" i="2"/>
  <c r="AW5" i="2"/>
  <c r="AX5" i="2"/>
  <c r="AY5" i="2"/>
  <c r="AZ5" i="2"/>
  <c r="BA5" i="2"/>
  <c r="BB5" i="2"/>
  <c r="BC5" i="2"/>
  <c r="BD5" i="2"/>
  <c r="AS21" i="2"/>
  <c r="AT21" i="2"/>
  <c r="AU21" i="2"/>
  <c r="AV21" i="2"/>
  <c r="AW21" i="2"/>
  <c r="AX21" i="2"/>
  <c r="AY21" i="2"/>
  <c r="AZ21" i="2"/>
  <c r="BA21" i="2"/>
  <c r="BB21" i="2"/>
  <c r="BC21" i="2"/>
  <c r="BD21" i="2"/>
  <c r="AS22" i="2"/>
  <c r="AT22" i="2"/>
  <c r="AU22" i="2"/>
  <c r="AV22" i="2"/>
  <c r="AW22" i="2"/>
  <c r="AX22" i="2"/>
  <c r="AY22" i="2"/>
  <c r="AZ22" i="2"/>
  <c r="BA22" i="2"/>
  <c r="BB22" i="2"/>
  <c r="BC22" i="2"/>
  <c r="BD22" i="2"/>
  <c r="AS23" i="2"/>
  <c r="AT23" i="2"/>
  <c r="AU23" i="2"/>
  <c r="AV23" i="2"/>
  <c r="AW23" i="2"/>
  <c r="AX23" i="2"/>
  <c r="AY23" i="2"/>
  <c r="AZ23" i="2"/>
  <c r="BA23" i="2"/>
  <c r="BB23" i="2"/>
  <c r="BC23" i="2"/>
  <c r="BD23" i="2"/>
  <c r="AS24" i="2"/>
  <c r="AT24" i="2"/>
  <c r="AU24" i="2"/>
  <c r="AV24" i="2"/>
  <c r="AW24" i="2"/>
  <c r="AX24" i="2"/>
  <c r="AY24" i="2"/>
  <c r="AZ24" i="2"/>
  <c r="BA24" i="2"/>
  <c r="BB24" i="2"/>
  <c r="BC24" i="2"/>
  <c r="BD24" i="2"/>
  <c r="AS25" i="2"/>
  <c r="AU25" i="2"/>
  <c r="AV25" i="2"/>
  <c r="AW25" i="2"/>
  <c r="AX25" i="2"/>
  <c r="AY25" i="2"/>
  <c r="AZ25" i="2"/>
  <c r="BA25" i="2"/>
  <c r="BB25" i="2"/>
  <c r="BC25" i="2"/>
  <c r="BD25" i="2"/>
  <c r="AS26" i="2"/>
  <c r="AT26" i="2"/>
  <c r="AU26" i="2"/>
  <c r="AV26" i="2"/>
  <c r="AW26" i="2"/>
  <c r="AX26" i="2"/>
  <c r="AY26" i="2"/>
  <c r="AZ26" i="2"/>
  <c r="BA26" i="2"/>
  <c r="BB26" i="2"/>
  <c r="BC26" i="2"/>
  <c r="BD26" i="2"/>
  <c r="AS27" i="2"/>
  <c r="AT27" i="2"/>
  <c r="AU27" i="2"/>
  <c r="AV27" i="2"/>
  <c r="AW27" i="2"/>
  <c r="AX27" i="2"/>
  <c r="AY27" i="2"/>
  <c r="AZ27" i="2"/>
  <c r="BA27" i="2"/>
  <c r="BB27" i="2"/>
  <c r="BC27" i="2"/>
  <c r="BD27" i="2"/>
  <c r="AS28" i="2"/>
  <c r="AT28" i="2"/>
  <c r="AU28" i="2"/>
  <c r="AV28" i="2"/>
  <c r="AW28" i="2"/>
  <c r="AX28" i="2"/>
  <c r="AY28" i="2"/>
  <c r="AZ28" i="2"/>
  <c r="BA28" i="2"/>
  <c r="BB28" i="2"/>
  <c r="BC28" i="2"/>
  <c r="BD28" i="2"/>
  <c r="AS29" i="2"/>
  <c r="AT29" i="2"/>
  <c r="AU29" i="2"/>
  <c r="AV29" i="2"/>
  <c r="AW29" i="2"/>
  <c r="AX29" i="2"/>
  <c r="AY29" i="2"/>
  <c r="AZ29" i="2"/>
  <c r="BA29" i="2"/>
  <c r="BB29" i="2"/>
  <c r="BC29" i="2"/>
  <c r="BD29" i="2"/>
  <c r="AS30" i="2"/>
  <c r="AU30" i="2"/>
  <c r="AV30" i="2"/>
  <c r="AW30" i="2"/>
  <c r="AX30" i="2"/>
  <c r="AY30" i="2"/>
  <c r="AZ30" i="2"/>
  <c r="BA30" i="2"/>
  <c r="BB30" i="2"/>
  <c r="BC30" i="2"/>
  <c r="BD30" i="2"/>
  <c r="AS31" i="2"/>
  <c r="AT31" i="2"/>
  <c r="AU31" i="2"/>
  <c r="AV31" i="2"/>
  <c r="AW31" i="2"/>
  <c r="AX31" i="2"/>
  <c r="AY31" i="2"/>
  <c r="AZ31" i="2"/>
  <c r="BA31" i="2"/>
  <c r="BB31" i="2"/>
  <c r="BC31" i="2"/>
  <c r="BD31" i="2"/>
  <c r="AS32" i="2"/>
  <c r="AU32" i="2"/>
  <c r="AV32" i="2"/>
  <c r="AW32" i="2"/>
  <c r="AX32" i="2"/>
  <c r="AY32" i="2"/>
  <c r="AZ32" i="2"/>
  <c r="BA32" i="2"/>
  <c r="BB32" i="2"/>
  <c r="BC32" i="2"/>
  <c r="BD32" i="2"/>
  <c r="AS33" i="2"/>
  <c r="AT33" i="2"/>
  <c r="AU33" i="2"/>
  <c r="AV33" i="2"/>
  <c r="AW33" i="2"/>
  <c r="AX33" i="2"/>
  <c r="AY33" i="2"/>
  <c r="AZ33" i="2"/>
  <c r="BA33" i="2"/>
  <c r="BB33" i="2"/>
  <c r="BC33" i="2"/>
  <c r="BD33" i="2"/>
  <c r="AS34" i="2"/>
  <c r="AT34" i="2"/>
  <c r="AU34" i="2"/>
  <c r="AV34" i="2"/>
  <c r="AW34" i="2"/>
  <c r="AX34" i="2"/>
  <c r="AY34" i="2"/>
  <c r="AZ34" i="2"/>
  <c r="BA34" i="2"/>
  <c r="BB34" i="2"/>
  <c r="BC34" i="2"/>
  <c r="BD34" i="2"/>
  <c r="AS35" i="2"/>
  <c r="AT35" i="2"/>
  <c r="AU35" i="2"/>
  <c r="AV35" i="2"/>
  <c r="AW35" i="2"/>
  <c r="AX35" i="2"/>
  <c r="AY35" i="2"/>
  <c r="AZ35" i="2"/>
  <c r="BA35" i="2"/>
  <c r="BB35" i="2"/>
  <c r="BC35" i="2"/>
  <c r="BD35" i="2"/>
  <c r="AS36" i="2"/>
  <c r="AT36" i="2"/>
  <c r="AU36" i="2"/>
  <c r="AV36" i="2"/>
  <c r="AW36" i="2"/>
  <c r="AX36" i="2"/>
  <c r="AY36" i="2"/>
  <c r="AZ36" i="2"/>
  <c r="BA36" i="2"/>
  <c r="BB36" i="2"/>
  <c r="BC36" i="2"/>
  <c r="BD36" i="2"/>
  <c r="AS37" i="2"/>
  <c r="AT37" i="2"/>
  <c r="AU37" i="2"/>
  <c r="AV37" i="2"/>
  <c r="AW37" i="2"/>
  <c r="AX37" i="2"/>
  <c r="AY37" i="2"/>
  <c r="AZ37" i="2"/>
  <c r="BA37" i="2"/>
  <c r="BB37" i="2"/>
  <c r="BC37" i="2"/>
  <c r="BD37" i="2"/>
  <c r="AS38" i="2"/>
  <c r="AT38" i="2"/>
  <c r="AU38" i="2"/>
  <c r="AV38" i="2"/>
  <c r="AW38" i="2"/>
  <c r="AX38" i="2"/>
  <c r="AY38" i="2"/>
  <c r="AZ38" i="2"/>
  <c r="BA38" i="2"/>
  <c r="BB38" i="2"/>
  <c r="BC38" i="2"/>
  <c r="BD38" i="2"/>
  <c r="AS39" i="2"/>
  <c r="AT39" i="2"/>
  <c r="AU39" i="2"/>
  <c r="AV39" i="2"/>
  <c r="AW39" i="2"/>
  <c r="AX39" i="2"/>
  <c r="AY39" i="2"/>
  <c r="AZ39" i="2"/>
  <c r="BA39" i="2"/>
  <c r="BB39" i="2"/>
  <c r="BC39" i="2"/>
  <c r="BD39" i="2"/>
  <c r="AS40" i="2"/>
  <c r="AT40" i="2"/>
  <c r="AU40" i="2"/>
  <c r="AV40" i="2"/>
  <c r="AW40" i="2"/>
  <c r="AX40" i="2"/>
  <c r="AY40" i="2"/>
  <c r="BA40" i="2"/>
  <c r="BB40" i="2"/>
  <c r="BC40" i="2"/>
  <c r="BD40" i="2"/>
  <c r="AS41" i="2"/>
  <c r="AT41" i="2"/>
  <c r="AU41" i="2"/>
  <c r="AV41" i="2"/>
  <c r="AW41" i="2"/>
  <c r="AX41" i="2"/>
  <c r="AY41" i="2"/>
  <c r="AZ41" i="2"/>
  <c r="BA41" i="2"/>
  <c r="BB41" i="2"/>
  <c r="BC41" i="2"/>
  <c r="BD41" i="2"/>
  <c r="AS44" i="2"/>
  <c r="AT44" i="2"/>
  <c r="AU44" i="2"/>
  <c r="AV44" i="2"/>
  <c r="AW44" i="2"/>
  <c r="AX44" i="2"/>
  <c r="AY44" i="2"/>
  <c r="AZ44" i="2"/>
  <c r="BA44" i="2"/>
  <c r="BB44" i="2"/>
  <c r="BC44" i="2"/>
  <c r="BD44" i="2"/>
  <c r="AS45" i="2"/>
  <c r="AT45" i="2"/>
  <c r="AU45" i="2"/>
  <c r="AV45" i="2"/>
  <c r="AW45" i="2"/>
  <c r="AX45" i="2"/>
  <c r="AY45" i="2"/>
  <c r="AZ45" i="2"/>
  <c r="BA45" i="2"/>
  <c r="BB45" i="2"/>
  <c r="BC45" i="2"/>
  <c r="BD45" i="2"/>
  <c r="AS6" i="2"/>
  <c r="AU6" i="2"/>
  <c r="AV6" i="2"/>
  <c r="AW6" i="2"/>
  <c r="AX6" i="2"/>
  <c r="AY6" i="2"/>
  <c r="AZ6" i="2"/>
  <c r="BA6" i="2"/>
  <c r="BB6" i="2"/>
  <c r="BC6" i="2"/>
  <c r="BD6" i="2"/>
  <c r="AS7" i="2"/>
  <c r="AT7" i="2"/>
  <c r="AU7" i="2"/>
  <c r="AV7" i="2"/>
  <c r="AW7" i="2"/>
  <c r="AX7" i="2"/>
  <c r="AY7" i="2"/>
  <c r="AZ7" i="2"/>
  <c r="BA7" i="2"/>
  <c r="BB7" i="2"/>
  <c r="BC7" i="2"/>
  <c r="BD7" i="2"/>
  <c r="AS8" i="2"/>
  <c r="AT8" i="2"/>
  <c r="AU8" i="2"/>
  <c r="AV8" i="2"/>
  <c r="AW8" i="2"/>
  <c r="AX8" i="2"/>
  <c r="AY8" i="2"/>
  <c r="AZ8" i="2"/>
  <c r="BA8" i="2"/>
  <c r="BB8" i="2"/>
  <c r="BC8" i="2"/>
  <c r="BD8" i="2"/>
  <c r="AS9" i="2"/>
  <c r="AT9" i="2"/>
  <c r="AU9" i="2"/>
  <c r="AV9" i="2"/>
  <c r="AW9" i="2"/>
  <c r="AX9" i="2"/>
  <c r="AY9" i="2"/>
  <c r="AZ9" i="2"/>
  <c r="BA9" i="2"/>
  <c r="BB9" i="2"/>
  <c r="BC9" i="2"/>
  <c r="BD9" i="2"/>
  <c r="AS10" i="2"/>
  <c r="AT10" i="2"/>
  <c r="AU10" i="2"/>
  <c r="AV10" i="2"/>
  <c r="AW10" i="2"/>
  <c r="AX10" i="2"/>
  <c r="AY10" i="2"/>
  <c r="AZ10" i="2"/>
  <c r="BA10" i="2"/>
  <c r="BB10" i="2"/>
  <c r="BC10" i="2"/>
  <c r="BD10" i="2"/>
  <c r="AS11" i="2"/>
  <c r="AT11" i="2"/>
  <c r="AU11" i="2"/>
  <c r="AV11" i="2"/>
  <c r="AW11" i="2"/>
  <c r="AX11" i="2"/>
  <c r="AY11" i="2"/>
  <c r="AZ11" i="2"/>
  <c r="BA11" i="2"/>
  <c r="BB11" i="2"/>
  <c r="BC11" i="2"/>
  <c r="BD11" i="2"/>
  <c r="AS12" i="2"/>
  <c r="AU12" i="2"/>
  <c r="AV12" i="2"/>
  <c r="AW12" i="2"/>
  <c r="AX12" i="2"/>
  <c r="AY12" i="2"/>
  <c r="AZ12" i="2"/>
  <c r="BA12" i="2"/>
  <c r="BB12" i="2"/>
  <c r="BC12" i="2"/>
  <c r="BD12" i="2"/>
  <c r="AS13" i="2"/>
  <c r="AT13" i="2"/>
  <c r="AU13" i="2"/>
  <c r="AV13" i="2"/>
  <c r="AW13" i="2"/>
  <c r="AX13" i="2"/>
  <c r="AY13" i="2"/>
  <c r="AZ13" i="2"/>
  <c r="BA13" i="2"/>
  <c r="BB13" i="2"/>
  <c r="BC13" i="2"/>
  <c r="BD13" i="2"/>
  <c r="AS14" i="2"/>
  <c r="AT14" i="2"/>
  <c r="AU14" i="2"/>
  <c r="AV14" i="2"/>
  <c r="AW14" i="2"/>
  <c r="AX14" i="2"/>
  <c r="AY14" i="2"/>
  <c r="AZ14" i="2"/>
  <c r="BA14" i="2"/>
  <c r="BB14" i="2"/>
  <c r="BC14" i="2"/>
  <c r="BD14" i="2"/>
  <c r="AS15" i="2"/>
  <c r="AT15" i="2"/>
  <c r="AU15" i="2"/>
  <c r="AV15" i="2"/>
  <c r="AW15" i="2"/>
  <c r="AX15" i="2"/>
  <c r="AY15" i="2"/>
  <c r="AZ15" i="2"/>
  <c r="BA15" i="2"/>
  <c r="BB15" i="2"/>
  <c r="BC15" i="2"/>
  <c r="BD15" i="2"/>
  <c r="AS16" i="2"/>
  <c r="AT16" i="2"/>
  <c r="AU16" i="2"/>
  <c r="AV16" i="2"/>
  <c r="AW16" i="2"/>
  <c r="AX16" i="2"/>
  <c r="AY16" i="2"/>
  <c r="AZ16" i="2"/>
  <c r="BA16" i="2"/>
  <c r="BB16" i="2"/>
  <c r="BC16" i="2"/>
  <c r="BD16" i="2"/>
  <c r="AS17" i="2"/>
  <c r="AT17" i="2"/>
  <c r="AU17" i="2"/>
  <c r="AV17" i="2"/>
  <c r="AW17" i="2"/>
  <c r="AX17" i="2"/>
  <c r="AY17" i="2"/>
  <c r="AZ17" i="2"/>
  <c r="BA17" i="2"/>
  <c r="BB17" i="2"/>
  <c r="BC17" i="2"/>
  <c r="BD17" i="2"/>
  <c r="AS18" i="2"/>
  <c r="AT18" i="2"/>
  <c r="AU18" i="2"/>
  <c r="AV18" i="2"/>
  <c r="AW18" i="2"/>
  <c r="AX18" i="2"/>
  <c r="AY18" i="2"/>
  <c r="AZ18" i="2"/>
  <c r="BA18" i="2"/>
  <c r="BB18" i="2"/>
  <c r="BC18" i="2"/>
  <c r="BD18" i="2"/>
  <c r="AS19" i="2"/>
  <c r="AT19" i="2"/>
  <c r="AU19" i="2"/>
  <c r="AV19" i="2"/>
  <c r="AW19" i="2"/>
  <c r="AX19" i="2"/>
  <c r="AY19" i="2"/>
  <c r="AZ19" i="2"/>
  <c r="BA19" i="2"/>
  <c r="BB19" i="2"/>
  <c r="BC19" i="2"/>
  <c r="BD19" i="2"/>
  <c r="AS20" i="2"/>
  <c r="AT20" i="2"/>
  <c r="AU20" i="2"/>
  <c r="AV20" i="2"/>
  <c r="AW20" i="2"/>
  <c r="AX20" i="2"/>
  <c r="AY20" i="2"/>
  <c r="AZ20" i="2"/>
  <c r="BA20" i="2"/>
  <c r="BB20" i="2"/>
  <c r="BC20" i="2"/>
  <c r="BD20" i="2"/>
  <c r="AS46" i="2"/>
  <c r="AU46" i="2"/>
  <c r="AV46" i="2"/>
  <c r="AW46" i="2"/>
  <c r="AX46" i="2"/>
  <c r="AY46" i="2"/>
  <c r="AZ46" i="2"/>
  <c r="BA46" i="2"/>
  <c r="BB46" i="2"/>
  <c r="BC46" i="2"/>
  <c r="BD46" i="2"/>
  <c r="AS47" i="2"/>
  <c r="AU47" i="2"/>
  <c r="AV47" i="2"/>
  <c r="AW47" i="2"/>
  <c r="AX47" i="2"/>
  <c r="AY47" i="2"/>
  <c r="AZ47" i="2"/>
  <c r="BA47" i="2"/>
  <c r="BB47" i="2"/>
  <c r="BC47" i="2"/>
  <c r="BD47" i="2"/>
  <c r="AS48" i="2"/>
  <c r="AT48" i="2"/>
  <c r="AU48" i="2"/>
  <c r="AV48" i="2"/>
  <c r="AW48" i="2"/>
  <c r="AX48" i="2"/>
  <c r="AY48" i="2"/>
  <c r="AZ48" i="2"/>
  <c r="BA48" i="2"/>
  <c r="BB48" i="2"/>
  <c r="BC48" i="2"/>
  <c r="BD48" i="2"/>
  <c r="AS49" i="2"/>
  <c r="AT49" i="2"/>
  <c r="AU49" i="2"/>
  <c r="AV49" i="2"/>
  <c r="AW49" i="2"/>
  <c r="AX49" i="2"/>
  <c r="AY49" i="2"/>
  <c r="AZ49" i="2"/>
  <c r="BA49" i="2"/>
  <c r="BB49" i="2"/>
  <c r="BC49" i="2"/>
  <c r="BD49" i="2"/>
  <c r="AS50" i="2"/>
  <c r="AT50" i="2"/>
  <c r="AU50" i="2"/>
  <c r="AV50" i="2"/>
  <c r="AW50" i="2"/>
  <c r="AX50" i="2"/>
  <c r="AY50" i="2"/>
  <c r="AZ50" i="2"/>
  <c r="BA50" i="2"/>
  <c r="BB50" i="2"/>
  <c r="BC50" i="2"/>
  <c r="BD50" i="2"/>
  <c r="AS51" i="2"/>
  <c r="AT51" i="2"/>
  <c r="AU51" i="2"/>
  <c r="AV51" i="2"/>
  <c r="AW51" i="2"/>
  <c r="AX51" i="2"/>
  <c r="AY51" i="2"/>
  <c r="AZ51" i="2"/>
  <c r="BA51" i="2"/>
  <c r="BB51" i="2"/>
  <c r="BC51" i="2"/>
  <c r="BD51" i="2"/>
  <c r="AS52" i="2"/>
  <c r="AT52" i="2"/>
  <c r="AU52" i="2"/>
  <c r="AV52" i="2"/>
  <c r="AW52" i="2"/>
  <c r="AX52" i="2"/>
  <c r="AY52" i="2"/>
  <c r="AZ52" i="2"/>
  <c r="BA52" i="2"/>
  <c r="BB52" i="2"/>
  <c r="BC52" i="2"/>
  <c r="BD52" i="2"/>
  <c r="AS53" i="2"/>
  <c r="AT53" i="2"/>
  <c r="AU53" i="2"/>
  <c r="AV53" i="2"/>
  <c r="AW53" i="2"/>
  <c r="AX53" i="2"/>
  <c r="AY53" i="2"/>
  <c r="AZ53" i="2"/>
  <c r="BA53" i="2"/>
  <c r="BB53" i="2"/>
  <c r="BC53" i="2"/>
  <c r="BD53" i="2"/>
  <c r="AS54" i="2"/>
  <c r="AT54" i="2"/>
  <c r="AU54" i="2"/>
  <c r="AV54" i="2"/>
  <c r="AW54" i="2"/>
  <c r="AX54" i="2"/>
  <c r="AY54" i="2"/>
  <c r="AZ54" i="2"/>
  <c r="BA54" i="2"/>
  <c r="BB54" i="2"/>
  <c r="BC54" i="2"/>
  <c r="BD54" i="2"/>
  <c r="AS55" i="2"/>
  <c r="AU55" i="2"/>
  <c r="AV55" i="2"/>
  <c r="AW55" i="2"/>
  <c r="AX55" i="2"/>
  <c r="AY55" i="2"/>
  <c r="AZ55" i="2"/>
  <c r="BA55" i="2"/>
  <c r="BB55" i="2"/>
  <c r="BC55" i="2"/>
  <c r="BD55" i="2"/>
  <c r="AS56" i="2"/>
  <c r="AT56" i="2"/>
  <c r="AU56" i="2"/>
  <c r="AV56" i="2"/>
  <c r="AW56" i="2"/>
  <c r="AX56" i="2"/>
  <c r="AY56" i="2"/>
  <c r="AZ56" i="2"/>
  <c r="BA56" i="2"/>
  <c r="BB56" i="2"/>
  <c r="BC56" i="2"/>
  <c r="BD56" i="2"/>
  <c r="AS57" i="2"/>
  <c r="AT57" i="2"/>
  <c r="AU57" i="2"/>
  <c r="AV57" i="2"/>
  <c r="AW57" i="2"/>
  <c r="AX57" i="2"/>
  <c r="AY57" i="2"/>
  <c r="AZ57" i="2"/>
  <c r="BA57" i="2"/>
  <c r="BB57" i="2"/>
  <c r="BC57" i="2"/>
  <c r="BD57" i="2"/>
  <c r="AS58" i="2"/>
  <c r="AT58" i="2"/>
  <c r="AU58" i="2"/>
  <c r="AV58" i="2"/>
  <c r="AW58" i="2"/>
  <c r="AX58" i="2"/>
  <c r="AY58" i="2"/>
  <c r="AZ58" i="2"/>
  <c r="BA58" i="2"/>
  <c r="BB58" i="2"/>
  <c r="BC58" i="2"/>
  <c r="BD58" i="2"/>
  <c r="AS59" i="2"/>
  <c r="AT59" i="2"/>
  <c r="AU59" i="2"/>
  <c r="AV59" i="2"/>
  <c r="AW59" i="2"/>
  <c r="AX59" i="2"/>
  <c r="AY59" i="2"/>
  <c r="AZ59" i="2"/>
  <c r="BA59" i="2"/>
  <c r="BB59" i="2"/>
  <c r="BC59" i="2"/>
  <c r="BD59" i="2"/>
  <c r="AS60" i="2"/>
  <c r="AT60" i="2"/>
  <c r="AU60" i="2"/>
  <c r="AV60" i="2"/>
  <c r="AW60" i="2"/>
  <c r="AX60" i="2"/>
  <c r="AY60" i="2"/>
  <c r="AZ60" i="2"/>
  <c r="BA60" i="2"/>
  <c r="BB60" i="2"/>
  <c r="BC60" i="2"/>
  <c r="BD60" i="2"/>
  <c r="AS61" i="2"/>
  <c r="AT61" i="2"/>
  <c r="AU61" i="2"/>
  <c r="AV61" i="2"/>
  <c r="AW61" i="2"/>
  <c r="AX61" i="2"/>
  <c r="AY61" i="2"/>
  <c r="AZ61" i="2"/>
  <c r="BA61" i="2"/>
  <c r="BB61" i="2"/>
  <c r="BC61" i="2"/>
  <c r="BD61" i="2"/>
  <c r="AS62" i="2"/>
  <c r="AT62" i="2"/>
  <c r="AU62" i="2"/>
  <c r="AV62" i="2"/>
  <c r="AW62" i="2"/>
  <c r="AX62" i="2"/>
  <c r="AY62" i="2"/>
  <c r="AZ62" i="2"/>
  <c r="BA62" i="2"/>
  <c r="BB62" i="2"/>
  <c r="BC62" i="2"/>
  <c r="BD62" i="2"/>
  <c r="AS63" i="2"/>
  <c r="AT63" i="2"/>
  <c r="AU63" i="2"/>
  <c r="AV63" i="2"/>
  <c r="AW63" i="2"/>
  <c r="AX63" i="2"/>
  <c r="AY63" i="2"/>
  <c r="AZ63" i="2"/>
  <c r="BA63" i="2"/>
  <c r="BB63" i="2"/>
  <c r="BC63" i="2"/>
  <c r="BD63" i="2"/>
  <c r="AS64" i="2"/>
  <c r="AU64" i="2"/>
  <c r="AV64" i="2"/>
  <c r="AW64" i="2"/>
  <c r="AX64" i="2"/>
  <c r="AY64" i="2"/>
  <c r="AZ64" i="2"/>
  <c r="BA64" i="2"/>
  <c r="BB64" i="2"/>
  <c r="BC64" i="2"/>
  <c r="BD64" i="2"/>
  <c r="AS65" i="2"/>
  <c r="AU65" i="2"/>
  <c r="AV65" i="2"/>
  <c r="AW65" i="2"/>
  <c r="AX65" i="2"/>
  <c r="AY65" i="2"/>
  <c r="AZ65" i="2"/>
  <c r="BA65" i="2"/>
  <c r="BB65" i="2"/>
  <c r="BC65" i="2"/>
  <c r="BD65" i="2"/>
  <c r="AS69" i="2"/>
  <c r="AT69" i="2"/>
  <c r="AU69" i="2"/>
  <c r="AV69" i="2"/>
  <c r="AW69" i="2"/>
  <c r="AX69" i="2"/>
  <c r="AY69" i="2"/>
  <c r="AZ69" i="2"/>
  <c r="BA69" i="2"/>
  <c r="BB69" i="2"/>
  <c r="BC69" i="2"/>
  <c r="BD69" i="2"/>
  <c r="AS70" i="2"/>
  <c r="AT70" i="2"/>
  <c r="AU70" i="2"/>
  <c r="AV70" i="2"/>
  <c r="AW70" i="2"/>
  <c r="AX70" i="2"/>
  <c r="AY70" i="2"/>
  <c r="AZ70" i="2"/>
  <c r="BA70" i="2"/>
  <c r="BB70" i="2"/>
  <c r="BC70" i="2"/>
  <c r="BD70" i="2"/>
  <c r="AS71" i="2"/>
  <c r="AU71" i="2"/>
  <c r="AV71" i="2"/>
  <c r="AW71" i="2"/>
  <c r="AX71" i="2"/>
  <c r="AY71" i="2"/>
  <c r="AZ71" i="2"/>
  <c r="BA71" i="2"/>
  <c r="BB71" i="2"/>
  <c r="BC71" i="2"/>
  <c r="BD71" i="2"/>
  <c r="AS72" i="2"/>
  <c r="AT72" i="2"/>
  <c r="AU72" i="2"/>
  <c r="AV72" i="2"/>
  <c r="AW72" i="2"/>
  <c r="AX72" i="2"/>
  <c r="AY72" i="2"/>
  <c r="AZ72" i="2"/>
  <c r="BA72" i="2"/>
  <c r="BB72" i="2"/>
  <c r="BC72" i="2"/>
  <c r="BD72" i="2"/>
  <c r="AS73" i="2"/>
  <c r="AT73" i="2"/>
  <c r="AU73" i="2"/>
  <c r="AV73" i="2"/>
  <c r="AW73" i="2"/>
  <c r="AX73" i="2"/>
  <c r="AY73" i="2"/>
  <c r="AZ73" i="2"/>
  <c r="BA73" i="2"/>
  <c r="BB73" i="2"/>
  <c r="BC73" i="2"/>
  <c r="BD73" i="2"/>
  <c r="AS74" i="2"/>
  <c r="AU74" i="2"/>
  <c r="AV74" i="2"/>
  <c r="AW74" i="2"/>
  <c r="AX74" i="2"/>
  <c r="AY74" i="2"/>
  <c r="AZ74" i="2"/>
  <c r="BA74" i="2"/>
  <c r="BB74" i="2"/>
  <c r="BC74" i="2"/>
  <c r="BD74" i="2"/>
  <c r="AS75" i="2"/>
  <c r="AT75" i="2"/>
  <c r="AU75" i="2"/>
  <c r="AV75" i="2"/>
  <c r="AW75" i="2"/>
  <c r="AX75" i="2"/>
  <c r="AY75" i="2"/>
  <c r="AZ75" i="2"/>
  <c r="BA75" i="2"/>
  <c r="BB75" i="2"/>
  <c r="BC75" i="2"/>
  <c r="BD75" i="2"/>
  <c r="AS76" i="2"/>
  <c r="AT76" i="2"/>
  <c r="AU76" i="2"/>
  <c r="AV76" i="2"/>
  <c r="AW76" i="2"/>
  <c r="AX76" i="2"/>
  <c r="AY76" i="2"/>
  <c r="AZ76" i="2"/>
  <c r="BA76" i="2"/>
  <c r="BB76" i="2"/>
  <c r="BC76" i="2"/>
  <c r="BD76" i="2"/>
  <c r="AS77" i="2"/>
  <c r="AT77" i="2"/>
  <c r="AU77" i="2"/>
  <c r="AV77" i="2"/>
  <c r="AW77" i="2"/>
  <c r="AX77" i="2"/>
  <c r="AY77" i="2"/>
  <c r="AZ77" i="2"/>
  <c r="BA77" i="2"/>
  <c r="BB77" i="2"/>
  <c r="BC77" i="2"/>
  <c r="BD77" i="2"/>
  <c r="BB78" i="2"/>
  <c r="BC78" i="2"/>
  <c r="BD78" i="2"/>
  <c r="AS79" i="2"/>
  <c r="AU79" i="2"/>
  <c r="AV79" i="2"/>
  <c r="AW79" i="2"/>
  <c r="AX79" i="2"/>
  <c r="AY79" i="2"/>
  <c r="AZ79" i="2"/>
  <c r="BA79" i="2"/>
  <c r="BB79" i="2"/>
  <c r="BC79" i="2"/>
  <c r="BD79" i="2"/>
  <c r="AS80" i="2"/>
  <c r="AU80" i="2"/>
  <c r="AV80" i="2"/>
  <c r="AW80" i="2"/>
  <c r="AX80" i="2"/>
  <c r="AY80" i="2"/>
  <c r="AZ80" i="2"/>
  <c r="BA80" i="2"/>
  <c r="BB80" i="2"/>
  <c r="BC80" i="2"/>
  <c r="BD80" i="2"/>
  <c r="AS81" i="2"/>
  <c r="AU81" i="2"/>
  <c r="AV81" i="2"/>
  <c r="AW81" i="2"/>
  <c r="AX81" i="2"/>
  <c r="AY81" i="2"/>
  <c r="AZ81" i="2"/>
  <c r="BA81" i="2"/>
  <c r="BB81" i="2"/>
  <c r="BC81" i="2"/>
  <c r="BD81" i="2"/>
  <c r="AS82" i="2"/>
  <c r="AT82" i="2"/>
  <c r="AU82" i="2"/>
  <c r="AV82" i="2"/>
  <c r="AW82" i="2"/>
  <c r="AX82" i="2"/>
  <c r="AY82" i="2"/>
  <c r="AZ82" i="2"/>
  <c r="BA82" i="2"/>
  <c r="BB82" i="2"/>
  <c r="BC82" i="2"/>
  <c r="BD82" i="2"/>
  <c r="AS83" i="2"/>
  <c r="AU83" i="2"/>
  <c r="AV83" i="2"/>
  <c r="AW83" i="2"/>
  <c r="AX83" i="2"/>
  <c r="AY83" i="2"/>
  <c r="AZ83" i="2"/>
  <c r="BA83" i="2"/>
  <c r="BB83" i="2"/>
  <c r="BC83" i="2"/>
  <c r="BD83" i="2"/>
  <c r="AS84" i="2"/>
  <c r="AU84" i="2"/>
  <c r="AV84" i="2"/>
  <c r="AW84" i="2"/>
  <c r="AX84" i="2"/>
  <c r="AY84" i="2"/>
  <c r="AZ84" i="2"/>
  <c r="BA84" i="2"/>
  <c r="BB84" i="2"/>
  <c r="BC84" i="2"/>
  <c r="BD84" i="2"/>
  <c r="AS85" i="2"/>
  <c r="AT85" i="2"/>
  <c r="AU85" i="2"/>
  <c r="AV85" i="2"/>
  <c r="AW85" i="2"/>
  <c r="AX85" i="2"/>
  <c r="AY85" i="2"/>
  <c r="AZ85" i="2"/>
  <c r="BA85" i="2"/>
  <c r="BB85" i="2"/>
  <c r="BC85" i="2"/>
  <c r="BD85" i="2"/>
  <c r="AS86" i="2"/>
  <c r="AU86" i="2"/>
  <c r="AV86" i="2"/>
  <c r="AW86" i="2"/>
  <c r="AX86" i="2"/>
  <c r="AY86" i="2"/>
  <c r="AZ86" i="2"/>
  <c r="BA86" i="2"/>
  <c r="BB86" i="2"/>
  <c r="BC86" i="2"/>
  <c r="BD86" i="2"/>
  <c r="AS87" i="2"/>
  <c r="AT87" i="2"/>
  <c r="AU87" i="2"/>
  <c r="AV87" i="2"/>
  <c r="AW87" i="2"/>
  <c r="AX87" i="2"/>
  <c r="AY87" i="2"/>
  <c r="AZ87" i="2"/>
  <c r="BA87" i="2"/>
  <c r="BB87" i="2"/>
  <c r="BC87" i="2"/>
  <c r="BD87" i="2"/>
  <c r="AS88" i="2"/>
  <c r="AT88" i="2"/>
  <c r="AU88" i="2"/>
  <c r="AV88" i="2"/>
  <c r="AW88" i="2"/>
  <c r="AX88" i="2"/>
  <c r="AY88" i="2"/>
  <c r="AZ88" i="2"/>
  <c r="BA88" i="2"/>
  <c r="BB88" i="2"/>
  <c r="BC88" i="2"/>
  <c r="BD88" i="2"/>
  <c r="AS90" i="2"/>
  <c r="AT90" i="2"/>
  <c r="AU90" i="2"/>
  <c r="AV90" i="2"/>
  <c r="AW90" i="2"/>
  <c r="AX90" i="2"/>
  <c r="AY90" i="2"/>
  <c r="AZ90" i="2"/>
  <c r="BA90" i="2"/>
  <c r="BB90" i="2"/>
  <c r="BC90" i="2"/>
  <c r="BD90" i="2"/>
  <c r="AS91" i="2"/>
  <c r="AU91" i="2"/>
  <c r="AV91" i="2"/>
  <c r="AW91" i="2"/>
  <c r="AX91" i="2"/>
  <c r="AY91" i="2"/>
  <c r="AZ91" i="2"/>
  <c r="BA91" i="2"/>
  <c r="BB91" i="2"/>
  <c r="BC91" i="2"/>
  <c r="BD91" i="2"/>
  <c r="AS92" i="2"/>
  <c r="AT92" i="2"/>
  <c r="AU92" i="2"/>
  <c r="AV92" i="2"/>
  <c r="AW92" i="2"/>
  <c r="AX92" i="2"/>
  <c r="AY92" i="2"/>
  <c r="AZ92" i="2"/>
  <c r="BA92" i="2"/>
  <c r="BB92" i="2"/>
  <c r="BC92" i="2"/>
  <c r="BD92" i="2"/>
  <c r="AS93" i="2"/>
  <c r="AT93" i="2"/>
  <c r="AU93" i="2"/>
  <c r="AV93" i="2"/>
  <c r="AW93" i="2"/>
  <c r="AX93" i="2"/>
  <c r="AY93" i="2"/>
  <c r="AZ93" i="2"/>
  <c r="BA93" i="2"/>
  <c r="BB93" i="2"/>
  <c r="BC93" i="2"/>
  <c r="BD93" i="2"/>
  <c r="AS94" i="2"/>
  <c r="AT94" i="2"/>
  <c r="AU94" i="2"/>
  <c r="AV94" i="2"/>
  <c r="AW94" i="2"/>
  <c r="AX94" i="2"/>
  <c r="AY94" i="2"/>
  <c r="AZ94" i="2"/>
  <c r="BA94" i="2"/>
  <c r="BB94" i="2"/>
  <c r="BC94" i="2"/>
  <c r="BD94" i="2"/>
  <c r="AS95" i="2"/>
  <c r="AT95" i="2"/>
  <c r="AU95" i="2"/>
  <c r="AV95" i="2"/>
  <c r="AW95" i="2"/>
  <c r="AX95" i="2"/>
  <c r="AY95" i="2"/>
  <c r="AZ95" i="2"/>
  <c r="BA95" i="2"/>
  <c r="BB95" i="2"/>
  <c r="BC95" i="2"/>
  <c r="BD95" i="2"/>
  <c r="AS96" i="2"/>
  <c r="AT96" i="2"/>
  <c r="AU96" i="2"/>
  <c r="AV96" i="2"/>
  <c r="AW96" i="2"/>
  <c r="AX96" i="2"/>
  <c r="AY96" i="2"/>
  <c r="AZ96" i="2"/>
  <c r="BA96" i="2"/>
  <c r="BB96" i="2"/>
  <c r="BC96" i="2"/>
  <c r="BD96" i="2"/>
  <c r="AS97" i="2"/>
  <c r="AT97" i="2"/>
  <c r="AU97" i="2"/>
  <c r="AV97" i="2"/>
  <c r="AW97" i="2"/>
  <c r="AX97" i="2"/>
  <c r="AY97" i="2"/>
  <c r="AZ97" i="2"/>
  <c r="BA97" i="2"/>
  <c r="BB97" i="2"/>
  <c r="BC97" i="2"/>
  <c r="BD97" i="2"/>
  <c r="AS98" i="2"/>
  <c r="AU98" i="2"/>
  <c r="AV98" i="2"/>
  <c r="AW98" i="2"/>
  <c r="AX98" i="2"/>
  <c r="AY98" i="2"/>
  <c r="AZ98" i="2"/>
  <c r="BA98" i="2"/>
  <c r="BB98" i="2"/>
  <c r="BC98" i="2"/>
  <c r="BD98" i="2"/>
  <c r="AS99" i="2"/>
  <c r="AT99" i="2"/>
  <c r="AU99" i="2"/>
  <c r="AV99" i="2"/>
  <c r="AW99" i="2"/>
  <c r="AX99" i="2"/>
  <c r="AY99" i="2"/>
  <c r="AZ99" i="2"/>
  <c r="BA99" i="2"/>
  <c r="BB99" i="2"/>
  <c r="BC99" i="2"/>
  <c r="BD99" i="2"/>
  <c r="AS100" i="2"/>
  <c r="AT100" i="2"/>
  <c r="AU100" i="2"/>
  <c r="AV100" i="2"/>
  <c r="AW100" i="2"/>
  <c r="AX100" i="2"/>
  <c r="AY100" i="2"/>
  <c r="AZ100" i="2"/>
  <c r="BA100" i="2"/>
  <c r="BB100" i="2"/>
  <c r="BC100" i="2"/>
  <c r="BD100" i="2"/>
  <c r="AS101" i="2"/>
  <c r="AT101" i="2"/>
  <c r="AU101" i="2"/>
  <c r="AV101" i="2"/>
  <c r="AW101" i="2"/>
  <c r="AX101" i="2"/>
  <c r="AY101" i="2"/>
  <c r="AZ101" i="2"/>
  <c r="BA101" i="2"/>
  <c r="BB101" i="2"/>
  <c r="BC101" i="2"/>
  <c r="BD101" i="2"/>
  <c r="AS102" i="2"/>
  <c r="AT102" i="2"/>
  <c r="AU102" i="2"/>
  <c r="AV102" i="2"/>
  <c r="AW102" i="2"/>
  <c r="AX102" i="2"/>
  <c r="AY102" i="2"/>
  <c r="AZ102" i="2"/>
  <c r="BA102" i="2"/>
  <c r="BB102" i="2"/>
  <c r="BC102" i="2"/>
  <c r="BD102" i="2"/>
  <c r="AS103" i="2"/>
  <c r="AT103" i="2"/>
  <c r="AU103" i="2"/>
  <c r="AV103" i="2"/>
  <c r="AW103" i="2"/>
  <c r="AX103" i="2"/>
  <c r="AY103" i="2"/>
  <c r="AZ103" i="2"/>
  <c r="BA103" i="2"/>
  <c r="BB103" i="2"/>
  <c r="BC103" i="2"/>
  <c r="BD103" i="2"/>
  <c r="AS104" i="2"/>
  <c r="AT104" i="2"/>
  <c r="AU104" i="2"/>
  <c r="AV104" i="2"/>
  <c r="AW104" i="2"/>
  <c r="AX104" i="2"/>
  <c r="AY104" i="2"/>
  <c r="AZ104" i="2"/>
  <c r="BA104" i="2"/>
  <c r="BD104" i="2"/>
  <c r="AS105" i="2"/>
  <c r="AT105" i="2"/>
  <c r="AU105" i="2"/>
  <c r="AV105" i="2"/>
  <c r="AW105" i="2"/>
  <c r="AX105" i="2"/>
  <c r="AY105" i="2"/>
  <c r="AZ105" i="2"/>
  <c r="BA105" i="2"/>
  <c r="BB105" i="2"/>
  <c r="BC105" i="2"/>
  <c r="BD105" i="2"/>
  <c r="AS106" i="2"/>
  <c r="AT106" i="2"/>
  <c r="AU106" i="2"/>
  <c r="AV106" i="2"/>
  <c r="AW106" i="2"/>
  <c r="AX106" i="2"/>
  <c r="AY106" i="2"/>
  <c r="AZ106" i="2"/>
  <c r="BA106" i="2"/>
  <c r="BB106" i="2"/>
  <c r="BC106" i="2"/>
  <c r="BD106" i="2"/>
  <c r="AS107" i="2"/>
  <c r="AT107" i="2"/>
  <c r="AU107" i="2"/>
  <c r="AV107" i="2"/>
  <c r="AW107" i="2"/>
  <c r="AX107" i="2"/>
  <c r="AY107" i="2"/>
  <c r="AZ107" i="2"/>
  <c r="BA107" i="2"/>
  <c r="BB107" i="2"/>
  <c r="BC107" i="2"/>
  <c r="BD107" i="2"/>
  <c r="AS108" i="2"/>
  <c r="AT108" i="2"/>
  <c r="AU108" i="2"/>
  <c r="AV108" i="2"/>
  <c r="AW108" i="2"/>
  <c r="AX108" i="2"/>
  <c r="AY108" i="2"/>
  <c r="AZ108" i="2"/>
  <c r="BA108" i="2"/>
  <c r="BB108" i="2"/>
  <c r="BC108" i="2"/>
  <c r="BD108" i="2"/>
  <c r="AS109" i="2"/>
  <c r="AT109" i="2"/>
  <c r="AU109" i="2"/>
  <c r="AV109" i="2"/>
  <c r="AW109" i="2"/>
  <c r="AX109" i="2"/>
  <c r="AY109" i="2"/>
  <c r="AZ109" i="2"/>
  <c r="BA109" i="2"/>
  <c r="BB109" i="2"/>
  <c r="BC109" i="2"/>
  <c r="BD109" i="2"/>
  <c r="AS110" i="2"/>
  <c r="AT110" i="2"/>
  <c r="AU110" i="2"/>
  <c r="AV110" i="2"/>
  <c r="AW110" i="2"/>
  <c r="AX110" i="2"/>
  <c r="AY110" i="2"/>
  <c r="AZ110" i="2"/>
  <c r="BA110" i="2"/>
  <c r="BB110" i="2"/>
  <c r="BC110" i="2"/>
  <c r="BD110" i="2"/>
  <c r="AS111" i="2"/>
  <c r="AU111" i="2"/>
  <c r="AV111" i="2"/>
  <c r="AW111" i="2"/>
  <c r="AX111" i="2"/>
  <c r="AY111" i="2"/>
  <c r="AZ111" i="2"/>
  <c r="BA111" i="2"/>
  <c r="BB111" i="2"/>
  <c r="BC111" i="2"/>
  <c r="BD111" i="2"/>
  <c r="AS112" i="2"/>
  <c r="AT112" i="2"/>
  <c r="AU112" i="2"/>
  <c r="AV112" i="2"/>
  <c r="AW112" i="2"/>
  <c r="AX112" i="2"/>
  <c r="AY112" i="2"/>
  <c r="AZ112" i="2"/>
  <c r="BA112" i="2"/>
  <c r="BB112" i="2"/>
  <c r="BD112" i="2"/>
  <c r="AS113" i="2"/>
  <c r="AT113" i="2"/>
  <c r="AU113" i="2"/>
  <c r="AV113" i="2"/>
  <c r="AW113" i="2"/>
  <c r="AX113" i="2"/>
  <c r="AY113" i="2"/>
  <c r="AZ113" i="2"/>
  <c r="BA113" i="2"/>
  <c r="BB113" i="2"/>
  <c r="BD113" i="2"/>
  <c r="AS114" i="2"/>
  <c r="AT114" i="2"/>
  <c r="AU114" i="2"/>
  <c r="AV114" i="2"/>
  <c r="AW114" i="2"/>
  <c r="AX114" i="2"/>
  <c r="AY114" i="2"/>
  <c r="AZ114" i="2"/>
  <c r="BA114" i="2"/>
  <c r="BB114" i="2"/>
  <c r="BC114" i="2"/>
  <c r="BD114" i="2"/>
  <c r="AS115" i="2"/>
  <c r="AT115" i="2"/>
  <c r="AU115" i="2"/>
  <c r="AV115" i="2"/>
  <c r="AW115" i="2"/>
  <c r="AX115" i="2"/>
  <c r="AY115" i="2"/>
  <c r="AZ115" i="2"/>
  <c r="BA115" i="2"/>
  <c r="BB115" i="2"/>
  <c r="BC115" i="2"/>
  <c r="BD115" i="2"/>
  <c r="AS116" i="2"/>
  <c r="AT116" i="2"/>
  <c r="AU116" i="2"/>
  <c r="AV116" i="2"/>
  <c r="AW116" i="2"/>
  <c r="AX116" i="2"/>
  <c r="AY116" i="2"/>
  <c r="AZ116" i="2"/>
  <c r="BA116" i="2"/>
  <c r="BB116" i="2"/>
  <c r="BC116" i="2"/>
  <c r="BD116" i="2"/>
  <c r="AT117" i="2"/>
  <c r="AU117" i="2"/>
  <c r="AV117" i="2"/>
  <c r="AW117" i="2"/>
  <c r="AX117" i="2"/>
  <c r="AY117" i="2"/>
  <c r="AZ117" i="2"/>
  <c r="BA117" i="2"/>
  <c r="BB117" i="2"/>
  <c r="BC117" i="2"/>
  <c r="BD117" i="2"/>
  <c r="AS119" i="2"/>
  <c r="AU119" i="2"/>
  <c r="AV119" i="2"/>
  <c r="AW119" i="2"/>
  <c r="AX119" i="2"/>
  <c r="AY119" i="2"/>
  <c r="AZ119" i="2"/>
  <c r="BA119" i="2"/>
  <c r="BB119" i="2"/>
  <c r="BC119" i="2"/>
  <c r="BD119" i="2"/>
  <c r="AS120" i="2"/>
  <c r="AT120" i="2"/>
  <c r="AU120" i="2"/>
  <c r="AV120" i="2"/>
  <c r="AW120" i="2"/>
  <c r="AX120" i="2"/>
  <c r="AY120" i="2"/>
  <c r="AZ120" i="2"/>
  <c r="BA120" i="2"/>
  <c r="BB120" i="2"/>
  <c r="BC120" i="2"/>
  <c r="BD120" i="2"/>
  <c r="AS121" i="2"/>
  <c r="AT121" i="2"/>
  <c r="AU121" i="2"/>
  <c r="AV121" i="2"/>
  <c r="AW121" i="2"/>
  <c r="AX121" i="2"/>
  <c r="AY121" i="2"/>
  <c r="AZ121" i="2"/>
  <c r="BA121" i="2"/>
  <c r="BB121" i="2"/>
  <c r="BC121" i="2"/>
  <c r="BD121" i="2"/>
  <c r="AS122" i="2"/>
  <c r="AT122" i="2"/>
  <c r="AU122" i="2"/>
  <c r="AV122" i="2"/>
  <c r="AW122" i="2"/>
  <c r="AX122" i="2"/>
  <c r="AY122" i="2"/>
  <c r="AZ122" i="2"/>
  <c r="BA122" i="2"/>
  <c r="BB122" i="2"/>
  <c r="BC122" i="2"/>
  <c r="BD122" i="2"/>
  <c r="AS123" i="2"/>
  <c r="AT123" i="2"/>
  <c r="AU123" i="2"/>
  <c r="AV123" i="2"/>
  <c r="AW123" i="2"/>
  <c r="AX123" i="2"/>
  <c r="AY123" i="2"/>
  <c r="AZ123" i="2"/>
  <c r="BA123" i="2"/>
  <c r="BB123" i="2"/>
  <c r="BC123" i="2"/>
  <c r="BD123" i="2"/>
  <c r="AS124" i="2"/>
  <c r="AT124" i="2"/>
  <c r="AU124" i="2"/>
  <c r="AV124" i="2"/>
  <c r="AW124" i="2"/>
  <c r="AX124" i="2"/>
  <c r="AY124" i="2"/>
  <c r="AZ124" i="2"/>
  <c r="BA124" i="2"/>
  <c r="BB124" i="2"/>
  <c r="BC124" i="2"/>
  <c r="BD124" i="2"/>
  <c r="AS125" i="2"/>
  <c r="AT125" i="2"/>
  <c r="AU125" i="2"/>
  <c r="AV125" i="2"/>
  <c r="AW125" i="2"/>
  <c r="AX125" i="2"/>
  <c r="AY125" i="2"/>
  <c r="AZ125" i="2"/>
  <c r="BA125" i="2"/>
  <c r="BB125" i="2"/>
  <c r="BC125" i="2"/>
  <c r="BD125" i="2"/>
  <c r="AS126" i="2"/>
  <c r="AT126" i="2"/>
  <c r="AU126" i="2"/>
  <c r="AV126" i="2"/>
  <c r="AW126" i="2"/>
  <c r="AX126" i="2"/>
  <c r="AY126" i="2"/>
  <c r="AZ126" i="2"/>
  <c r="BA126" i="2"/>
  <c r="BB126" i="2"/>
  <c r="BC126" i="2"/>
  <c r="BD126" i="2"/>
  <c r="AS127" i="2"/>
  <c r="AT127" i="2"/>
  <c r="AU127" i="2"/>
  <c r="AV127" i="2"/>
  <c r="AW127" i="2"/>
  <c r="AX127" i="2"/>
  <c r="AY127" i="2"/>
  <c r="AZ127" i="2"/>
  <c r="BA127" i="2"/>
  <c r="BB127" i="2"/>
  <c r="BC127" i="2"/>
  <c r="BD127" i="2"/>
  <c r="AS129" i="2"/>
  <c r="AU129" i="2"/>
  <c r="AV129" i="2"/>
  <c r="AW129" i="2"/>
  <c r="AX129" i="2"/>
  <c r="AY129" i="2"/>
  <c r="AZ129" i="2"/>
  <c r="BA129" i="2"/>
  <c r="BB129" i="2"/>
  <c r="BC129" i="2"/>
  <c r="BD129" i="2"/>
  <c r="AS130" i="2"/>
  <c r="AT130" i="2"/>
  <c r="AU130" i="2"/>
  <c r="AV130" i="2"/>
  <c r="AW130" i="2"/>
  <c r="AX130" i="2"/>
  <c r="AY130" i="2"/>
  <c r="AZ130" i="2"/>
  <c r="BA130" i="2"/>
  <c r="BB130" i="2"/>
  <c r="BC130" i="2"/>
  <c r="BD130" i="2"/>
  <c r="AS131" i="2"/>
  <c r="AT131" i="2"/>
  <c r="AU131" i="2"/>
  <c r="AV131" i="2"/>
  <c r="AW131" i="2"/>
  <c r="AX131" i="2"/>
  <c r="AY131" i="2"/>
  <c r="AZ131" i="2"/>
  <c r="BA131" i="2"/>
  <c r="BB131" i="2"/>
  <c r="BC131" i="2"/>
  <c r="BD131" i="2"/>
  <c r="AS132" i="2"/>
  <c r="AT132" i="2"/>
  <c r="AU132" i="2"/>
  <c r="AV132" i="2"/>
  <c r="AW132" i="2"/>
  <c r="AX132" i="2"/>
  <c r="AY132" i="2"/>
  <c r="AZ132" i="2"/>
  <c r="BA132" i="2"/>
  <c r="BB132" i="2"/>
  <c r="BC132" i="2"/>
  <c r="BD132" i="2"/>
  <c r="AS133" i="2"/>
  <c r="AT133" i="2"/>
  <c r="AU133" i="2"/>
  <c r="AV133" i="2"/>
  <c r="AW133" i="2"/>
  <c r="AX133" i="2"/>
  <c r="AY133" i="2"/>
  <c r="AZ133" i="2"/>
  <c r="BA133" i="2"/>
  <c r="BB133" i="2"/>
  <c r="BC133" i="2"/>
  <c r="BD133" i="2"/>
  <c r="AS134" i="2"/>
  <c r="AT134" i="2"/>
  <c r="AU134" i="2"/>
  <c r="AV134" i="2"/>
  <c r="AW134" i="2"/>
  <c r="AX134" i="2"/>
  <c r="AY134" i="2"/>
  <c r="AZ134" i="2"/>
  <c r="BA134" i="2"/>
  <c r="BB134" i="2"/>
  <c r="BC134" i="2"/>
  <c r="BD134" i="2"/>
  <c r="AS135" i="2"/>
  <c r="AT135" i="2"/>
  <c r="AU135" i="2"/>
  <c r="AV135" i="2"/>
  <c r="AW135" i="2"/>
  <c r="AX135" i="2"/>
  <c r="AY135" i="2"/>
  <c r="AZ135" i="2"/>
  <c r="BA135" i="2"/>
  <c r="BB135" i="2"/>
  <c r="BC135" i="2"/>
  <c r="BD135" i="2"/>
  <c r="AS136" i="2"/>
  <c r="AU136" i="2"/>
  <c r="AV136" i="2"/>
  <c r="AW136" i="2"/>
  <c r="AX136" i="2"/>
  <c r="AY136" i="2"/>
  <c r="AZ136" i="2"/>
  <c r="BA136" i="2"/>
  <c r="BB136" i="2"/>
  <c r="BC136" i="2"/>
  <c r="BD136" i="2"/>
  <c r="AS137" i="2"/>
  <c r="AU137" i="2"/>
  <c r="AV137" i="2"/>
  <c r="AW137" i="2"/>
  <c r="AX137" i="2"/>
  <c r="AY137" i="2"/>
  <c r="AZ137" i="2"/>
  <c r="BA137" i="2"/>
  <c r="BB137" i="2"/>
  <c r="BC137" i="2"/>
  <c r="BD137" i="2"/>
  <c r="AS138" i="2"/>
  <c r="AU138" i="2"/>
  <c r="AV138" i="2"/>
  <c r="AW138" i="2"/>
  <c r="AX138" i="2"/>
  <c r="AY138" i="2"/>
  <c r="AZ138" i="2"/>
  <c r="BA138" i="2"/>
  <c r="BB138" i="2"/>
  <c r="BC138" i="2"/>
  <c r="BD138" i="2"/>
  <c r="AS139" i="2"/>
  <c r="AT139" i="2"/>
  <c r="AU139" i="2"/>
  <c r="AV139" i="2"/>
  <c r="AW139" i="2"/>
  <c r="AX139" i="2"/>
  <c r="AY139" i="2"/>
  <c r="AZ139" i="2"/>
  <c r="BA139" i="2"/>
  <c r="BB139" i="2"/>
  <c r="BC139" i="2"/>
  <c r="BD139" i="2"/>
  <c r="AS140" i="2"/>
  <c r="AU140" i="2"/>
  <c r="AV140" i="2"/>
  <c r="AW140" i="2"/>
  <c r="AX140" i="2"/>
  <c r="AY140" i="2"/>
  <c r="AZ140" i="2"/>
  <c r="BA140" i="2"/>
  <c r="BB140" i="2"/>
  <c r="BC140" i="2"/>
  <c r="BD140" i="2"/>
  <c r="AS141" i="2"/>
  <c r="AU141" i="2"/>
  <c r="AV141" i="2"/>
  <c r="AW141" i="2"/>
  <c r="AX141" i="2"/>
  <c r="AY141" i="2"/>
  <c r="AZ141" i="2"/>
  <c r="BA141" i="2"/>
  <c r="BB141" i="2"/>
  <c r="BC141" i="2"/>
  <c r="BD141" i="2"/>
  <c r="AS142" i="2"/>
  <c r="AT142" i="2"/>
  <c r="AU142" i="2"/>
  <c r="AV142" i="2"/>
  <c r="AW142" i="2"/>
  <c r="AX142" i="2"/>
  <c r="AY142" i="2"/>
  <c r="AZ142" i="2"/>
  <c r="BA142" i="2"/>
  <c r="BB142" i="2"/>
  <c r="BC142" i="2"/>
  <c r="BD142" i="2"/>
  <c r="AS143" i="2"/>
  <c r="AT143" i="2"/>
  <c r="AU143" i="2"/>
  <c r="AV143" i="2"/>
  <c r="AW143" i="2"/>
  <c r="AX143" i="2"/>
  <c r="AY143" i="2"/>
  <c r="AZ143" i="2"/>
  <c r="BA143" i="2"/>
  <c r="BB143" i="2"/>
  <c r="BC143" i="2"/>
  <c r="BD143" i="2"/>
  <c r="AS144" i="2"/>
  <c r="AT144" i="2"/>
  <c r="AU144" i="2"/>
  <c r="AV144" i="2"/>
  <c r="AW144" i="2"/>
  <c r="AX144" i="2"/>
  <c r="AY144" i="2"/>
  <c r="AZ144" i="2"/>
  <c r="BA144" i="2"/>
  <c r="BB144" i="2"/>
  <c r="BC144" i="2"/>
  <c r="BD144" i="2"/>
  <c r="AS145" i="2"/>
  <c r="AU145" i="2"/>
  <c r="AV145" i="2"/>
  <c r="AW145" i="2"/>
  <c r="AX145" i="2"/>
  <c r="AY145" i="2"/>
  <c r="AZ145" i="2"/>
  <c r="BA145" i="2"/>
  <c r="BB145" i="2"/>
  <c r="BC145" i="2"/>
  <c r="BD145" i="2"/>
  <c r="AS146" i="2"/>
  <c r="AT146" i="2"/>
  <c r="AU146" i="2"/>
  <c r="AV146" i="2"/>
  <c r="AW146" i="2"/>
  <c r="AX146" i="2"/>
  <c r="AY146" i="2"/>
  <c r="AZ146" i="2"/>
  <c r="BA146" i="2"/>
  <c r="BB146" i="2"/>
  <c r="BC146" i="2"/>
  <c r="BD146" i="2"/>
  <c r="AS147" i="2"/>
  <c r="AT147" i="2"/>
  <c r="AU147" i="2"/>
  <c r="AV147" i="2"/>
  <c r="AW147" i="2"/>
  <c r="AX147" i="2"/>
  <c r="AY147" i="2"/>
  <c r="AZ147" i="2"/>
  <c r="BA147" i="2"/>
  <c r="BB147" i="2"/>
  <c r="BC147" i="2"/>
  <c r="BD147" i="2"/>
  <c r="AS148" i="2"/>
  <c r="AT148" i="2"/>
  <c r="AU148" i="2"/>
  <c r="AV148" i="2"/>
  <c r="AW148" i="2"/>
  <c r="AX148" i="2"/>
  <c r="AY148" i="2"/>
  <c r="AZ148" i="2"/>
  <c r="BA148" i="2"/>
  <c r="BB148" i="2"/>
  <c r="BC148" i="2"/>
  <c r="BD148" i="2"/>
  <c r="AS149" i="2"/>
  <c r="AT149" i="2"/>
  <c r="AU149" i="2"/>
  <c r="AV149" i="2"/>
  <c r="AW149" i="2"/>
  <c r="AX149" i="2"/>
  <c r="AY149" i="2"/>
  <c r="AZ149" i="2"/>
  <c r="BA149" i="2"/>
  <c r="BB149" i="2"/>
  <c r="BC149" i="2"/>
  <c r="BD149" i="2"/>
  <c r="AS152" i="2"/>
  <c r="AT152" i="2"/>
  <c r="AU152" i="2"/>
  <c r="AV152" i="2"/>
  <c r="AW152" i="2"/>
  <c r="AX152" i="2"/>
  <c r="AY152" i="2"/>
  <c r="AZ152" i="2"/>
  <c r="BA152" i="2"/>
  <c r="BB152" i="2"/>
  <c r="BC152" i="2"/>
  <c r="BD152" i="2"/>
  <c r="AS153" i="2"/>
  <c r="AT153" i="2"/>
  <c r="AU153" i="2"/>
  <c r="AV153" i="2"/>
  <c r="AW153" i="2"/>
  <c r="AX153" i="2"/>
  <c r="AY153" i="2"/>
  <c r="AZ153" i="2"/>
  <c r="BA153" i="2"/>
  <c r="BB153" i="2"/>
  <c r="BC153" i="2"/>
  <c r="BD153" i="2"/>
  <c r="AS154" i="2"/>
  <c r="AT154" i="2"/>
  <c r="AU154" i="2"/>
  <c r="AV154" i="2"/>
  <c r="AW154" i="2"/>
  <c r="AX154" i="2"/>
  <c r="AY154" i="2"/>
  <c r="AZ154" i="2"/>
  <c r="BA154" i="2"/>
  <c r="BB154" i="2"/>
  <c r="BC154" i="2"/>
  <c r="BD154" i="2"/>
  <c r="AS155" i="2"/>
  <c r="AT155" i="2"/>
  <c r="AU155" i="2"/>
  <c r="AV155" i="2"/>
  <c r="AW155" i="2"/>
  <c r="AX155" i="2"/>
  <c r="AY155" i="2"/>
  <c r="AZ155" i="2"/>
  <c r="BA155" i="2"/>
  <c r="BB155" i="2"/>
  <c r="BC155" i="2"/>
  <c r="BD155" i="2"/>
  <c r="AS156" i="2"/>
  <c r="AT156" i="2"/>
  <c r="AU156" i="2"/>
  <c r="AV156" i="2"/>
  <c r="AW156" i="2"/>
  <c r="AX156" i="2"/>
  <c r="AY156" i="2"/>
  <c r="AZ156" i="2"/>
  <c r="BA156" i="2"/>
  <c r="BB156" i="2"/>
  <c r="BC156" i="2"/>
  <c r="BD156" i="2"/>
  <c r="AS157" i="2"/>
  <c r="AT157" i="2"/>
  <c r="AU157" i="2"/>
  <c r="AV157" i="2"/>
  <c r="AW157" i="2"/>
  <c r="AX157" i="2"/>
  <c r="AY157" i="2"/>
  <c r="AZ157" i="2"/>
  <c r="BA157" i="2"/>
  <c r="BB157" i="2"/>
  <c r="BC157" i="2"/>
  <c r="BD157" i="2"/>
  <c r="AS4" i="2"/>
  <c r="BA3" i="2"/>
  <c r="AZ3" i="2"/>
  <c r="AY3" i="2"/>
  <c r="AX3" i="2"/>
  <c r="AW3" i="2"/>
  <c r="AV3" i="2"/>
  <c r="AU3" i="2"/>
  <c r="AT3" i="2"/>
  <c r="AS3" i="2"/>
  <c r="AT4" i="2"/>
  <c r="AU4" i="2"/>
  <c r="AV4" i="2"/>
  <c r="AW4" i="2"/>
  <c r="AX4" i="2"/>
  <c r="AY4" i="2"/>
  <c r="AZ4" i="2"/>
  <c r="BA4" i="2"/>
  <c r="BB4" i="2"/>
  <c r="BC4" i="2"/>
  <c r="BD4" i="2"/>
  <c r="BD3" i="2"/>
  <c r="BC3" i="2"/>
  <c r="BB3" i="2"/>
  <c r="F117" i="2"/>
  <c r="F107" i="2"/>
  <c r="F108" i="2" s="1"/>
  <c r="F65" i="2"/>
  <c r="F66" i="2" s="1"/>
  <c r="F67" i="2" s="1"/>
  <c r="F68" i="2" s="1"/>
  <c r="F55" i="2"/>
  <c r="F45" i="2"/>
  <c r="F29" i="2"/>
  <c r="F101" i="2" s="1"/>
  <c r="X69" i="2"/>
  <c r="X70" i="2"/>
  <c r="X71" i="2"/>
  <c r="X72" i="2"/>
  <c r="X73" i="2"/>
  <c r="X74" i="2"/>
  <c r="X75" i="2"/>
  <c r="X76" i="2"/>
  <c r="X77" i="2"/>
  <c r="X78" i="2"/>
  <c r="X79" i="2"/>
  <c r="X80" i="2"/>
  <c r="X81" i="2"/>
  <c r="X82" i="2"/>
  <c r="X83" i="2"/>
  <c r="X84" i="2"/>
  <c r="X85" i="2"/>
  <c r="X86" i="2"/>
  <c r="X87" i="2"/>
  <c r="X88"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9" i="2"/>
  <c r="X120" i="2"/>
  <c r="X121" i="2"/>
  <c r="X122" i="2"/>
  <c r="X123" i="2"/>
  <c r="X124" i="2"/>
  <c r="X125" i="2"/>
  <c r="X126" i="2"/>
  <c r="X127" i="2"/>
  <c r="X129" i="2"/>
  <c r="X130" i="2"/>
  <c r="X131" i="2"/>
  <c r="X132" i="2"/>
  <c r="X133" i="2"/>
  <c r="X134" i="2"/>
  <c r="X135" i="2"/>
  <c r="X136" i="2"/>
  <c r="X137" i="2"/>
  <c r="X138" i="2"/>
  <c r="X139" i="2"/>
  <c r="X140" i="2"/>
  <c r="X141" i="2"/>
  <c r="X142" i="2"/>
  <c r="X143" i="2"/>
  <c r="X144" i="2"/>
  <c r="X145" i="2"/>
  <c r="X146" i="2"/>
  <c r="X147" i="2"/>
  <c r="X148" i="2"/>
  <c r="X149" i="2"/>
  <c r="X152" i="2"/>
  <c r="X153" i="2"/>
  <c r="X154" i="2"/>
  <c r="X155" i="2"/>
  <c r="X156" i="2"/>
  <c r="X157" i="2"/>
  <c r="DW43" i="3"/>
  <c r="DD43" i="3"/>
  <c r="DC43" i="3"/>
  <c r="CV43" i="3"/>
  <c r="CU43" i="3"/>
  <c r="CT43" i="3"/>
  <c r="CS43" i="3"/>
  <c r="CR43" i="3"/>
  <c r="CQ43" i="3"/>
  <c r="CL43" i="3"/>
  <c r="CK43" i="3"/>
  <c r="CJ43" i="3"/>
  <c r="CI43" i="3"/>
  <c r="CH43" i="3"/>
  <c r="CG43" i="3"/>
  <c r="CF43" i="3"/>
  <c r="CE43" i="3"/>
  <c r="BZ43" i="3"/>
  <c r="BN43" i="3" s="1"/>
  <c r="BR43" i="3"/>
  <c r="BQ43" i="3"/>
  <c r="BP43" i="3"/>
  <c r="BO43" i="3"/>
  <c r="BM43" i="3"/>
  <c r="BL43" i="3"/>
  <c r="BK43" i="3"/>
  <c r="BJ43" i="3"/>
  <c r="BI43" i="3"/>
  <c r="BH43" i="3"/>
  <c r="BG43" i="3"/>
  <c r="AT43" i="3"/>
  <c r="AS43" i="3"/>
  <c r="AR43" i="3"/>
  <c r="AQ43" i="3"/>
  <c r="AP43" i="3"/>
  <c r="AO43" i="3"/>
  <c r="AN43" i="3"/>
  <c r="O43" i="3"/>
  <c r="DW42" i="3"/>
  <c r="DD42" i="3"/>
  <c r="DC42" i="3"/>
  <c r="CX42" i="3"/>
  <c r="CW42" i="3"/>
  <c r="CV42" i="3"/>
  <c r="CU42" i="3"/>
  <c r="CT42" i="3"/>
  <c r="CS42" i="3"/>
  <c r="CR42" i="3"/>
  <c r="CQ42" i="3"/>
  <c r="CL42" i="3"/>
  <c r="CK42" i="3"/>
  <c r="CJ42" i="3"/>
  <c r="CI42" i="3"/>
  <c r="CH42" i="3"/>
  <c r="CG42" i="3"/>
  <c r="CF42" i="3"/>
  <c r="CE42" i="3"/>
  <c r="BZ42" i="3"/>
  <c r="BN42" i="3" s="1"/>
  <c r="BR42" i="3"/>
  <c r="BQ42" i="3"/>
  <c r="BP42" i="3"/>
  <c r="BO42" i="3"/>
  <c r="BM42" i="3"/>
  <c r="BL42" i="3"/>
  <c r="BK42" i="3"/>
  <c r="BJ42" i="3"/>
  <c r="BI42" i="3"/>
  <c r="BH42" i="3"/>
  <c r="BG42" i="3"/>
  <c r="AT42" i="3"/>
  <c r="AS42" i="3"/>
  <c r="AR42" i="3"/>
  <c r="AQ42" i="3"/>
  <c r="AP42" i="3"/>
  <c r="AO42" i="3"/>
  <c r="AN42" i="3"/>
  <c r="AM42" i="3"/>
  <c r="O42" i="3"/>
  <c r="CL27" i="3"/>
  <c r="CK27" i="3"/>
  <c r="CJ27" i="3"/>
  <c r="CL26" i="3"/>
  <c r="CK26" i="3"/>
  <c r="CJ26" i="3"/>
  <c r="BX26" i="3"/>
  <c r="AZ26" i="3"/>
  <c r="AB26" i="3"/>
  <c r="CL28" i="3"/>
  <c r="CK28" i="3"/>
  <c r="CJ28" i="3"/>
  <c r="BX28" i="3"/>
  <c r="AZ28" i="3"/>
  <c r="AB28" i="3"/>
  <c r="CL45" i="3"/>
  <c r="CK45" i="3"/>
  <c r="CJ45" i="3"/>
  <c r="BX45" i="3"/>
  <c r="BK45" i="3"/>
  <c r="AY45" i="3" s="1"/>
  <c r="AZ45" i="3"/>
  <c r="AB45" i="3"/>
  <c r="AA45" i="3"/>
  <c r="CL41" i="3"/>
  <c r="CK41" i="3"/>
  <c r="CJ41" i="3"/>
  <c r="BX41" i="3"/>
  <c r="BK41" i="3"/>
  <c r="AY41" i="3" s="1"/>
  <c r="AZ41" i="3"/>
  <c r="AB41" i="3"/>
  <c r="AA41" i="3"/>
  <c r="CL44" i="3"/>
  <c r="CK44" i="3"/>
  <c r="CJ44" i="3"/>
  <c r="BX44" i="3"/>
  <c r="BK44" i="3"/>
  <c r="CI44" i="3" s="1"/>
  <c r="AZ44" i="3"/>
  <c r="AB44" i="3"/>
  <c r="AA44" i="3"/>
  <c r="CL32" i="3"/>
  <c r="CK32" i="3"/>
  <c r="CJ32" i="3"/>
  <c r="BX32" i="3"/>
  <c r="BK32" i="3"/>
  <c r="CI32" i="3" s="1"/>
  <c r="AZ32" i="3"/>
  <c r="AB32" i="3"/>
  <c r="AA32" i="3"/>
  <c r="CL34" i="3"/>
  <c r="CK34" i="3"/>
  <c r="CJ34" i="3"/>
  <c r="BX34" i="3"/>
  <c r="BK34" i="3"/>
  <c r="CI34" i="3" s="1"/>
  <c r="AZ34" i="3"/>
  <c r="AB34" i="3"/>
  <c r="AA34" i="3"/>
  <c r="CL29" i="3"/>
  <c r="CK29" i="3"/>
  <c r="CJ29" i="3"/>
  <c r="BX29" i="3"/>
  <c r="BK29" i="3"/>
  <c r="CI29" i="3" s="1"/>
  <c r="AZ29" i="3"/>
  <c r="AB29" i="3"/>
  <c r="AA29" i="3"/>
  <c r="CL31" i="3"/>
  <c r="CK31" i="3"/>
  <c r="CJ31" i="3"/>
  <c r="BX31" i="3"/>
  <c r="BK31" i="3"/>
  <c r="CI31" i="3" s="1"/>
  <c r="AZ31" i="3"/>
  <c r="AB31" i="3"/>
  <c r="AA31" i="3"/>
  <c r="CL30" i="3"/>
  <c r="CK30" i="3"/>
  <c r="CJ30" i="3"/>
  <c r="BX30" i="3"/>
  <c r="BK30" i="3"/>
  <c r="AY30" i="3" s="1"/>
  <c r="AZ30" i="3"/>
  <c r="AB30" i="3"/>
  <c r="AA30" i="3"/>
  <c r="CL12" i="3"/>
  <c r="CK12" i="3"/>
  <c r="CJ12" i="3"/>
  <c r="CI12" i="3"/>
  <c r="BX12" i="3"/>
  <c r="BW12" i="3"/>
  <c r="BK12" i="3"/>
  <c r="AY12" i="3" s="1"/>
  <c r="AZ12" i="3"/>
  <c r="AB12" i="3"/>
  <c r="AA12" i="3"/>
  <c r="CL11" i="3"/>
  <c r="CK11" i="3"/>
  <c r="CJ11" i="3"/>
  <c r="CI11" i="3"/>
  <c r="BX11" i="3"/>
  <c r="BW11" i="3"/>
  <c r="BK11" i="3"/>
  <c r="AY11" i="3" s="1"/>
  <c r="AZ11" i="3"/>
  <c r="AB11" i="3"/>
  <c r="AA11" i="3"/>
  <c r="CL10" i="3"/>
  <c r="CK10" i="3"/>
  <c r="CJ10" i="3"/>
  <c r="CI10" i="3"/>
  <c r="BX10" i="3"/>
  <c r="BW10" i="3"/>
  <c r="BK10" i="3"/>
  <c r="AY10" i="3" s="1"/>
  <c r="AZ10" i="3"/>
  <c r="AB10" i="3"/>
  <c r="AA10" i="3"/>
  <c r="CJ9" i="3"/>
  <c r="CI9" i="3"/>
  <c r="BX9" i="3"/>
  <c r="BW9" i="3"/>
  <c r="BK9" i="3"/>
  <c r="AY9" i="3" s="1"/>
  <c r="BB9" i="3"/>
  <c r="BA9" i="3"/>
  <c r="AZ9" i="3"/>
  <c r="AD9" i="3"/>
  <c r="AC9" i="3"/>
  <c r="AB9" i="3"/>
  <c r="AA9" i="3"/>
  <c r="CJ8" i="3"/>
  <c r="CI8" i="3"/>
  <c r="BX8" i="3"/>
  <c r="BW8" i="3"/>
  <c r="BK8" i="3"/>
  <c r="AY8" i="3" s="1"/>
  <c r="AZ8" i="3"/>
  <c r="AD8" i="3"/>
  <c r="AC8" i="3"/>
  <c r="AB8" i="3"/>
  <c r="AA8" i="3"/>
  <c r="CJ7" i="3"/>
  <c r="CI7" i="3"/>
  <c r="BX7" i="3"/>
  <c r="BW7" i="3"/>
  <c r="BK7" i="3"/>
  <c r="AY7" i="3" s="1"/>
  <c r="AZ7" i="3"/>
  <c r="AB7" i="3"/>
  <c r="AA7" i="3"/>
  <c r="CJ6" i="3"/>
  <c r="CI6" i="3"/>
  <c r="BX6" i="3"/>
  <c r="BW6" i="3"/>
  <c r="BK6" i="3"/>
  <c r="AY6" i="3" s="1"/>
  <c r="AZ6" i="3"/>
  <c r="AB6" i="3"/>
  <c r="AA6" i="3"/>
  <c r="CJ4" i="3"/>
  <c r="CI4" i="3"/>
  <c r="BX4" i="3"/>
  <c r="BW4" i="3"/>
  <c r="BK4" i="3"/>
  <c r="AY4" i="3" s="1"/>
  <c r="AZ4" i="3"/>
  <c r="AB4" i="3"/>
  <c r="AA4" i="3"/>
  <c r="CJ3" i="3"/>
  <c r="CI3" i="3"/>
  <c r="BX3" i="3"/>
  <c r="BW3" i="3"/>
  <c r="BK3" i="3"/>
  <c r="AY3" i="3" s="1"/>
  <c r="AZ3" i="3"/>
  <c r="AB3" i="3"/>
  <c r="AA3" i="3"/>
  <c r="DK5" i="3"/>
  <c r="CZ5" i="3"/>
  <c r="CY5" i="3"/>
  <c r="CC5" i="3"/>
  <c r="CB5" i="3"/>
  <c r="CA5" i="3"/>
  <c r="BZ5" i="3"/>
  <c r="BY5" i="3"/>
  <c r="BX5" i="3"/>
  <c r="CJ5" i="3" s="1"/>
  <c r="BV5" i="3"/>
  <c r="CH5" i="3" s="1"/>
  <c r="BU5" i="3"/>
  <c r="CG5" i="3" s="1"/>
  <c r="BR5" i="3"/>
  <c r="BK5" i="3"/>
  <c r="BW5" i="3" s="1"/>
  <c r="BH5" i="3"/>
  <c r="BG5" i="3"/>
  <c r="BE5" i="3"/>
  <c r="BD5" i="3"/>
  <c r="BC5" i="3"/>
  <c r="BB5" i="3"/>
  <c r="BA5" i="3"/>
  <c r="AZ5" i="3"/>
  <c r="AX5" i="3"/>
  <c r="AW5" i="3"/>
  <c r="AJ5" i="3"/>
  <c r="AI5" i="3"/>
  <c r="AH5" i="3"/>
  <c r="AG5" i="3"/>
  <c r="AF5" i="3"/>
  <c r="AE5" i="3"/>
  <c r="AD5" i="3"/>
  <c r="AC5" i="3"/>
  <c r="AB5" i="3"/>
  <c r="AA5" i="3"/>
  <c r="Z5" i="3"/>
  <c r="Y5" i="3"/>
  <c r="BX113" i="2"/>
  <c r="BX147" i="2"/>
  <c r="BX146" i="2"/>
  <c r="BV146" i="2"/>
  <c r="F146" i="2"/>
  <c r="CP145" i="2"/>
  <c r="BX143" i="2"/>
  <c r="CH143" i="2"/>
  <c r="DR143" i="2" s="1"/>
  <c r="CP141" i="2"/>
  <c r="CP140" i="2"/>
  <c r="Y140" i="2"/>
  <c r="BX139" i="2"/>
  <c r="CP138" i="2"/>
  <c r="CP137" i="2"/>
  <c r="DQ136" i="2"/>
  <c r="CP136" i="2"/>
  <c r="BX134" i="2"/>
  <c r="BV134" i="2"/>
  <c r="BX133" i="2"/>
  <c r="DR133" i="2"/>
  <c r="BX131" i="2"/>
  <c r="BV131" i="2"/>
  <c r="CP129" i="2"/>
  <c r="BX122" i="2"/>
  <c r="BX121" i="2"/>
  <c r="BX120" i="2"/>
  <c r="CP119" i="2"/>
  <c r="BX112" i="2"/>
  <c r="BX114" i="2"/>
  <c r="CP111" i="2"/>
  <c r="BX109" i="2"/>
  <c r="BX106" i="2"/>
  <c r="BX105" i="2"/>
  <c r="BX103" i="2"/>
  <c r="BX101" i="2"/>
  <c r="BX96" i="2"/>
  <c r="BX93" i="2"/>
  <c r="BX92" i="2"/>
  <c r="BF91" i="2"/>
  <c r="CP91" i="2" s="1"/>
  <c r="CP98" i="2"/>
  <c r="CP84" i="2"/>
  <c r="CP86" i="2"/>
  <c r="CP83" i="2"/>
  <c r="CP81" i="2"/>
  <c r="CP80" i="2"/>
  <c r="CP79" i="2"/>
  <c r="BX75" i="2"/>
  <c r="BX74" i="2"/>
  <c r="CP74" i="2"/>
  <c r="BX73" i="2"/>
  <c r="CP71" i="2"/>
  <c r="BX70" i="2"/>
  <c r="BX69" i="2"/>
  <c r="BX65" i="2"/>
  <c r="AT65" i="2"/>
  <c r="CP64" i="2"/>
  <c r="BX59" i="2"/>
  <c r="BX58" i="2"/>
  <c r="BX62" i="2"/>
  <c r="CP55" i="2"/>
  <c r="BX54" i="2"/>
  <c r="BX50" i="2"/>
  <c r="BX49" i="2"/>
  <c r="BX48" i="2"/>
  <c r="CP47" i="2"/>
  <c r="CP46" i="2"/>
  <c r="BX20" i="2"/>
  <c r="BX19" i="2"/>
  <c r="BX18" i="2"/>
  <c r="BX17" i="2"/>
  <c r="BX16" i="2"/>
  <c r="BX15" i="2"/>
  <c r="BX14" i="2"/>
  <c r="CP12" i="2"/>
  <c r="BX6" i="2"/>
  <c r="CP6" i="2"/>
  <c r="BX45" i="2"/>
  <c r="BX44" i="2"/>
  <c r="BX38" i="2"/>
  <c r="BX37" i="2"/>
  <c r="BX36" i="2"/>
  <c r="BX35" i="2"/>
  <c r="BX34" i="2"/>
  <c r="BX33" i="2"/>
  <c r="BX32" i="2"/>
  <c r="CP32" i="2"/>
  <c r="BX31" i="2"/>
  <c r="BF30" i="2"/>
  <c r="CP30" i="2" s="1"/>
  <c r="BX29" i="2"/>
  <c r="BX28" i="2"/>
  <c r="BX27" i="2"/>
  <c r="EN26" i="2"/>
  <c r="CP25" i="2"/>
  <c r="DL153" i="2" l="1"/>
  <c r="DL157" i="2"/>
  <c r="DK157" i="2"/>
  <c r="DK155" i="2"/>
  <c r="DL156" i="2"/>
  <c r="DK156" i="2"/>
  <c r="F48" i="31"/>
  <c r="H48" i="31" s="1"/>
  <c r="CY153" i="2"/>
  <c r="DK153" i="2" s="1"/>
  <c r="DK9" i="2"/>
  <c r="DK18" i="2"/>
  <c r="DL27" i="2"/>
  <c r="DK27" i="2"/>
  <c r="DL24" i="2"/>
  <c r="DK24" i="2"/>
  <c r="CY21" i="2"/>
  <c r="DK21" i="2" s="1"/>
  <c r="DK14" i="2"/>
  <c r="DL21" i="2"/>
  <c r="DL18" i="2"/>
  <c r="DL10" i="2"/>
  <c r="DL9" i="2"/>
  <c r="F11" i="31"/>
  <c r="H11" i="31" s="1"/>
  <c r="CY28" i="2"/>
  <c r="DK28" i="2" s="1"/>
  <c r="DK19" i="2"/>
  <c r="CY22" i="2"/>
  <c r="DK22" i="2" s="1"/>
  <c r="DL28" i="2"/>
  <c r="CY7" i="2"/>
  <c r="DK7" i="2" s="1"/>
  <c r="DL35" i="2"/>
  <c r="DX35" i="2"/>
  <c r="F7" i="31"/>
  <c r="H7" i="31" s="1"/>
  <c r="DK109" i="2"/>
  <c r="O33" i="5"/>
  <c r="DL58" i="2"/>
  <c r="DX58" i="2"/>
  <c r="CY113" i="2"/>
  <c r="DK113" i="2" s="1"/>
  <c r="DW113" i="2"/>
  <c r="CY95" i="2"/>
  <c r="DK95" i="2" s="1"/>
  <c r="DW95" i="2"/>
  <c r="CY124" i="2"/>
  <c r="DK124" i="2" s="1"/>
  <c r="CY94" i="2"/>
  <c r="DK94" i="2" s="1"/>
  <c r="F24" i="31"/>
  <c r="H24" i="31" s="1"/>
  <c r="I24" i="31" s="1"/>
  <c r="CY90" i="2"/>
  <c r="DK90" i="2" s="1"/>
  <c r="CY129" i="2"/>
  <c r="DK129" i="2" s="1"/>
  <c r="CY47" i="2"/>
  <c r="DK47" i="2" s="1"/>
  <c r="CY123" i="2"/>
  <c r="DK123" i="2" s="1"/>
  <c r="CY119" i="2"/>
  <c r="DK119" i="2" s="1"/>
  <c r="CY31" i="2"/>
  <c r="DK31" i="2" s="1"/>
  <c r="CY13" i="2"/>
  <c r="DK13" i="2" s="1"/>
  <c r="CY152" i="2"/>
  <c r="DK152" i="2" s="1"/>
  <c r="CY141" i="2"/>
  <c r="DK141" i="2" s="1"/>
  <c r="CY137" i="2"/>
  <c r="DK137" i="2" s="1"/>
  <c r="CY86" i="2"/>
  <c r="DK86" i="2" s="1"/>
  <c r="CY6" i="2"/>
  <c r="DK6" i="2" s="1"/>
  <c r="CY25" i="2"/>
  <c r="DK25" i="2" s="1"/>
  <c r="CY132" i="2"/>
  <c r="DK132" i="2" s="1"/>
  <c r="CY63" i="2"/>
  <c r="DK63" i="2" s="1"/>
  <c r="DL152" i="2"/>
  <c r="DW140" i="2"/>
  <c r="F42" i="31"/>
  <c r="H42" i="31" s="1"/>
  <c r="I42" i="31" s="1"/>
  <c r="CA136" i="2"/>
  <c r="DW117" i="2"/>
  <c r="DW83" i="2"/>
  <c r="CA70" i="2"/>
  <c r="DK54" i="2"/>
  <c r="DW14" i="2"/>
  <c r="DW34" i="2"/>
  <c r="DW26" i="2"/>
  <c r="DW100" i="2"/>
  <c r="DW96" i="2"/>
  <c r="DW92" i="2"/>
  <c r="DW87" i="2"/>
  <c r="DW74" i="2"/>
  <c r="DK58" i="2"/>
  <c r="DW38" i="2"/>
  <c r="DW148" i="2"/>
  <c r="F4" i="31"/>
  <c r="H4" i="31" s="1"/>
  <c r="CA144" i="2"/>
  <c r="DW112" i="2"/>
  <c r="DW108" i="2"/>
  <c r="DW104" i="2"/>
  <c r="DK62" i="2"/>
  <c r="DW53" i="2"/>
  <c r="DW48" i="2"/>
  <c r="DW18" i="2"/>
  <c r="DW9" i="2"/>
  <c r="DW44" i="2"/>
  <c r="DW139" i="2"/>
  <c r="DW135" i="2"/>
  <c r="DW125" i="2"/>
  <c r="DW121" i="2"/>
  <c r="DW116" i="2"/>
  <c r="DW82" i="2"/>
  <c r="DK154" i="2"/>
  <c r="DW130" i="2"/>
  <c r="DW99" i="2"/>
  <c r="DK91" i="2"/>
  <c r="CA57" i="2"/>
  <c r="DW8" i="2"/>
  <c r="DW3" i="2"/>
  <c r="T3" i="2"/>
  <c r="CA147" i="2"/>
  <c r="DW143" i="2"/>
  <c r="DW111" i="2"/>
  <c r="DW61" i="2"/>
  <c r="DW17" i="2"/>
  <c r="CA32" i="2"/>
  <c r="DW24" i="2"/>
  <c r="DW138" i="2"/>
  <c r="DW134" i="2"/>
  <c r="DW124" i="2"/>
  <c r="DK120" i="2"/>
  <c r="DW81" i="2"/>
  <c r="DW65" i="2"/>
  <c r="DW56" i="2"/>
  <c r="DW12" i="2"/>
  <c r="DW27" i="2"/>
  <c r="DW157" i="2"/>
  <c r="DW142" i="2"/>
  <c r="CA102" i="2"/>
  <c r="DK98" i="2"/>
  <c r="DW85" i="2"/>
  <c r="DW76" i="2"/>
  <c r="DK72" i="2"/>
  <c r="DK51" i="2"/>
  <c r="DK46" i="2"/>
  <c r="DW16" i="2"/>
  <c r="DW4" i="2"/>
  <c r="DW146" i="2"/>
  <c r="CA110" i="2"/>
  <c r="DW106" i="2"/>
  <c r="DW64" i="2"/>
  <c r="DW60" i="2"/>
  <c r="DW40" i="2"/>
  <c r="DW23" i="2"/>
  <c r="DW152" i="2"/>
  <c r="DW80" i="2"/>
  <c r="DW55" i="2"/>
  <c r="DW50" i="2"/>
  <c r="DW20" i="2"/>
  <c r="DW156" i="2"/>
  <c r="F35" i="31"/>
  <c r="H35" i="31" s="1"/>
  <c r="DW101" i="2"/>
  <c r="DW97" i="2"/>
  <c r="DW93" i="2"/>
  <c r="DW88" i="2"/>
  <c r="DW84" i="2"/>
  <c r="DW75" i="2"/>
  <c r="DW71" i="2"/>
  <c r="DK35" i="2"/>
  <c r="DW30" i="2"/>
  <c r="DW145" i="2"/>
  <c r="DW109" i="2"/>
  <c r="DW105" i="2"/>
  <c r="DW79" i="2"/>
  <c r="DW49" i="2"/>
  <c r="CA19" i="2"/>
  <c r="DW10" i="2"/>
  <c r="CA39" i="2"/>
  <c r="DV51" i="2"/>
  <c r="CA24" i="2"/>
  <c r="DL62" i="2"/>
  <c r="DK93" i="2"/>
  <c r="DK76" i="2"/>
  <c r="CX120" i="2"/>
  <c r="DJ120" i="2" s="1"/>
  <c r="DL97" i="2"/>
  <c r="DL113" i="2"/>
  <c r="DL139" i="2"/>
  <c r="DL76" i="2"/>
  <c r="DL154" i="2"/>
  <c r="CX95" i="2"/>
  <c r="DJ95" i="2" s="1"/>
  <c r="CA27" i="2"/>
  <c r="DK139" i="2"/>
  <c r="DK96" i="2"/>
  <c r="CX154" i="2"/>
  <c r="DJ154" i="2" s="1"/>
  <c r="CX139" i="2"/>
  <c r="DJ139" i="2" s="1"/>
  <c r="CX135" i="2"/>
  <c r="DJ135" i="2" s="1"/>
  <c r="DL112" i="2"/>
  <c r="DL87" i="2"/>
  <c r="DJ113" i="2"/>
  <c r="DK112" i="2"/>
  <c r="DK87" i="2"/>
  <c r="CX121" i="2"/>
  <c r="DJ121" i="2" s="1"/>
  <c r="DL135" i="2"/>
  <c r="DL104" i="2"/>
  <c r="DK97" i="2"/>
  <c r="DK135" i="2"/>
  <c r="DK121" i="2"/>
  <c r="DK104" i="2"/>
  <c r="DL96" i="2"/>
  <c r="DK40" i="2"/>
  <c r="CX51" i="2"/>
  <c r="DJ51" i="2" s="1"/>
  <c r="CX62" i="2"/>
  <c r="DJ62" i="2" s="1"/>
  <c r="DK105" i="2"/>
  <c r="DK88" i="2"/>
  <c r="CX91" i="2"/>
  <c r="DJ91" i="2" s="1"/>
  <c r="CX40" i="2"/>
  <c r="DJ40" i="2" s="1"/>
  <c r="CX59" i="2"/>
  <c r="DJ59" i="2" s="1"/>
  <c r="DL93" i="2"/>
  <c r="DL92" i="2"/>
  <c r="DV26" i="2"/>
  <c r="CX26" i="2"/>
  <c r="DJ26" i="2" s="1"/>
  <c r="CX88" i="2"/>
  <c r="DJ88" i="2" s="1"/>
  <c r="DK92" i="2"/>
  <c r="CX76" i="2"/>
  <c r="DJ76" i="2" s="1"/>
  <c r="CX47" i="2"/>
  <c r="DJ47" i="2" s="1"/>
  <c r="CX105" i="2"/>
  <c r="DJ105" i="2" s="1"/>
  <c r="CX97" i="2"/>
  <c r="DJ97" i="2" s="1"/>
  <c r="DL105" i="2"/>
  <c r="DL88" i="2"/>
  <c r="CX58" i="2"/>
  <c r="DJ58" i="2" s="1"/>
  <c r="CX104" i="2"/>
  <c r="DJ104" i="2" s="1"/>
  <c r="DK106" i="2"/>
  <c r="CA152" i="2"/>
  <c r="CA112" i="2"/>
  <c r="CA56" i="2"/>
  <c r="CA23" i="2"/>
  <c r="CA44" i="2"/>
  <c r="CA16" i="2"/>
  <c r="CA79" i="2"/>
  <c r="DK116" i="2"/>
  <c r="DK12" i="2"/>
  <c r="DK60" i="2"/>
  <c r="DK148" i="2"/>
  <c r="BZ91" i="2"/>
  <c r="CB114" i="2"/>
  <c r="BZ141" i="2"/>
  <c r="DL54" i="2"/>
  <c r="BZ149" i="2"/>
  <c r="BZ74" i="2"/>
  <c r="BZ139" i="2"/>
  <c r="CA116" i="2"/>
  <c r="CA81" i="2"/>
  <c r="CA34" i="2"/>
  <c r="BZ137" i="2"/>
  <c r="BZ99" i="2"/>
  <c r="BZ82" i="2"/>
  <c r="CB153" i="2"/>
  <c r="CA138" i="2"/>
  <c r="CB62" i="2"/>
  <c r="BZ19" i="2"/>
  <c r="DK125" i="2"/>
  <c r="E59" i="25"/>
  <c r="BZ26" i="2"/>
  <c r="BZ22" i="2"/>
  <c r="CA40" i="2"/>
  <c r="N33" i="5"/>
  <c r="CA156" i="2"/>
  <c r="BZ155" i="2"/>
  <c r="CA146" i="2"/>
  <c r="CA142" i="2"/>
  <c r="BZ133" i="2"/>
  <c r="CB131" i="2"/>
  <c r="CB126" i="2"/>
  <c r="CA125" i="2"/>
  <c r="BZ124" i="2"/>
  <c r="BZ120" i="2"/>
  <c r="CA100" i="2"/>
  <c r="CA92" i="2"/>
  <c r="CB88" i="2"/>
  <c r="CA87" i="2"/>
  <c r="BZ86" i="2"/>
  <c r="CA83" i="2"/>
  <c r="CA75" i="2"/>
  <c r="CA64" i="2"/>
  <c r="BZ63" i="2"/>
  <c r="CA60" i="2"/>
  <c r="CA20" i="2"/>
  <c r="CB17" i="2"/>
  <c r="BZ11" i="2"/>
  <c r="CB45" i="2"/>
  <c r="BZ37" i="2"/>
  <c r="BZ29" i="2"/>
  <c r="DL147" i="2"/>
  <c r="DK30" i="2"/>
  <c r="CA4" i="2"/>
  <c r="CB147" i="2"/>
  <c r="CA121" i="2"/>
  <c r="CA108" i="2"/>
  <c r="BZ107" i="2"/>
  <c r="CA104" i="2"/>
  <c r="BZ103" i="2"/>
  <c r="BZ95" i="2"/>
  <c r="CB84" i="2"/>
  <c r="BZ70" i="2"/>
  <c r="BZ52" i="2"/>
  <c r="BZ48" i="2"/>
  <c r="CA12" i="2"/>
  <c r="CA38" i="2"/>
  <c r="CA30" i="2"/>
  <c r="DK142" i="2"/>
  <c r="DK138" i="2"/>
  <c r="DL110" i="2"/>
  <c r="BZ145" i="2"/>
  <c r="CA134" i="2"/>
  <c r="CA130" i="2"/>
  <c r="BZ129" i="2"/>
  <c r="CB122" i="2"/>
  <c r="BZ115" i="2"/>
  <c r="BZ111" i="2"/>
  <c r="CA96" i="2"/>
  <c r="BZ78" i="2"/>
  <c r="CA71" i="2"/>
  <c r="CA49" i="2"/>
  <c r="BZ15" i="2"/>
  <c r="CA8" i="2"/>
  <c r="BZ7" i="2"/>
  <c r="BZ41" i="2"/>
  <c r="CB39" i="2"/>
  <c r="BZ33" i="2"/>
  <c r="DK23" i="2"/>
  <c r="DK83" i="2"/>
  <c r="DK71" i="2"/>
  <c r="DK64" i="2"/>
  <c r="DK44" i="2"/>
  <c r="DK34" i="2"/>
  <c r="AY32" i="3"/>
  <c r="AY5" i="3"/>
  <c r="CI5" i="3" s="1"/>
  <c r="DL84" i="2"/>
  <c r="DL23" i="2"/>
  <c r="CB156" i="2"/>
  <c r="DW153" i="2"/>
  <c r="CA153" i="2"/>
  <c r="DX148" i="2"/>
  <c r="DL148" i="2"/>
  <c r="DX136" i="2"/>
  <c r="CB136" i="2"/>
  <c r="DX132" i="2"/>
  <c r="DL132" i="2"/>
  <c r="DW122" i="2"/>
  <c r="CA122" i="2"/>
  <c r="DX119" i="2"/>
  <c r="CB119" i="2"/>
  <c r="DV116" i="2"/>
  <c r="DV112" i="2"/>
  <c r="BZ112" i="2"/>
  <c r="DV108" i="2"/>
  <c r="BZ108" i="2"/>
  <c r="DV104" i="2"/>
  <c r="BZ104" i="2"/>
  <c r="DV96" i="2"/>
  <c r="DV92" i="2"/>
  <c r="BZ92" i="2"/>
  <c r="DV87" i="2"/>
  <c r="BZ87" i="2"/>
  <c r="BZ79" i="2"/>
  <c r="DX69" i="2"/>
  <c r="CB69" i="2"/>
  <c r="DX51" i="2"/>
  <c r="CB51" i="2"/>
  <c r="DX47" i="2"/>
  <c r="CB47" i="2"/>
  <c r="DV20" i="2"/>
  <c r="BZ20" i="2"/>
  <c r="DV16" i="2"/>
  <c r="DW5" i="2"/>
  <c r="CA5" i="2"/>
  <c r="DW154" i="2"/>
  <c r="CA154" i="2"/>
  <c r="DW132" i="2"/>
  <c r="CA132" i="2"/>
  <c r="DV131" i="2"/>
  <c r="BZ131" i="2"/>
  <c r="DW127" i="2"/>
  <c r="CA127" i="2"/>
  <c r="DW119" i="2"/>
  <c r="CA119" i="2"/>
  <c r="DW94" i="2"/>
  <c r="DV93" i="2"/>
  <c r="BZ80" i="2"/>
  <c r="DW77" i="2"/>
  <c r="CA77" i="2"/>
  <c r="DW73" i="2"/>
  <c r="CA73" i="2"/>
  <c r="DW58" i="2"/>
  <c r="CA58" i="2"/>
  <c r="BZ57" i="2"/>
  <c r="BZ46" i="2"/>
  <c r="DV17" i="2"/>
  <c r="DW6" i="2"/>
  <c r="CA6" i="2"/>
  <c r="BZ35" i="2"/>
  <c r="DV31" i="2"/>
  <c r="DW28" i="2"/>
  <c r="CA28" i="2"/>
  <c r="DV27" i="2"/>
  <c r="BZ27" i="2"/>
  <c r="DW21" i="2"/>
  <c r="CA21" i="2"/>
  <c r="DX140" i="2"/>
  <c r="DL140" i="2"/>
  <c r="DV130" i="2"/>
  <c r="BZ130" i="2"/>
  <c r="DV125" i="2"/>
  <c r="DX98" i="2"/>
  <c r="CB98" i="2"/>
  <c r="DL98" i="2"/>
  <c r="DX90" i="2"/>
  <c r="DL90" i="2"/>
  <c r="DX85" i="2"/>
  <c r="DL85" i="2"/>
  <c r="DX81" i="2"/>
  <c r="CB81" i="2"/>
  <c r="DX77" i="2"/>
  <c r="CB77" i="2"/>
  <c r="DV60" i="2"/>
  <c r="BZ60" i="2"/>
  <c r="DW13" i="2"/>
  <c r="CA13" i="2"/>
  <c r="DX6" i="2"/>
  <c r="CB6" i="2"/>
  <c r="DX40" i="2"/>
  <c r="CB40" i="2"/>
  <c r="DX36" i="2"/>
  <c r="CB36" i="2"/>
  <c r="DL36" i="2"/>
  <c r="BZ34" i="2"/>
  <c r="BZ30" i="2"/>
  <c r="DX25" i="2"/>
  <c r="DL25" i="2"/>
  <c r="BZ23" i="2"/>
  <c r="CB21" i="2"/>
  <c r="CB154" i="2"/>
  <c r="CB140" i="2"/>
  <c r="BZ116" i="2"/>
  <c r="BZ49" i="2"/>
  <c r="BZ121" i="2"/>
  <c r="BZ101" i="2"/>
  <c r="BZ100" i="2"/>
  <c r="CB90" i="2"/>
  <c r="CA88" i="2"/>
  <c r="CB85" i="2"/>
  <c r="CA84" i="2"/>
  <c r="BZ83" i="2"/>
  <c r="BZ71" i="2"/>
  <c r="CB54" i="2"/>
  <c r="BZ17" i="2"/>
  <c r="BZ16" i="2"/>
  <c r="BZ44" i="2"/>
  <c r="BZ38" i="2"/>
  <c r="CB32" i="2"/>
  <c r="DL119" i="2"/>
  <c r="DK84" i="2"/>
  <c r="DL6" i="2"/>
  <c r="DL32" i="2"/>
  <c r="DV152" i="2"/>
  <c r="DW147" i="2"/>
  <c r="DK147" i="2"/>
  <c r="DX144" i="2"/>
  <c r="CB144" i="2"/>
  <c r="DV142" i="2"/>
  <c r="BZ142" i="2"/>
  <c r="DV138" i="2"/>
  <c r="DW131" i="2"/>
  <c r="CA131" i="2"/>
  <c r="DW126" i="2"/>
  <c r="CA126" i="2"/>
  <c r="DX123" i="2"/>
  <c r="DL123" i="2"/>
  <c r="CB123" i="2"/>
  <c r="DX106" i="2"/>
  <c r="CB106" i="2"/>
  <c r="DX102" i="2"/>
  <c r="DL102" i="2"/>
  <c r="DX94" i="2"/>
  <c r="CB94" i="2"/>
  <c r="DX73" i="2"/>
  <c r="CB73" i="2"/>
  <c r="CB58" i="2"/>
  <c r="DX14" i="2"/>
  <c r="CB14" i="2"/>
  <c r="DV12" i="2"/>
  <c r="BZ12" i="2"/>
  <c r="DV8" i="2"/>
  <c r="BZ8" i="2"/>
  <c r="DW45" i="2"/>
  <c r="CA45" i="2"/>
  <c r="DW39" i="2"/>
  <c r="DK39" i="2"/>
  <c r="DW35" i="2"/>
  <c r="CA35" i="2"/>
  <c r="DW31" i="2"/>
  <c r="CA31" i="2"/>
  <c r="DV4" i="2"/>
  <c r="BZ4" i="2"/>
  <c r="BZ156" i="2"/>
  <c r="BZ96" i="2"/>
  <c r="BZ64" i="2"/>
  <c r="CB18" i="2"/>
  <c r="CA17" i="2"/>
  <c r="CB28" i="2"/>
  <c r="CB25" i="2"/>
  <c r="CB148" i="2"/>
  <c r="BZ146" i="2"/>
  <c r="BZ134" i="2"/>
  <c r="CB132" i="2"/>
  <c r="CB127" i="2"/>
  <c r="CB110" i="2"/>
  <c r="CB102" i="2"/>
  <c r="CA94" i="2"/>
  <c r="BZ88" i="2"/>
  <c r="BZ75" i="2"/>
  <c r="CB10" i="2"/>
  <c r="CA9" i="2"/>
  <c r="DL136" i="2"/>
  <c r="DL81" i="2"/>
  <c r="CA148" i="2"/>
  <c r="CB146" i="2"/>
  <c r="CA140" i="2"/>
  <c r="CA106" i="2"/>
  <c r="BZ93" i="2"/>
  <c r="CA85" i="2"/>
  <c r="CA18" i="2"/>
  <c r="CA14" i="2"/>
  <c r="CA10" i="2"/>
  <c r="BZ31" i="2"/>
  <c r="DK140" i="2"/>
  <c r="DK85" i="2"/>
  <c r="DK81" i="2"/>
  <c r="DX3" i="2"/>
  <c r="CB3" i="2"/>
  <c r="DV157" i="2"/>
  <c r="DV153" i="2"/>
  <c r="BZ153" i="2"/>
  <c r="DV147" i="2"/>
  <c r="DW144" i="2"/>
  <c r="DK144" i="2"/>
  <c r="DV143" i="2"/>
  <c r="BZ143" i="2"/>
  <c r="DW136" i="2"/>
  <c r="DK136" i="2"/>
  <c r="DV135" i="2"/>
  <c r="BZ135" i="2"/>
  <c r="DV126" i="2"/>
  <c r="BZ126" i="2"/>
  <c r="DW123" i="2"/>
  <c r="CA123" i="2"/>
  <c r="DV122" i="2"/>
  <c r="DV117" i="2"/>
  <c r="BZ117" i="2"/>
  <c r="DW114" i="2"/>
  <c r="CA114" i="2"/>
  <c r="DV113" i="2"/>
  <c r="BZ113" i="2"/>
  <c r="DW110" i="2"/>
  <c r="DK110" i="2"/>
  <c r="DV109" i="2"/>
  <c r="DV105" i="2"/>
  <c r="DW102" i="2"/>
  <c r="DK102" i="2"/>
  <c r="DW98" i="2"/>
  <c r="CA98" i="2"/>
  <c r="DV97" i="2"/>
  <c r="BZ97" i="2"/>
  <c r="DW90" i="2"/>
  <c r="CA90" i="2"/>
  <c r="DV84" i="2"/>
  <c r="BZ84" i="2"/>
  <c r="DV80" i="2"/>
  <c r="DV76" i="2"/>
  <c r="DV72" i="2"/>
  <c r="BZ72" i="2"/>
  <c r="DW69" i="2"/>
  <c r="CA69" i="2"/>
  <c r="DV65" i="2"/>
  <c r="BZ65" i="2"/>
  <c r="DW62" i="2"/>
  <c r="CA62" i="2"/>
  <c r="DW54" i="2"/>
  <c r="CA54" i="2"/>
  <c r="DV53" i="2"/>
  <c r="BZ53" i="2"/>
  <c r="DW51" i="2"/>
  <c r="CA51" i="2"/>
  <c r="BZ50" i="2"/>
  <c r="DW47" i="2"/>
  <c r="CA47" i="2"/>
  <c r="DV9" i="2"/>
  <c r="BZ9" i="2"/>
  <c r="DV45" i="2"/>
  <c r="BZ39" i="2"/>
  <c r="DW36" i="2"/>
  <c r="DK36" i="2"/>
  <c r="CA36" i="2"/>
  <c r="DW32" i="2"/>
  <c r="DK32" i="2"/>
  <c r="DW25" i="2"/>
  <c r="CA25" i="2"/>
  <c r="DV24" i="2"/>
  <c r="BZ24" i="2"/>
  <c r="DV5" i="2"/>
  <c r="BZ5" i="2"/>
  <c r="DV132" i="2"/>
  <c r="DX121" i="2"/>
  <c r="CB121" i="2"/>
  <c r="DV106" i="2"/>
  <c r="BZ106" i="2"/>
  <c r="DV81" i="2"/>
  <c r="DV69" i="2"/>
  <c r="BZ69" i="2"/>
  <c r="DV54" i="2"/>
  <c r="DW11" i="2"/>
  <c r="CA11" i="2"/>
  <c r="DV6" i="2"/>
  <c r="DL83" i="2"/>
  <c r="CX103" i="2"/>
  <c r="DJ103" i="2" s="1"/>
  <c r="CX23" i="2"/>
  <c r="DJ23" i="2" s="1"/>
  <c r="DX4" i="2"/>
  <c r="CB108" i="2"/>
  <c r="CB64" i="2"/>
  <c r="CX129" i="2"/>
  <c r="DJ129" i="2" s="1"/>
  <c r="CB96" i="2"/>
  <c r="CB16" i="2"/>
  <c r="DL142" i="2"/>
  <c r="DL64" i="2"/>
  <c r="CX147" i="2"/>
  <c r="DJ147" i="2" s="1"/>
  <c r="CP65" i="2"/>
  <c r="DB65" i="2" s="1"/>
  <c r="DR134" i="2"/>
  <c r="DL56" i="2"/>
  <c r="CB34" i="2"/>
  <c r="CB130" i="2"/>
  <c r="CB125" i="2"/>
  <c r="CB83" i="2"/>
  <c r="CB71" i="2"/>
  <c r="CB56" i="2"/>
  <c r="CB20" i="2"/>
  <c r="DK56" i="2"/>
  <c r="CX72" i="2"/>
  <c r="DJ72" i="2" s="1"/>
  <c r="CB152" i="2"/>
  <c r="CB112" i="2"/>
  <c r="DL100" i="2"/>
  <c r="DL79" i="2"/>
  <c r="DL34" i="2"/>
  <c r="CX48" i="2"/>
  <c r="DJ48" i="2" s="1"/>
  <c r="CB100" i="2"/>
  <c r="CB87" i="2"/>
  <c r="DK100" i="2"/>
  <c r="DK79" i="2"/>
  <c r="DL71" i="2"/>
  <c r="DW70" i="2"/>
  <c r="CB142" i="2"/>
  <c r="CB38" i="2"/>
  <c r="CX116" i="2"/>
  <c r="DJ116" i="2" s="1"/>
  <c r="CB92" i="2"/>
  <c r="CB60" i="2"/>
  <c r="CB44" i="2"/>
  <c r="CB23" i="2"/>
  <c r="CB116" i="2"/>
  <c r="CB75" i="2"/>
  <c r="CB49" i="2"/>
  <c r="CB12" i="2"/>
  <c r="CB8" i="2"/>
  <c r="CX145" i="2"/>
  <c r="DJ145" i="2" s="1"/>
  <c r="CX86" i="2"/>
  <c r="DJ86" i="2" s="1"/>
  <c r="DX41" i="2"/>
  <c r="CB138" i="2"/>
  <c r="CB134" i="2"/>
  <c r="CB104" i="2"/>
  <c r="CX141" i="2"/>
  <c r="DJ141" i="2" s="1"/>
  <c r="CB79" i="2"/>
  <c r="CB30" i="2"/>
  <c r="CB143" i="2"/>
  <c r="BZ136" i="2"/>
  <c r="CB117" i="2"/>
  <c r="CA113" i="2"/>
  <c r="CB80" i="2"/>
  <c r="CB76" i="2"/>
  <c r="CA72" i="2"/>
  <c r="BZ58" i="2"/>
  <c r="CB13" i="2"/>
  <c r="CB35" i="2"/>
  <c r="DK101" i="2"/>
  <c r="DK65" i="2"/>
  <c r="DK61" i="2"/>
  <c r="DK50" i="2"/>
  <c r="BZ21" i="2"/>
  <c r="CX144" i="2"/>
  <c r="DJ144" i="2" s="1"/>
  <c r="CS136" i="2"/>
  <c r="DE136" i="2" s="1"/>
  <c r="CX31" i="2"/>
  <c r="DJ31" i="2" s="1"/>
  <c r="DW57" i="2"/>
  <c r="DW19" i="2"/>
  <c r="CB157" i="2"/>
  <c r="CA3" i="2"/>
  <c r="CA157" i="2"/>
  <c r="CA143" i="2"/>
  <c r="CA117" i="2"/>
  <c r="CA80" i="2"/>
  <c r="CA76" i="2"/>
  <c r="BZ62" i="2"/>
  <c r="CB9" i="2"/>
  <c r="BZ28" i="2"/>
  <c r="DL138" i="2"/>
  <c r="DL13" i="2"/>
  <c r="DL31" i="2"/>
  <c r="CX81" i="2"/>
  <c r="DJ81" i="2" s="1"/>
  <c r="CX63" i="2"/>
  <c r="DJ63" i="2" s="1"/>
  <c r="CX53" i="2"/>
  <c r="DJ53" i="2" s="1"/>
  <c r="DV47" i="2"/>
  <c r="CX54" i="2"/>
  <c r="DJ54" i="2" s="1"/>
  <c r="CX32" i="2"/>
  <c r="DJ32" i="2" s="1"/>
  <c r="DW46" i="2"/>
  <c r="CB5" i="2"/>
  <c r="BZ144" i="2"/>
  <c r="BZ119" i="2"/>
  <c r="CA93" i="2"/>
  <c r="BZ81" i="2"/>
  <c r="CB53" i="2"/>
  <c r="CA46" i="2"/>
  <c r="BZ14" i="2"/>
  <c r="BZ10" i="2"/>
  <c r="DK117" i="2"/>
  <c r="DL57" i="2"/>
  <c r="DV101" i="2"/>
  <c r="CX101" i="2"/>
  <c r="DJ101" i="2" s="1"/>
  <c r="DV61" i="2"/>
  <c r="CX61" i="2"/>
  <c r="DJ61" i="2" s="1"/>
  <c r="DV57" i="2"/>
  <c r="CX57" i="2"/>
  <c r="DJ57" i="2" s="1"/>
  <c r="DV50" i="2"/>
  <c r="CX50" i="2"/>
  <c r="DJ50" i="2" s="1"/>
  <c r="DV46" i="2"/>
  <c r="CX46" i="2"/>
  <c r="DJ46" i="2" s="1"/>
  <c r="DV13" i="2"/>
  <c r="CX13" i="2"/>
  <c r="DJ13" i="2" s="1"/>
  <c r="DV39" i="2"/>
  <c r="CX39" i="2"/>
  <c r="DJ39" i="2" s="1"/>
  <c r="DV35" i="2"/>
  <c r="CX35" i="2"/>
  <c r="DJ35" i="2" s="1"/>
  <c r="DV102" i="2"/>
  <c r="CX102" i="2"/>
  <c r="DJ102" i="2" s="1"/>
  <c r="BZ154" i="2"/>
  <c r="CB135" i="2"/>
  <c r="BZ127" i="2"/>
  <c r="CB97" i="2"/>
  <c r="CA53" i="2"/>
  <c r="CB50" i="2"/>
  <c r="BZ40" i="2"/>
  <c r="DK57" i="2"/>
  <c r="CX123" i="2"/>
  <c r="DJ123" i="2" s="1"/>
  <c r="CX110" i="2"/>
  <c r="DJ110" i="2" s="1"/>
  <c r="CX99" i="2"/>
  <c r="DJ99" i="2" s="1"/>
  <c r="CX60" i="2"/>
  <c r="DJ60" i="2" s="1"/>
  <c r="DR131" i="2"/>
  <c r="DX44" i="2"/>
  <c r="DV140" i="2"/>
  <c r="CX140" i="2"/>
  <c r="DJ140" i="2" s="1"/>
  <c r="DV36" i="2"/>
  <c r="CX36" i="2"/>
  <c r="DJ36" i="2" s="1"/>
  <c r="DV25" i="2"/>
  <c r="DJ25" i="2"/>
  <c r="BZ73" i="2"/>
  <c r="CA135" i="2"/>
  <c r="BZ123" i="2"/>
  <c r="CA97" i="2"/>
  <c r="BZ90" i="2"/>
  <c r="BZ85" i="2"/>
  <c r="CB57" i="2"/>
  <c r="CA50" i="2"/>
  <c r="BZ18" i="2"/>
  <c r="BZ6" i="2"/>
  <c r="DL80" i="2"/>
  <c r="DL53" i="2"/>
  <c r="DL30" i="2"/>
  <c r="CX136" i="2"/>
  <c r="DJ136" i="2" s="1"/>
  <c r="CX94" i="2"/>
  <c r="DJ94" i="2" s="1"/>
  <c r="CX65" i="2"/>
  <c r="DJ65" i="2" s="1"/>
  <c r="BZ148" i="2"/>
  <c r="BZ132" i="2"/>
  <c r="CB101" i="2"/>
  <c r="CB61" i="2"/>
  <c r="CB27" i="2"/>
  <c r="DK80" i="2"/>
  <c r="DK53" i="2"/>
  <c r="DV83" i="2"/>
  <c r="CX83" i="2"/>
  <c r="DJ83" i="2" s="1"/>
  <c r="DV79" i="2"/>
  <c r="CX79" i="2"/>
  <c r="DJ79" i="2" s="1"/>
  <c r="DV71" i="2"/>
  <c r="CX71" i="2"/>
  <c r="DJ71" i="2" s="1"/>
  <c r="DV64" i="2"/>
  <c r="CX64" i="2"/>
  <c r="DJ64" i="2" s="1"/>
  <c r="DV56" i="2"/>
  <c r="CX56" i="2"/>
  <c r="DJ56" i="2" s="1"/>
  <c r="DV44" i="2"/>
  <c r="CX44" i="2"/>
  <c r="DJ44" i="2" s="1"/>
  <c r="DV34" i="2"/>
  <c r="CX34" i="2"/>
  <c r="DJ34" i="2" s="1"/>
  <c r="DV30" i="2"/>
  <c r="CX30" i="2"/>
  <c r="DJ30" i="2" s="1"/>
  <c r="CX148" i="2"/>
  <c r="DJ148" i="2" s="1"/>
  <c r="CX142" i="2"/>
  <c r="DJ142" i="2" s="1"/>
  <c r="DJ124" i="2"/>
  <c r="CX117" i="2"/>
  <c r="DJ117" i="2" s="1"/>
  <c r="CX111" i="2"/>
  <c r="DJ111" i="2" s="1"/>
  <c r="CX100" i="2"/>
  <c r="DJ100" i="2" s="1"/>
  <c r="CX74" i="2"/>
  <c r="DJ74" i="2" s="1"/>
  <c r="DW72" i="2"/>
  <c r="DX29" i="2"/>
  <c r="BZ32" i="2"/>
  <c r="CB24" i="2"/>
  <c r="BZ114" i="2"/>
  <c r="CB93" i="2"/>
  <c r="BZ77" i="2"/>
  <c r="CB139" i="2"/>
  <c r="CB109" i="2"/>
  <c r="CB105" i="2"/>
  <c r="CA101" i="2"/>
  <c r="BZ94" i="2"/>
  <c r="CB65" i="2"/>
  <c r="CA61" i="2"/>
  <c r="BZ47" i="2"/>
  <c r="DL60" i="2"/>
  <c r="DL46" i="2"/>
  <c r="BZ25" i="2"/>
  <c r="CB155" i="2"/>
  <c r="DX155" i="2"/>
  <c r="CB149" i="2"/>
  <c r="DX149" i="2"/>
  <c r="DL141" i="2"/>
  <c r="DX141" i="2"/>
  <c r="CB137" i="2"/>
  <c r="DX137" i="2"/>
  <c r="CB133" i="2"/>
  <c r="DX133" i="2"/>
  <c r="DL129" i="2"/>
  <c r="DX129" i="2"/>
  <c r="CB124" i="2"/>
  <c r="DX124" i="2"/>
  <c r="DL120" i="2"/>
  <c r="DX120" i="2"/>
  <c r="CB115" i="2"/>
  <c r="DX115" i="2"/>
  <c r="CB111" i="2"/>
  <c r="DX111" i="2"/>
  <c r="CB107" i="2"/>
  <c r="DX107" i="2"/>
  <c r="DL103" i="2"/>
  <c r="DX103" i="2"/>
  <c r="CB99" i="2"/>
  <c r="DX99" i="2"/>
  <c r="CB91" i="2"/>
  <c r="DX91" i="2"/>
  <c r="CB86" i="2"/>
  <c r="DX86" i="2"/>
  <c r="CB78" i="2"/>
  <c r="DX78" i="2"/>
  <c r="CB74" i="2"/>
  <c r="DX74" i="2"/>
  <c r="CB70" i="2"/>
  <c r="DX70" i="2"/>
  <c r="DL63" i="2"/>
  <c r="DX63" i="2"/>
  <c r="CB59" i="2"/>
  <c r="DX59" i="2"/>
  <c r="CB52" i="2"/>
  <c r="DX52" i="2"/>
  <c r="CB48" i="2"/>
  <c r="DX48" i="2"/>
  <c r="CB19" i="2"/>
  <c r="DX19" i="2"/>
  <c r="CB15" i="2"/>
  <c r="DX15" i="2"/>
  <c r="CB11" i="2"/>
  <c r="DX11" i="2"/>
  <c r="CB7" i="2"/>
  <c r="DX7" i="2"/>
  <c r="CB37" i="2"/>
  <c r="DX37" i="2"/>
  <c r="CB33" i="2"/>
  <c r="DX33" i="2"/>
  <c r="CB26" i="2"/>
  <c r="DX26" i="2"/>
  <c r="CB22" i="2"/>
  <c r="DX22" i="2"/>
  <c r="CX137" i="2"/>
  <c r="DJ137" i="2" s="1"/>
  <c r="CX12" i="2"/>
  <c r="DJ12" i="2" s="1"/>
  <c r="CX6" i="2"/>
  <c r="DJ6" i="2" s="1"/>
  <c r="BZ110" i="2"/>
  <c r="DV85" i="2"/>
  <c r="CX85" i="2"/>
  <c r="DJ85" i="2" s="1"/>
  <c r="CB46" i="2"/>
  <c r="CX98" i="2"/>
  <c r="DJ98" i="2" s="1"/>
  <c r="DR146" i="2"/>
  <c r="CA139" i="2"/>
  <c r="CA109" i="2"/>
  <c r="CA105" i="2"/>
  <c r="CA65" i="2"/>
  <c r="BZ54" i="2"/>
  <c r="BZ51" i="2"/>
  <c r="CB31" i="2"/>
  <c r="DL125" i="2"/>
  <c r="DL109" i="2"/>
  <c r="DL72" i="2"/>
  <c r="DL12" i="2"/>
  <c r="CA155" i="2"/>
  <c r="DW155" i="2"/>
  <c r="CA149" i="2"/>
  <c r="DW149" i="2"/>
  <c r="DW141" i="2"/>
  <c r="DW137" i="2"/>
  <c r="CA133" i="2"/>
  <c r="DW133" i="2"/>
  <c r="DW129" i="2"/>
  <c r="CA120" i="2"/>
  <c r="DW120" i="2"/>
  <c r="CA115" i="2"/>
  <c r="DW115" i="2"/>
  <c r="CA107" i="2"/>
  <c r="DW107" i="2"/>
  <c r="DK103" i="2"/>
  <c r="DW103" i="2"/>
  <c r="CA95" i="2"/>
  <c r="CA91" i="2"/>
  <c r="DW91" i="2"/>
  <c r="DW86" i="2"/>
  <c r="CA78" i="2"/>
  <c r="DW78" i="2"/>
  <c r="DW63" i="2"/>
  <c r="CA59" i="2"/>
  <c r="DW59" i="2"/>
  <c r="CA52" i="2"/>
  <c r="DW52" i="2"/>
  <c r="CA15" i="2"/>
  <c r="DW15" i="2"/>
  <c r="CA7" i="2"/>
  <c r="DW7" i="2"/>
  <c r="CA41" i="2"/>
  <c r="DW41" i="2"/>
  <c r="CA37" i="2"/>
  <c r="DW37" i="2"/>
  <c r="CA33" i="2"/>
  <c r="DW33" i="2"/>
  <c r="CA29" i="2"/>
  <c r="DW29" i="2"/>
  <c r="CA22" i="2"/>
  <c r="DW22" i="2"/>
  <c r="CX132" i="2"/>
  <c r="DJ132" i="2" s="1"/>
  <c r="CX125" i="2"/>
  <c r="DJ125" i="2" s="1"/>
  <c r="CX119" i="2"/>
  <c r="DJ119" i="2" s="1"/>
  <c r="CX84" i="2"/>
  <c r="DJ84" i="2" s="1"/>
  <c r="CX80" i="2"/>
  <c r="DJ80" i="2" s="1"/>
  <c r="DV90" i="2"/>
  <c r="CX90" i="2"/>
  <c r="DJ90" i="2" s="1"/>
  <c r="DL117" i="2"/>
  <c r="CB113" i="2"/>
  <c r="BZ98" i="2"/>
  <c r="CB72" i="2"/>
  <c r="DL116" i="2"/>
  <c r="DL101" i="2"/>
  <c r="DL65" i="2"/>
  <c r="DL61" i="2"/>
  <c r="DL50" i="2"/>
  <c r="DL39" i="2"/>
  <c r="DV82" i="2"/>
  <c r="CX82" i="2"/>
  <c r="DJ82" i="2" s="1"/>
  <c r="DV55" i="2"/>
  <c r="CX55" i="2"/>
  <c r="DJ55" i="2" s="1"/>
  <c r="CX138" i="2"/>
  <c r="DJ138" i="2" s="1"/>
  <c r="DB71" i="2"/>
  <c r="DB64" i="2"/>
  <c r="DL145" i="2"/>
  <c r="CB145" i="2"/>
  <c r="BX56" i="2"/>
  <c r="AT83" i="2"/>
  <c r="DB83" i="2"/>
  <c r="BZ3" i="2"/>
  <c r="DK145" i="2"/>
  <c r="CA145" i="2"/>
  <c r="CA124" i="2"/>
  <c r="DK111" i="2"/>
  <c r="CA111" i="2"/>
  <c r="DK99" i="2"/>
  <c r="CA99" i="2"/>
  <c r="DK82" i="2"/>
  <c r="CA82" i="2"/>
  <c r="DK74" i="2"/>
  <c r="CA74" i="2"/>
  <c r="DK55" i="2"/>
  <c r="CA55" i="2"/>
  <c r="DK48" i="2"/>
  <c r="CA48" i="2"/>
  <c r="DK26" i="2"/>
  <c r="CA26" i="2"/>
  <c r="DL82" i="2"/>
  <c r="CB82" i="2"/>
  <c r="BX116" i="2"/>
  <c r="AT140" i="2"/>
  <c r="DB32" i="2"/>
  <c r="AT32" i="2"/>
  <c r="AT55" i="2"/>
  <c r="DH83" i="2"/>
  <c r="BX83" i="2"/>
  <c r="BX95" i="2"/>
  <c r="DH102" i="2"/>
  <c r="BX102" i="2"/>
  <c r="BX129" i="2"/>
  <c r="BV133" i="2"/>
  <c r="DB138" i="2"/>
  <c r="AT138" i="2"/>
  <c r="DH140" i="2"/>
  <c r="BX140" i="2"/>
  <c r="BV143" i="2"/>
  <c r="DH123" i="2"/>
  <c r="BX123" i="2"/>
  <c r="BX145" i="2"/>
  <c r="DH65" i="2"/>
  <c r="BX138" i="2"/>
  <c r="DH138" i="2"/>
  <c r="CA137" i="2"/>
  <c r="DB6" i="2"/>
  <c r="AT6" i="2"/>
  <c r="DH99" i="2"/>
  <c r="BX99" i="2"/>
  <c r="DH97" i="2"/>
  <c r="BX97" i="2"/>
  <c r="BX137" i="2"/>
  <c r="DL95" i="2"/>
  <c r="CB95" i="2"/>
  <c r="DL55" i="2"/>
  <c r="CB55" i="2"/>
  <c r="BX85" i="2"/>
  <c r="DB12" i="2"/>
  <c r="AT12" i="2"/>
  <c r="AT81" i="2"/>
  <c r="DB81" i="2"/>
  <c r="DB25" i="2"/>
  <c r="AT25" i="2"/>
  <c r="DH12" i="2"/>
  <c r="BX12" i="2"/>
  <c r="BX55" i="2"/>
  <c r="DH81" i="2"/>
  <c r="BX81" i="2"/>
  <c r="DH90" i="2"/>
  <c r="BX90" i="2"/>
  <c r="BX100" i="2"/>
  <c r="DH100" i="2"/>
  <c r="DH110" i="2"/>
  <c r="BX110" i="2"/>
  <c r="DH148" i="2"/>
  <c r="BX148" i="2"/>
  <c r="BX84" i="2"/>
  <c r="DB46" i="2"/>
  <c r="AT46" i="2"/>
  <c r="DH25" i="2"/>
  <c r="BX25" i="2"/>
  <c r="DH39" i="2"/>
  <c r="BX39" i="2"/>
  <c r="DH46" i="2"/>
  <c r="BX46" i="2"/>
  <c r="DH61" i="2"/>
  <c r="BX61" i="2"/>
  <c r="AT71" i="2"/>
  <c r="DB79" i="2"/>
  <c r="AT79" i="2"/>
  <c r="AT86" i="2"/>
  <c r="DB86" i="2"/>
  <c r="DH117" i="2"/>
  <c r="BX125" i="2"/>
  <c r="DB136" i="2"/>
  <c r="AT136" i="2"/>
  <c r="DB141" i="2"/>
  <c r="AT141" i="2"/>
  <c r="DH137" i="2"/>
  <c r="DB30" i="2"/>
  <c r="AT30" i="2"/>
  <c r="BX53" i="2"/>
  <c r="DH63" i="2"/>
  <c r="BX63" i="2"/>
  <c r="BX79" i="2"/>
  <c r="DB91" i="2"/>
  <c r="AT91" i="2"/>
  <c r="DH96" i="2"/>
  <c r="AT145" i="2"/>
  <c r="BX141" i="2"/>
  <c r="DH91" i="2"/>
  <c r="DH144" i="2"/>
  <c r="BX144" i="2"/>
  <c r="BX117" i="2"/>
  <c r="CA86" i="2"/>
  <c r="DH82" i="2"/>
  <c r="BX82" i="2"/>
  <c r="AT98" i="2"/>
  <c r="DB111" i="2"/>
  <c r="AT111" i="2"/>
  <c r="DH136" i="2"/>
  <c r="BX136" i="2"/>
  <c r="BX91" i="2"/>
  <c r="AT129" i="2"/>
  <c r="DB129" i="2"/>
  <c r="BU136" i="2"/>
  <c r="DH26" i="2"/>
  <c r="BX26" i="2"/>
  <c r="DH13" i="2"/>
  <c r="BX13" i="2"/>
  <c r="DB47" i="2"/>
  <c r="AT47" i="2"/>
  <c r="DH47" i="2"/>
  <c r="BX47" i="2"/>
  <c r="DH74" i="2"/>
  <c r="AT80" i="2"/>
  <c r="BX98" i="2"/>
  <c r="DH94" i="2"/>
  <c r="BX94" i="2"/>
  <c r="DH101" i="2"/>
  <c r="AT119" i="2"/>
  <c r="DB119" i="2"/>
  <c r="DB137" i="2"/>
  <c r="AT137" i="2"/>
  <c r="BX71" i="2"/>
  <c r="DB74" i="2"/>
  <c r="AT74" i="2"/>
  <c r="DH86" i="2"/>
  <c r="BX86" i="2"/>
  <c r="DH30" i="2"/>
  <c r="BX30" i="2"/>
  <c r="BX57" i="2"/>
  <c r="AT64" i="2"/>
  <c r="BX72" i="2"/>
  <c r="DH72" i="2"/>
  <c r="BX80" i="2"/>
  <c r="AT84" i="2"/>
  <c r="DB84" i="2"/>
  <c r="BX111" i="2"/>
  <c r="BX119" i="2"/>
  <c r="DH132" i="2"/>
  <c r="BX132" i="2"/>
  <c r="DH142" i="2"/>
  <c r="BX142" i="2"/>
  <c r="CB120" i="2"/>
  <c r="DH95" i="2"/>
  <c r="CB141" i="2"/>
  <c r="CB129" i="2"/>
  <c r="CB103" i="2"/>
  <c r="CB63" i="2"/>
  <c r="CZ99" i="2"/>
  <c r="DL99" i="2" s="1"/>
  <c r="CA141" i="2"/>
  <c r="CA129" i="2"/>
  <c r="CA103" i="2"/>
  <c r="CA63" i="2"/>
  <c r="DL137" i="2"/>
  <c r="DL124" i="2"/>
  <c r="DL111" i="2"/>
  <c r="DL86" i="2"/>
  <c r="DL74" i="2"/>
  <c r="DL48" i="2"/>
  <c r="DL26" i="2"/>
  <c r="BW32" i="3"/>
  <c r="AY29" i="3"/>
  <c r="CK5" i="3"/>
  <c r="CL5" i="3"/>
  <c r="BW29" i="3"/>
  <c r="CM5" i="3"/>
  <c r="CN5" i="3"/>
  <c r="BW41" i="3"/>
  <c r="CO5" i="3"/>
  <c r="BW30" i="3"/>
  <c r="CI30" i="3"/>
  <c r="AY34" i="3"/>
  <c r="DH32" i="2"/>
  <c r="DH84" i="2"/>
  <c r="DH98" i="2"/>
  <c r="DH57" i="2"/>
  <c r="DH124" i="2"/>
  <c r="DH6" i="2"/>
  <c r="DH53" i="2"/>
  <c r="DH71" i="2"/>
  <c r="DH129" i="2"/>
  <c r="DH54" i="2"/>
  <c r="DH111" i="2"/>
  <c r="DH119" i="2"/>
  <c r="DH141" i="2"/>
  <c r="DH79" i="2"/>
  <c r="DH85" i="2"/>
  <c r="DB98" i="2"/>
  <c r="DB145" i="2"/>
  <c r="DB55" i="2"/>
  <c r="DB80" i="2"/>
  <c r="DB140" i="2"/>
  <c r="DH31" i="2"/>
  <c r="CD5" i="3"/>
  <c r="AY44" i="3"/>
  <c r="BW45" i="3"/>
  <c r="BW44" i="3"/>
  <c r="CI45" i="3"/>
  <c r="AY31" i="3"/>
  <c r="CI41" i="3"/>
  <c r="BW34" i="3"/>
  <c r="BW31" i="3"/>
  <c r="BF5" i="3"/>
  <c r="CP5" i="3"/>
  <c r="DH34" i="2"/>
  <c r="DH55" i="2"/>
  <c r="DH80" i="2"/>
  <c r="DH92" i="2"/>
  <c r="DH60" i="2"/>
  <c r="DH135" i="2"/>
  <c r="DH145" i="2"/>
  <c r="DH56" i="2"/>
  <c r="DH93" i="2"/>
  <c r="DH116" i="2"/>
  <c r="DH44" i="2"/>
  <c r="DH125" i="2"/>
  <c r="E28" i="25" l="1"/>
  <c r="F19" i="31"/>
  <c r="H19" i="31" s="1"/>
  <c r="I19" i="31" s="1"/>
  <c r="F36" i="31"/>
  <c r="H36" i="31" s="1"/>
  <c r="I36" i="31" s="1"/>
  <c r="F50" i="31"/>
  <c r="H50" i="31" s="1"/>
  <c r="F37" i="31"/>
  <c r="H37" i="31" s="1"/>
  <c r="H6" i="31"/>
  <c r="F9" i="31"/>
  <c r="H9" i="31" s="1"/>
  <c r="I9" i="31" s="1"/>
  <c r="F45" i="31"/>
  <c r="H45" i="31" s="1"/>
  <c r="I45" i="31" s="1"/>
  <c r="F18" i="31"/>
  <c r="H18" i="31" s="1"/>
  <c r="I18" i="31" s="1"/>
  <c r="F41" i="31"/>
  <c r="H41" i="31" s="1"/>
  <c r="I41" i="31" s="1"/>
  <c r="F44" i="31"/>
  <c r="H44" i="31" s="1"/>
  <c r="I44" i="31" s="1"/>
  <c r="F12" i="31"/>
  <c r="H12" i="31" s="1"/>
  <c r="I12" i="31" s="1"/>
  <c r="F20" i="31"/>
  <c r="H20" i="31" s="1"/>
  <c r="I20" i="31" s="1"/>
  <c r="F14" i="31"/>
  <c r="H14" i="31" s="1"/>
  <c r="I14" i="31" s="1"/>
  <c r="F17" i="31"/>
  <c r="H17" i="31" s="1"/>
  <c r="I17" i="31" s="1"/>
  <c r="F15" i="31"/>
  <c r="H15" i="31" s="1"/>
  <c r="I15" i="31" s="1"/>
  <c r="F22" i="31"/>
  <c r="H22" i="31" s="1"/>
  <c r="I22" i="31" s="1"/>
  <c r="F23" i="31"/>
  <c r="H23" i="31" s="1"/>
  <c r="I23" i="31" s="1"/>
  <c r="F28" i="31"/>
  <c r="H28" i="31" s="1"/>
  <c r="I28" i="31" s="1"/>
  <c r="E3" i="25"/>
  <c r="F2" i="31"/>
  <c r="H2" i="31" s="1"/>
  <c r="I2" i="31" s="1"/>
  <c r="F39" i="31"/>
  <c r="H39" i="31" s="1"/>
  <c r="I39" i="31" s="1"/>
  <c r="F16" i="31"/>
  <c r="H16" i="31" s="1"/>
  <c r="I16" i="31" s="1"/>
  <c r="F5" i="31"/>
  <c r="H5" i="31" s="1"/>
  <c r="I5" i="31" s="1"/>
  <c r="F43" i="31"/>
  <c r="H43" i="31" s="1"/>
  <c r="I43" i="31" s="1"/>
  <c r="F27" i="31"/>
  <c r="H27" i="31" s="1"/>
  <c r="I27" i="31" s="1"/>
  <c r="E152" i="25"/>
  <c r="F47" i="31"/>
  <c r="H47" i="31" s="1"/>
  <c r="I47" i="31" s="1"/>
  <c r="F30" i="31"/>
  <c r="H30" i="31" s="1"/>
  <c r="I30" i="31" s="1"/>
  <c r="F52" i="31"/>
  <c r="H52" i="31" s="1"/>
  <c r="F49" i="31"/>
  <c r="H49" i="31" s="1"/>
  <c r="I49" i="31" s="1"/>
  <c r="F26" i="31"/>
  <c r="H26" i="31" s="1"/>
  <c r="I26" i="31" s="1"/>
  <c r="F33" i="31"/>
  <c r="H33" i="31" s="1"/>
  <c r="I33" i="31" s="1"/>
  <c r="F21" i="31"/>
  <c r="H21" i="31" s="1"/>
  <c r="I21" i="31" s="1"/>
  <c r="F29" i="31"/>
  <c r="H29" i="31" s="1"/>
  <c r="F51" i="31"/>
  <c r="H51" i="31" s="1"/>
  <c r="F8" i="31"/>
  <c r="H8" i="31" s="1"/>
  <c r="I8" i="31" s="1"/>
  <c r="F10" i="31"/>
  <c r="H10" i="31" s="1"/>
  <c r="F13" i="31"/>
  <c r="H13" i="31" s="1"/>
  <c r="I13" i="31" s="1"/>
  <c r="F34" i="31"/>
  <c r="H34" i="31" s="1"/>
  <c r="I34" i="31" s="1"/>
  <c r="F3" i="31"/>
  <c r="H3" i="31" s="1"/>
  <c r="F38" i="31"/>
  <c r="H38" i="31" s="1"/>
  <c r="F31" i="31"/>
  <c r="H31" i="31" s="1"/>
  <c r="I31" i="31" s="1"/>
  <c r="F25" i="31"/>
  <c r="H25" i="31" s="1"/>
  <c r="I25" i="31" s="1"/>
  <c r="F32" i="31"/>
  <c r="H32" i="31" s="1"/>
  <c r="I32" i="31" s="1"/>
  <c r="F40" i="31"/>
  <c r="H40" i="31" s="1"/>
  <c r="I40" i="31" s="1"/>
  <c r="F46" i="31"/>
  <c r="H46" i="31" s="1"/>
  <c r="I46" i="31" s="1"/>
  <c r="E103" i="25"/>
  <c r="E108" i="25"/>
  <c r="E66" i="25"/>
  <c r="E128" i="25"/>
  <c r="E69" i="25"/>
  <c r="E42" i="25"/>
  <c r="E82" i="25"/>
  <c r="E97" i="25"/>
  <c r="E101" i="25"/>
  <c r="E130" i="25"/>
  <c r="E24" i="25"/>
  <c r="E72" i="25"/>
  <c r="E7" i="25"/>
  <c r="E117" i="25"/>
  <c r="E17" i="25"/>
  <c r="E19" i="25"/>
  <c r="E16" i="25"/>
  <c r="E14" i="25"/>
  <c r="E18" i="25"/>
  <c r="E10" i="25"/>
  <c r="E9" i="25"/>
  <c r="E139" i="25"/>
  <c r="E20" i="25"/>
  <c r="E11" i="25"/>
  <c r="E48" i="25"/>
  <c r="E6" i="25"/>
  <c r="E146" i="25"/>
  <c r="E12" i="25"/>
  <c r="E15" i="25"/>
  <c r="E55" i="25"/>
  <c r="E13" i="25"/>
  <c r="E8" i="25"/>
  <c r="E36" i="25"/>
  <c r="E87" i="25"/>
  <c r="E41" i="25"/>
  <c r="E47" i="25"/>
  <c r="E77" i="25"/>
  <c r="E21" i="25"/>
  <c r="E112" i="25"/>
  <c r="E107" i="25"/>
  <c r="E37" i="25"/>
  <c r="E35" i="25"/>
  <c r="E102" i="25"/>
  <c r="E84" i="25"/>
  <c r="E142" i="25"/>
  <c r="E65" i="25"/>
  <c r="E52" i="25"/>
  <c r="E149" i="25"/>
  <c r="E144" i="25"/>
  <c r="E61" i="25"/>
  <c r="E153" i="25"/>
  <c r="E33" i="25"/>
  <c r="E93" i="25"/>
  <c r="E22" i="25"/>
  <c r="E122" i="25"/>
  <c r="E73" i="25"/>
  <c r="E85" i="25"/>
  <c r="E119" i="25"/>
  <c r="E114" i="25"/>
  <c r="E38" i="25"/>
  <c r="E92" i="25"/>
  <c r="E95" i="25"/>
  <c r="E115" i="25"/>
  <c r="E113" i="25"/>
  <c r="E60" i="25"/>
  <c r="E121" i="25"/>
  <c r="E34" i="25"/>
  <c r="E125" i="25"/>
  <c r="E98" i="25"/>
  <c r="E127" i="25"/>
  <c r="E50" i="25"/>
  <c r="E75" i="25"/>
  <c r="E120" i="25"/>
  <c r="E129" i="25"/>
  <c r="E74" i="25"/>
  <c r="E155" i="25"/>
  <c r="E88" i="25"/>
  <c r="E25" i="25"/>
  <c r="E76" i="25"/>
  <c r="E51" i="25"/>
  <c r="E5" i="25"/>
  <c r="E96" i="25"/>
  <c r="E133" i="25"/>
  <c r="E70" i="25"/>
  <c r="E78" i="25"/>
  <c r="E39" i="25"/>
  <c r="E147" i="25"/>
  <c r="E131" i="25"/>
  <c r="E26" i="25"/>
  <c r="E137" i="25"/>
  <c r="E62" i="25"/>
  <c r="E31" i="25"/>
  <c r="E123" i="25"/>
  <c r="E126" i="25"/>
  <c r="E71" i="25"/>
  <c r="E104" i="25"/>
  <c r="E99" i="25"/>
  <c r="E40" i="25"/>
  <c r="E81" i="25"/>
  <c r="E45" i="25"/>
  <c r="E49" i="25"/>
  <c r="E124" i="25"/>
  <c r="E141" i="25"/>
  <c r="E23" i="25" l="1"/>
  <c r="E157" i="25"/>
  <c r="E135" i="25"/>
  <c r="E116" i="25"/>
  <c r="E145" i="25"/>
  <c r="E110" i="25"/>
  <c r="E134" i="25"/>
  <c r="E64" i="25"/>
  <c r="E63" i="25"/>
  <c r="E154" i="25"/>
  <c r="E27" i="25"/>
  <c r="E111" i="25"/>
  <c r="E46" i="25"/>
  <c r="E148" i="25"/>
  <c r="E4" i="25"/>
  <c r="E30" i="25"/>
  <c r="E156" i="25"/>
  <c r="E109" i="25"/>
  <c r="E106" i="25"/>
  <c r="E105" i="25"/>
  <c r="E80" i="25"/>
  <c r="E136" i="25"/>
  <c r="E143" i="25"/>
  <c r="E44" i="25"/>
  <c r="E100" i="25"/>
  <c r="E79" i="25"/>
  <c r="E138" i="25"/>
  <c r="E53" i="25"/>
  <c r="E54" i="25"/>
  <c r="E56" i="25"/>
  <c r="E94" i="25"/>
  <c r="E32" i="25"/>
  <c r="E86" i="25"/>
  <c r="E57" i="25"/>
  <c r="E29" i="25"/>
  <c r="E58" i="25"/>
  <c r="E83" i="25"/>
  <c r="E90" i="25"/>
  <c r="E132" i="25"/>
  <c r="E67" i="25"/>
  <c r="E91" i="25"/>
  <c r="E118" i="25"/>
  <c r="F70" i="2"/>
  <c r="F71" i="2" s="1"/>
  <c r="F72" i="2" s="1"/>
  <c r="F73" i="2" s="1"/>
  <c r="F74" i="2" s="1"/>
  <c r="F75" i="2" s="1"/>
  <c r="F76" i="2" s="1"/>
  <c r="F77" i="2" s="1"/>
  <c r="F78" i="2" s="1"/>
  <c r="F118" i="2"/>
  <c r="F120" i="2"/>
  <c r="F121" i="2" s="1"/>
  <c r="F122" i="2" s="1"/>
  <c r="F123" i="2" s="1"/>
  <c r="F124" i="2" s="1"/>
  <c r="F125" i="2" s="1"/>
  <c r="F126" i="2" s="1"/>
  <c r="F127" i="2" s="1"/>
  <c r="F128" i="2" s="1"/>
  <c r="F147" i="2"/>
  <c r="F102" i="2"/>
  <c r="F103" i="2" s="1"/>
  <c r="F104" i="2" s="1"/>
  <c r="F26" i="2"/>
  <c r="F92" i="2"/>
  <c r="F93" i="2" s="1"/>
  <c r="F94" i="2" s="1"/>
  <c r="F95" i="2" s="1"/>
  <c r="F96" i="2" s="1"/>
  <c r="F97" i="2" s="1"/>
  <c r="F98" i="2" s="1"/>
  <c r="F99" i="2" s="1"/>
  <c r="F112" i="2"/>
  <c r="F113" i="2" s="1"/>
  <c r="F114" i="2" s="1"/>
  <c r="F115" i="2" s="1"/>
  <c r="F81" i="2"/>
  <c r="F82" i="2" s="1"/>
  <c r="F83" i="2" s="1"/>
  <c r="F84" i="2" s="1"/>
  <c r="F85" i="2" s="1"/>
  <c r="F86" i="2" s="1"/>
  <c r="F87" i="2" s="1"/>
  <c r="F88" i="2" s="1"/>
  <c r="F89" i="2" s="1"/>
  <c r="F31" i="2"/>
  <c r="F32" i="2" s="1"/>
  <c r="F33" i="2" s="1"/>
  <c r="F34" i="2" s="1"/>
  <c r="F35" i="2" s="1"/>
  <c r="F36" i="2" s="1"/>
  <c r="F37" i="2" s="1"/>
  <c r="F38" i="2" s="1"/>
  <c r="F39" i="2" s="1"/>
  <c r="F40" i="2" s="1"/>
  <c r="F41" i="2" s="1"/>
  <c r="F42" i="2" s="1"/>
  <c r="F43" i="2" s="1"/>
  <c r="F48" i="2"/>
  <c r="F49" i="2" s="1"/>
  <c r="F50" i="2" s="1"/>
  <c r="F51" i="2" s="1"/>
  <c r="F52" i="2" s="1"/>
  <c r="F7" i="2"/>
  <c r="F8" i="2" s="1"/>
  <c r="F9" i="2" s="1"/>
  <c r="F10" i="2" s="1"/>
  <c r="F11" i="2" s="1"/>
  <c r="F12" i="2" s="1"/>
  <c r="F13" i="2" s="1"/>
  <c r="F14" i="2" s="1"/>
  <c r="F15" i="2" s="1"/>
  <c r="F16" i="2" s="1"/>
  <c r="F17" i="2" s="1"/>
  <c r="F18" i="2" s="1"/>
  <c r="F19" i="2" s="1"/>
  <c r="F20" i="2" s="1"/>
  <c r="EI151" i="2"/>
  <c r="FQ5" i="23"/>
  <c r="EJ5" i="23"/>
  <c r="EW5" i="23"/>
  <c r="CP5" i="23"/>
  <c r="FQ5" i="23" a="1"/>
  <c r="DN5" i="23"/>
  <c r="EK5" i="23"/>
  <c r="EX5"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Aya Sophia</author>
    <author>Sri Mulya Hasanah (THI)</author>
    <author>Rachmi Septiana (THI)</author>
    <author>tc={17D957F0-B5FC-4F86-9B9E-39E5C0918F1A}</author>
    <author>tc={D0AFBD99-3C65-4961-99CE-D0666A3B3B14}</author>
    <author>tc={922560DE-A031-4C19-A56B-829D3AF39AA7}</author>
    <author>tc={7A8014CA-9F38-40A2-B25B-E9EF54207B15}</author>
    <author>tc={FC362B2C-14FF-4793-8C1E-87B27342DACB}</author>
    <author>tc={BA9E4CDB-9E24-4A9D-BD12-3132ECF42594}</author>
    <author>tc={91563592-9BD9-45A1-8744-327C60F95C86}</author>
    <author>tc={FB5F6C75-4BA9-4F9A-9837-CA65BB7CC70C}</author>
    <author>tc={6A4D8EE6-45D7-43CA-AB9A-AF0239376A29}</author>
    <author>Rizky Arga Tristian (P)</author>
    <author>tc={E050B191-332C-40DA-A1DF-9206A321B9C5}</author>
    <author>tc={F54A2813-3C60-4C5A-9419-98873773F54E}</author>
    <author>tc={7476D321-D6FE-461D-AA97-73B060A76E85}</author>
    <author>tc={DB3F0381-E567-436D-BF55-5F0BEFA55E59}</author>
    <author>tc={C8DE8D41-2F8C-431C-A44A-7394ECFF803D}</author>
    <author>tc={AFA8D65F-0B47-496B-BC42-9C1DEC65AB2B}</author>
    <author>tc={30F68F59-19E9-4BAE-8B40-CCFDED397F89}</author>
    <author>tc={0B2CF58E-CF46-4C4C-9241-8C7C3C5E1996}</author>
    <author>tc={E676C3C0-A403-48A8-A187-A8CF458ED944}</author>
    <author>tc={C97D0E83-0FD3-48F6-9791-90F70187B2B3}</author>
    <author>Mochammad Misbahus Surur (PKWT)</author>
    <author>tc={5BA8AF6D-940F-406F-A177-DCD41223602F}</author>
    <author>Muhamad Fahmi Ridwan (P)</author>
    <author>tc={C7A56E98-C3E2-4603-9BBA-0420F1323770}</author>
    <author>tc={A30D83E4-6908-4CB6-ACB8-A98995BA75A7}</author>
    <author>tc={9F8DD356-1C9B-4C3E-B14B-B12EC2D30007}</author>
    <author>tc={DF05D5BA-6EDF-46AC-AA05-4B24DD7BB779}</author>
    <author>Rangga Dhaniarto (P)</author>
    <author>tc={7C5996BE-F7FF-4591-B3F0-E9B463DC6B4D}</author>
    <author>Among Rogo Wicaksono</author>
    <author>tc={C9BFDC30-4AE8-4EDC-BBBA-40398388B8F0}</author>
    <author>tc={51BF975C-A16C-46E8-98A5-92898FBE618D}</author>
    <author>tc={987B27E7-5146-40FF-A4DB-514196D4F8D8}</author>
    <author>tc={EE72EA4A-8665-4946-907C-14D427ADD79D}</author>
    <author>tc={DCE59D13-C574-431C-A115-3FFE01DD88E3}</author>
    <author>tc={3ED8D9C5-9B62-4BCE-9291-394322BD0F74}</author>
    <author>tc={38F882EB-88A8-4110-8A7C-79E73E9A2811}</author>
    <author>tc={AC770858-48A5-4EA9-817A-11BF838349D9}</author>
    <author>tc={549C95DF-C47C-4D65-8E4C-3B2B5A39281C}</author>
    <author>tc={77DC21A7-DEE1-465E-AEE6-AD3149865278}</author>
    <author>tc={D5E9116A-A39D-4B3A-85E0-0A73A0EF7CC3}</author>
    <author>tc={EDC176EC-2E81-4DCC-ABAB-3151F6E33D0C}</author>
    <author>tc={1A00EFF8-E159-4D51-8271-5A1C8129C1F4}</author>
    <author>tc={263502BF-F2B5-40C2-A249-E485CA74686A}</author>
    <author>tc={5A7AF953-2264-4D43-BDD5-2A455B12AB51}</author>
  </authors>
  <commentList>
    <comment ref="EG2" authorId="0" shapeId="0" xr:uid="{79C9C21B-874E-46B0-8A4E-B34CEAABC650}">
      <text>
        <r>
          <rPr>
            <sz val="11"/>
            <color theme="1"/>
            <rFont val="Aptos Narrow"/>
            <family val="2"/>
            <scheme val="minor"/>
          </rPr>
          <t xml:space="preserve">Aya Sophia:
21/01 : %progres deploy/siap implementasi, sedangkan kolom Target Implementasi adalah tanggal implementasi oleh Satker User. Secara umum tanggal selesai deploy = target implementasi. Namun ada case2 tertentu selesai deploy namun masih belum implementasi oleh satker user. 
</t>
        </r>
      </text>
    </comment>
    <comment ref="I6" authorId="1" shapeId="0" xr:uid="{20DCD361-A2D5-4E75-B56D-B0135F8DED0F}">
      <text>
        <r>
          <rPr>
            <b/>
            <sz val="9"/>
            <color indexed="81"/>
            <rFont val="Tahoma"/>
            <family val="2"/>
          </rPr>
          <t>Sri Mulya Hasanah (THI):</t>
        </r>
        <r>
          <rPr>
            <sz val="9"/>
            <color indexed="81"/>
            <rFont val="Tahoma"/>
            <family val="2"/>
          </rPr>
          <t xml:space="preserve">
Berubah kode proyek menjadi P-4</t>
        </r>
      </text>
    </comment>
    <comment ref="EH6" authorId="0" shapeId="0" xr:uid="{1F2CD836-DDB7-4AA2-A6D6-77ACD036436C}">
      <text>
        <r>
          <rPr>
            <b/>
            <sz val="9"/>
            <color indexed="81"/>
            <rFont val="Tahoma"/>
            <family val="2"/>
          </rPr>
          <t>Aya Sophia:</t>
        </r>
        <r>
          <rPr>
            <sz val="9"/>
            <color indexed="81"/>
            <rFont val="Tahoma"/>
            <family val="2"/>
          </rPr>
          <t xml:space="preserve">
1/2 sedang sirkulasi sign RBT</t>
        </r>
      </text>
    </comment>
    <comment ref="I7" authorId="1" shapeId="0" xr:uid="{10772DD5-B597-45F5-877D-CD982320BC58}">
      <text>
        <r>
          <rPr>
            <b/>
            <sz val="9"/>
            <color indexed="81"/>
            <rFont val="Tahoma"/>
            <family val="2"/>
          </rPr>
          <t>Sri Mulya Hasanah (THI):</t>
        </r>
        <r>
          <rPr>
            <sz val="9"/>
            <color indexed="81"/>
            <rFont val="Tahoma"/>
            <family val="2"/>
          </rPr>
          <t xml:space="preserve">
Berubah kode proyek menjadi P-4</t>
        </r>
      </text>
    </comment>
    <comment ref="I8" authorId="1" shapeId="0" xr:uid="{C058923C-7CA1-470F-8873-5563453E5AE7}">
      <text>
        <r>
          <rPr>
            <b/>
            <sz val="9"/>
            <color indexed="81"/>
            <rFont val="Tahoma"/>
            <family val="2"/>
          </rPr>
          <t>Sri Mulya Hasanah (THI):</t>
        </r>
        <r>
          <rPr>
            <sz val="9"/>
            <color indexed="81"/>
            <rFont val="Tahoma"/>
            <family val="2"/>
          </rPr>
          <t xml:space="preserve">
Berubah kode proyek menjadi P-4</t>
        </r>
      </text>
    </comment>
    <comment ref="I9" authorId="1" shapeId="0" xr:uid="{C2997460-FAEA-41CF-B03A-BDFDA3E05E2E}">
      <text>
        <r>
          <rPr>
            <b/>
            <sz val="9"/>
            <color indexed="81"/>
            <rFont val="Tahoma"/>
            <family val="2"/>
          </rPr>
          <t>Sri Mulya Hasanah (THI):</t>
        </r>
        <r>
          <rPr>
            <sz val="9"/>
            <color indexed="81"/>
            <rFont val="Tahoma"/>
            <family val="2"/>
          </rPr>
          <t xml:space="preserve">
Berubah kode proyek menjadi P-4</t>
        </r>
      </text>
    </comment>
    <comment ref="I10" authorId="1" shapeId="0" xr:uid="{76A3E201-E7A2-4A34-83F0-6AE768A20D23}">
      <text>
        <r>
          <rPr>
            <b/>
            <sz val="9"/>
            <color indexed="81"/>
            <rFont val="Tahoma"/>
            <family val="2"/>
          </rPr>
          <t>Sri Mulya Hasanah (THI):</t>
        </r>
        <r>
          <rPr>
            <sz val="9"/>
            <color indexed="81"/>
            <rFont val="Tahoma"/>
            <family val="2"/>
          </rPr>
          <t xml:space="preserve">
Berubah kode proyek menjadi P-4</t>
        </r>
      </text>
    </comment>
    <comment ref="I11" authorId="1" shapeId="0" xr:uid="{226E0BAB-6667-4847-8942-9D7DDB347B0E}">
      <text>
        <r>
          <rPr>
            <b/>
            <sz val="9"/>
            <color indexed="81"/>
            <rFont val="Tahoma"/>
            <family val="2"/>
          </rPr>
          <t>Sri Mulya Hasanah (THI):</t>
        </r>
        <r>
          <rPr>
            <sz val="9"/>
            <color indexed="81"/>
            <rFont val="Tahoma"/>
            <family val="2"/>
          </rPr>
          <t xml:space="preserve">
Berubah kode proyek menjadi P-4</t>
        </r>
      </text>
    </comment>
    <comment ref="I12" authorId="1" shapeId="0" xr:uid="{F7FE673F-0ACF-4F27-B625-307A64554FAE}">
      <text>
        <r>
          <rPr>
            <b/>
            <sz val="9"/>
            <color indexed="81"/>
            <rFont val="Tahoma"/>
            <family val="2"/>
          </rPr>
          <t>Sri Mulya Hasanah (THI):</t>
        </r>
        <r>
          <rPr>
            <sz val="9"/>
            <color indexed="81"/>
            <rFont val="Tahoma"/>
            <family val="2"/>
          </rPr>
          <t xml:space="preserve">
Berubah kode proyek menjadi P-4</t>
        </r>
      </text>
    </comment>
    <comment ref="I13" authorId="1" shapeId="0" xr:uid="{41F9D66F-2BFB-422C-8A6C-92F8456BC6D7}">
      <text>
        <r>
          <rPr>
            <b/>
            <sz val="9"/>
            <color indexed="81"/>
            <rFont val="Tahoma"/>
            <family val="2"/>
          </rPr>
          <t>Sri Mulya Hasanah (THI):</t>
        </r>
        <r>
          <rPr>
            <sz val="9"/>
            <color indexed="81"/>
            <rFont val="Tahoma"/>
            <family val="2"/>
          </rPr>
          <t xml:space="preserve">
Berubah kode proyek menjadi P-4</t>
        </r>
      </text>
    </comment>
    <comment ref="I15" authorId="1" shapeId="0" xr:uid="{E3908C11-43AB-4AB0-828A-91A55EC4FFD5}">
      <text>
        <r>
          <rPr>
            <b/>
            <sz val="9"/>
            <color indexed="81"/>
            <rFont val="Tahoma"/>
            <family val="2"/>
          </rPr>
          <t>Sri Mulya Hasanah (THI):</t>
        </r>
        <r>
          <rPr>
            <sz val="9"/>
            <color indexed="81"/>
            <rFont val="Tahoma"/>
            <family val="2"/>
          </rPr>
          <t xml:space="preserve">
Berubah kode proyek menjadi P-4</t>
        </r>
      </text>
    </comment>
    <comment ref="I16" authorId="1" shapeId="0" xr:uid="{5984CFB9-DA7E-44BE-B159-97DEC0C72E2F}">
      <text>
        <r>
          <rPr>
            <b/>
            <sz val="9"/>
            <color indexed="81"/>
            <rFont val="Tahoma"/>
            <family val="2"/>
          </rPr>
          <t>Sri Mulya Hasanah (THI):</t>
        </r>
        <r>
          <rPr>
            <sz val="9"/>
            <color indexed="81"/>
            <rFont val="Tahoma"/>
            <family val="2"/>
          </rPr>
          <t xml:space="preserve">
Berubah kode proyek menjadi P-4</t>
        </r>
      </text>
    </comment>
    <comment ref="I17" authorId="1" shapeId="0" xr:uid="{8D62F290-A44B-4AB4-B9CA-0F040345C779}">
      <text>
        <r>
          <rPr>
            <b/>
            <sz val="9"/>
            <color indexed="81"/>
            <rFont val="Tahoma"/>
            <family val="2"/>
          </rPr>
          <t>Sri Mulya Hasanah (THI):</t>
        </r>
        <r>
          <rPr>
            <sz val="9"/>
            <color indexed="81"/>
            <rFont val="Tahoma"/>
            <family val="2"/>
          </rPr>
          <t xml:space="preserve">
Berubah kode proyek menjadi P-4</t>
        </r>
      </text>
    </comment>
    <comment ref="I19" authorId="1" shapeId="0" xr:uid="{3E9E5ED9-281C-4306-8D59-E8B756EAE52D}">
      <text>
        <r>
          <rPr>
            <b/>
            <sz val="9"/>
            <color indexed="81"/>
            <rFont val="Tahoma"/>
            <family val="2"/>
          </rPr>
          <t>Sri Mulya Hasanah (THI):</t>
        </r>
        <r>
          <rPr>
            <sz val="9"/>
            <color indexed="81"/>
            <rFont val="Tahoma"/>
            <family val="2"/>
          </rPr>
          <t xml:space="preserve">
Berubah kode proyek menjadi P-4</t>
        </r>
      </text>
    </comment>
    <comment ref="I20" authorId="1" shapeId="0" xr:uid="{0D153E24-9BC1-4C27-BE1C-D636E4C13585}">
      <text>
        <r>
          <rPr>
            <b/>
            <sz val="9"/>
            <color indexed="81"/>
            <rFont val="Tahoma"/>
            <family val="2"/>
          </rPr>
          <t>Sri Mulya Hasanah (THI):</t>
        </r>
        <r>
          <rPr>
            <sz val="9"/>
            <color indexed="81"/>
            <rFont val="Tahoma"/>
            <family val="2"/>
          </rPr>
          <t xml:space="preserve">
Berubah kode proyek menjadi P-4</t>
        </r>
      </text>
    </comment>
    <comment ref="I21" authorId="1" shapeId="0" xr:uid="{9034C548-5D19-455A-975C-3F2404987A37}">
      <text>
        <r>
          <rPr>
            <b/>
            <sz val="9"/>
            <color indexed="81"/>
            <rFont val="Tahoma"/>
            <family val="2"/>
          </rPr>
          <t>Sri Mulya Hasanah (THI):</t>
        </r>
        <r>
          <rPr>
            <sz val="9"/>
            <color indexed="81"/>
            <rFont val="Tahoma"/>
            <family val="2"/>
          </rPr>
          <t xml:space="preserve">
di pdf penyesuaian RIVIBI P-5 untuk dDLS adalah enh. Aplikasi legacy ANTASENA</t>
        </r>
      </text>
    </comment>
    <comment ref="AB30" authorId="2" shapeId="0" xr:uid="{3407B50C-1DE8-4FDA-8FC2-4E22A25AE40F}">
      <text>
        <r>
          <rPr>
            <b/>
            <sz val="9"/>
            <color indexed="81"/>
            <rFont val="Tahoma"/>
            <family val="2"/>
          </rPr>
          <t>Rachmi Septiana (THI):</t>
        </r>
        <r>
          <rPr>
            <sz val="9"/>
            <color indexed="81"/>
            <rFont val="Tahoma"/>
            <family val="2"/>
          </rPr>
          <t xml:space="preserve">
di PDF penyesuaian RIVIBI RBT dan RPP tahun 2024</t>
        </r>
      </text>
    </comment>
    <comment ref="DA30" authorId="0" shapeId="0" xr:uid="{407979CC-E052-44C7-B862-EF4EFFB05F48}">
      <text>
        <r>
          <rPr>
            <b/>
            <sz val="9"/>
            <color indexed="81"/>
            <rFont val="Tahoma"/>
            <family val="2"/>
          </rPr>
          <t>Aya Sophia:</t>
        </r>
        <r>
          <rPr>
            <sz val="9"/>
            <color indexed="81"/>
            <rFont val="Tahoma"/>
            <family val="2"/>
          </rPr>
          <t xml:space="preserve">
1/2 BS milestone, OS implementasi</t>
        </r>
      </text>
    </comment>
    <comment ref="DB30" authorId="0" shapeId="0" xr:uid="{599FB203-3A64-4A06-9A3E-389B24AFAC21}">
      <text>
        <r>
          <rPr>
            <b/>
            <sz val="9"/>
            <color indexed="81"/>
            <rFont val="Tahoma"/>
            <family val="2"/>
          </rPr>
          <t>Aya Sophia:</t>
        </r>
        <r>
          <rPr>
            <sz val="9"/>
            <color indexed="81"/>
            <rFont val="Tahoma"/>
            <family val="2"/>
          </rPr>
          <t xml:space="preserve">
1/2 BS milestone, OS implementasi</t>
        </r>
      </text>
    </comment>
    <comment ref="EB30" authorId="3" shapeId="0" xr:uid="{17D957F0-B5FC-4F86-9B9E-39E5C0918F1A}">
      <text>
        <t>[Threaded comment]
Your version of Excel allows you to read this threaded comment; however, any edits to it will get removed if the file is opened in a newer version of Excel. Learn more: https://go.microsoft.com/fwlink/?linkid=870924
Comment:
    Inhouse</t>
      </text>
    </comment>
    <comment ref="EG30" authorId="4" shapeId="0" xr:uid="{D0AFBD99-3C65-4961-99CE-D0666A3B3B14}">
      <text>
        <t>[Threaded comment]
Your version of Excel allows you to read this threaded comment; however, any edits to it will get removed if the file is opened in a newer version of Excel. Learn more: https://go.microsoft.com/fwlink/?linkid=870924
Comment:
    To do : finalisasi dokumen BAI</t>
      </text>
    </comment>
    <comment ref="EA31" authorId="5" shapeId="0" xr:uid="{922560DE-A031-4C19-A56B-829D3AF39AA7}">
      <text>
        <t>[Threaded comment]
Your version of Excel allows you to read this threaded comment; however, any edits to it will get removed if the file is opened in a newer version of Excel. Learn more: https://go.microsoft.com/fwlink/?linkid=870924
Comment:
    WO</t>
      </text>
    </comment>
    <comment ref="EH31" authorId="6" shapeId="0" xr:uid="{7A8014CA-9F38-40A2-B25B-E9EF54207B15}">
      <text>
        <t>[Threaded comment]
Your version of Excel allows you to read this threaded comment; however, any edits to it will get removed if the file is opened in a newer version of Excel. Learn more: https://go.microsoft.com/fwlink/?linkid=870924
Comment:
    1. Menggunakan BRD Eksisting dari proyek reissuance SRBI.
Melalui RDG diminta implementasi searchable collateral maju dari target RIVIBI pada TW IV 2025 menjadi siap implementasi pada Sep 2025 (berbarengan dgn BI-FRN).  
2. KPPA telah berdiskusi terkait percepatan ini kepada vendor pengembang (PCI dan CMA) dan akan berdampak kepada perubahan source code Aplikasi PP BI-ETP.​
Reply:
    2. Free Text di bid Entry form tidak dilanjutkan (drop) dan digantikan dengan penyiapan sistem untuk mendukung penguatan transaksi NDF a.l pengembangan sistem FX Go untuk transaksi NDF BI di DPMA dan KPw LN
Reply:
    1. SRS Reopening SRBI - Tahap 2 (Searchable collateral )Full Sign
2. Project Charter DONE
3. Dalam Tahapan Pengembangan, Terdapat pembahasan design mockup UI antara BI dan Principle (CMA)
Reply:
    1. terkait timeline pengembangan akan mundur sampai dengan M2 Agustus 2025.
2. Target UT selesai M2 Agustus, saat ini telah selesai, proses persiapan SIT
3. SIT pada 14-22 Agustus
4. 65 dari 75 Skenario PASS. 10 Skenario Blocked Terkait pengembangan Repo SVBI SUVBI VALAS
5. Sesuai rapat koordinasi antar satker bisnis, diputuskan bahwa Industrial test akan tetap dilaksanakan pada M2 September 2025.
6. Kick Off UAT 25 Agustus 2025
7. UAT &amp; Industrial Test Telah selesai dilaksanakan
8. Temuan Security telah selesai di Remediasi
Reply:
    251020:
1. Update informasi tanggal deployment pada charter
2. Perhatikan kondisi BI-ETP pada saat implementasi</t>
      </text>
    </comment>
    <comment ref="DC32" authorId="0" shapeId="0" xr:uid="{BBCE777D-36CB-40F6-9A6E-AE834C300DFA}">
      <text>
        <r>
          <rPr>
            <b/>
            <sz val="9"/>
            <color indexed="81"/>
            <rFont val="Tahoma"/>
            <family val="2"/>
          </rPr>
          <t>Aya Sophia:</t>
        </r>
        <r>
          <rPr>
            <sz val="9"/>
            <color indexed="81"/>
            <rFont val="Tahoma"/>
            <family val="2"/>
          </rPr>
          <t xml:space="preserve">
1/2 BS milestone, OS implementasi</t>
        </r>
      </text>
    </comment>
    <comment ref="DD32" authorId="0" shapeId="0" xr:uid="{7A0BBB7B-0AE8-44C7-9568-4A141EB3F23E}">
      <text>
        <r>
          <rPr>
            <b/>
            <sz val="9"/>
            <color indexed="81"/>
            <rFont val="Tahoma"/>
            <family val="2"/>
          </rPr>
          <t>Aya Sophia:</t>
        </r>
        <r>
          <rPr>
            <sz val="9"/>
            <color indexed="81"/>
            <rFont val="Tahoma"/>
            <family val="2"/>
          </rPr>
          <t xml:space="preserve">
1/2 BS milestone, OS implementasi</t>
        </r>
      </text>
    </comment>
    <comment ref="DE32" authorId="0" shapeId="0" xr:uid="{EF859B2C-0F54-4BD0-9B4F-FD3378046E1D}">
      <text>
        <r>
          <rPr>
            <b/>
            <sz val="9"/>
            <color indexed="81"/>
            <rFont val="Tahoma"/>
            <family val="2"/>
          </rPr>
          <t>Aya Sophia:</t>
        </r>
        <r>
          <rPr>
            <sz val="9"/>
            <color indexed="81"/>
            <rFont val="Tahoma"/>
            <family val="2"/>
          </rPr>
          <t xml:space="preserve">
1/2 BS milestone, OS implementasi</t>
        </r>
      </text>
    </comment>
    <comment ref="DF32" authorId="0" shapeId="0" xr:uid="{80AE116A-5B4A-400A-A44D-28A6F8CBEF13}">
      <text>
        <r>
          <rPr>
            <b/>
            <sz val="9"/>
            <color indexed="81"/>
            <rFont val="Tahoma"/>
            <family val="2"/>
          </rPr>
          <t>Aya Sophia:</t>
        </r>
        <r>
          <rPr>
            <sz val="9"/>
            <color indexed="81"/>
            <rFont val="Tahoma"/>
            <family val="2"/>
          </rPr>
          <t xml:space="preserve">
1/2 BS milestone, OS implementasi</t>
        </r>
      </text>
    </comment>
    <comment ref="EA32" authorId="7" shapeId="0" xr:uid="{FC362B2C-14FF-4793-8C1E-87B27342DACB}">
      <text>
        <t>[Threaded comment]
Your version of Excel allows you to read this threaded comment; however, any edits to it will get removed if the file is opened in a newer version of Excel. Learn more: https://go.microsoft.com/fwlink/?linkid=870924
Comment:
    WO</t>
      </text>
    </comment>
    <comment ref="EB32" authorId="8" shapeId="0" xr:uid="{BA9E4CDB-9E24-4A9D-BD12-3132ECF42594}">
      <text>
        <t>[Threaded comment]
Your version of Excel allows you to read this threaded comment; however, any edits to it will get removed if the file is opened in a newer version of Excel. Learn more: https://go.microsoft.com/fwlink/?linkid=870924
Comment:
    WO</t>
      </text>
    </comment>
    <comment ref="EH32" authorId="9" shapeId="0" xr:uid="{91563592-9BD9-45A1-8744-327C60F95C86}">
      <text>
        <t xml:space="preserve">[Threaded comment]
Your version of Excel allows you to read this threaded comment; however, any edits to it will get removed if the file is opened in a newer version of Excel. Learn more: https://go.microsoft.com/fwlink/?linkid=870924
Comment:
    Deliverable FMB
dokumen
FMB modul exsisting
FMB modul custom
Reply:
    On Progress:
1. Dokumen design
- Tersisa SIMP
2. Update Surrounding  
- SSK: 
GMMP, SSS (fungsi merupakan UI Eksisting bersifat parameterize, sesuai arahan Stream SSK akan mengirimkan email kepada user bahwa Terkait pengembangan di area SSK tidak akan diuji pada UT dan SIT untuk menjadi landasan proses SIT di PKLD)
SIMP (Proses Pengajuan WO) terdapat pengembangan. akan dilakukan tailoring kembali
- MON : SEKI Selesai SIT
LBUT : DIDD telah merespon Memo Dsta dengan menyesuaikan sandi referensi jenis instrumen pada Igov. metadata akan lakukan pengujian oleh Dsta.
3. SIT dilakukan tailoring agar skenario pada sisi Market dan Middleware bisa dilaksanakan
4. Skenario SIT telah di eksekusi sejumlah 101/124 Skenario (82%), 1 Skenario Fail ( 1 cosmetic), 13 Blocked untuk skenario dari BI-SSS dan GMMP, sesuai diskusi tidak akan diuji pada fase UT dan SIT. 8 skenario tersisa di area SIMP dan LBUT. total SIT sudah 92%
5. Kick-Off UAT telah dilakukan pada 1 Agustus, mulai di tanggal 4 Agustus, total terdapat 69 Skenario UAT
Reply:
    251020:
1. Tambahkan informasi terkait LBUT dan SEKI
2. Tambahkan informasi terkait due date deployment di 24 Oktober 2025, pada charter seharusnya Sept 2025.
Reply:
    1. Seluruh kegiatan deployment modul utama yaitu FMB (26 September 2025), BI-SSSS, ETP, SOA, dan SIMP (10 Oktober 2025), serta LBUT (16 Oktober 2025) serta HARTIS &amp; SIBISSSS (24 Oktober) telah berhasil diselesaikan sesuai jadwal baseline.
2. Pelaksanaan UAT telah mencapai 100% (22 Oktober 2025)
3. Remediasi temuan keamanan server untuk FMB dan FMI telah selesai, sementara SOA masih dalam tahap penyelesaian dan tidak berdampak terhadap readiness sistem.
4. Komponen BI-SSS dan GMMP bersifat Parameterize,
5. SEKI &amp; LBUT masih menunggu ketentuan kebijakan lebih lanjut untuk proses kegiatan Deploy.
6. Kegiatan  deployment HARTIS, SI BI-SSSS, serta patching peserta PP BI-ETP untuk 140 bank peserta, yang seluruhnya telah dilakukan pada 24 Oktober 2025.
7. Dokumen Laporan SIT telah full sign, disampaikan beserta Memo dari PKLD
8. Laporan UAT Versi 2 cakupan SIBISSSS dan HARTIS Full sign
9. 3 BA Deployment Full sign 
- FMB
- S4, ETP, SOA, SIMP
- HARTIS, SIBISSSS
10. Adendum WO
Summary: 
Secara keseluruhan proyek berada dalam kondisi on track dengan risiko rendah dan tidak terdapat isu kritikal yang menghambat target penyelesaian TW4.
Next Plan:
Deployment LBUT &amp; SEKI 
Revisi RPP, Menunggu tanggal pada WO terbaru
BAI
</t>
      </text>
    </comment>
    <comment ref="EA34" authorId="10" shapeId="0" xr:uid="{FB5F6C75-4BA9-4F9A-9837-CA65BB7CC70C}">
      <text>
        <t>[Threaded comment]
Your version of Excel allows you to read this threaded comment; however, any edits to it will get removed if the file is opened in a newer version of Excel. Learn more: https://go.microsoft.com/fwlink/?linkid=870924
Comment:
    WO</t>
      </text>
    </comment>
    <comment ref="EH34" authorId="11" shapeId="0" xr:uid="{6A4D8EE6-45D7-43CA-AB9A-AF0239376A29}">
      <text>
        <t>[Threaded comment]
Your version of Excel allows you to read this threaded comment; however, any edits to it will get removed if the file is opened in a newer version of Excel. Learn more: https://go.microsoft.com/fwlink/?linkid=870924
Comment:
    251020:
1. Informasikan tanggal deployment pada charter, indentifikasi apakah perlu penyesuaian charter</t>
      </text>
    </comment>
    <comment ref="EI34" authorId="12" shapeId="0" xr:uid="{13A42C65-2394-4C54-A251-BD68FD681E9A}">
      <text>
        <r>
          <rPr>
            <sz val="11"/>
            <color theme="1"/>
            <rFont val="Aptos Narrow"/>
            <family val="2"/>
            <scheme val="minor"/>
          </rPr>
          <t>Rizky Arga Tristian (P):
Deployment 11 Juli 2025
Aktivasi 17 Oktober 2025</t>
        </r>
      </text>
    </comment>
    <comment ref="EH35" authorId="13" shapeId="0" xr:uid="{E050B191-332C-40DA-A1DF-9206A321B9C5}">
      <text>
        <t xml:space="preserve">[Threaded comment]
Your version of Excel allows you to read this threaded comment; however, any edits to it will get removed if the file is opened in a newer version of Excel. Learn more: https://go.microsoft.com/fwlink/?linkid=870924
Comment:
    Underlying Percepatan Keputusan RDGB Jan 2025, 
implementasi dipercepat menjadi TW IV 2025 dengan aplikasi terdampak yakni BI-ETP, BI-SSSS, HARTIS, SI BI-SSSS, SOA, FOMOBO. Rencana RBT akan mulai disusun pada bulan Juni, dengan target final pada Juli 2025
</t>
      </text>
    </comment>
    <comment ref="EH36" authorId="14" shapeId="0" xr:uid="{F54A2813-3C60-4C5A-9419-98873773F54E}">
      <text>
        <t>[Threaded comment]
Your version of Excel allows you to read this threaded comment; however, any edits to it will get removed if the file is opened in a newer version of Excel. Learn more: https://go.microsoft.com/fwlink/?linkid=870924
Comment:
    Pengembangan akan dimulai pada November 2026 dan implementasi akan dilaksanakan pada April 2027
Setelah pembahasan diskusi antara satker bisnis.
RBT akan dipisah antara tahap 1 dan 2. rencana Submit RBT di TW 1 2026
Implementasi TW2 2027</t>
      </text>
    </comment>
    <comment ref="DC39" authorId="0" shapeId="0" xr:uid="{471927F6-20E3-40B1-B1DC-CA0E80B63627}">
      <text>
        <r>
          <rPr>
            <b/>
            <sz val="9"/>
            <color indexed="81"/>
            <rFont val="Tahoma"/>
            <family val="2"/>
          </rPr>
          <t>Aya Sophia:</t>
        </r>
        <r>
          <rPr>
            <sz val="9"/>
            <color indexed="81"/>
            <rFont val="Tahoma"/>
            <family val="2"/>
          </rPr>
          <t xml:space="preserve">
1/2 BS milestone, OS implementasi</t>
        </r>
      </text>
    </comment>
    <comment ref="DD39" authorId="0" shapeId="0" xr:uid="{D01AB837-4775-4174-9E0D-F3A2FF02061C}">
      <text>
        <r>
          <rPr>
            <b/>
            <sz val="9"/>
            <color indexed="81"/>
            <rFont val="Tahoma"/>
            <family val="2"/>
          </rPr>
          <t>Aya Sophia:</t>
        </r>
        <r>
          <rPr>
            <sz val="9"/>
            <color indexed="81"/>
            <rFont val="Tahoma"/>
            <family val="2"/>
          </rPr>
          <t xml:space="preserve">
1/2 BS milestone, OS implementasi</t>
        </r>
      </text>
    </comment>
    <comment ref="DE39" authorId="0" shapeId="0" xr:uid="{B7706532-8E30-4F08-B44B-2F49EA968EFF}">
      <text>
        <r>
          <rPr>
            <b/>
            <sz val="9"/>
            <color indexed="81"/>
            <rFont val="Tahoma"/>
            <family val="2"/>
          </rPr>
          <t>Aya Sophia:</t>
        </r>
        <r>
          <rPr>
            <sz val="9"/>
            <color indexed="81"/>
            <rFont val="Tahoma"/>
            <family val="2"/>
          </rPr>
          <t xml:space="preserve">
1/2 BS milestone, OS implementasi</t>
        </r>
      </text>
    </comment>
    <comment ref="DF39" authorId="0" shapeId="0" xr:uid="{9B74CB96-531B-460E-9EA3-E127ECDBB17E}">
      <text>
        <r>
          <rPr>
            <b/>
            <sz val="9"/>
            <color indexed="81"/>
            <rFont val="Tahoma"/>
            <family val="2"/>
          </rPr>
          <t>Aya Sophia:</t>
        </r>
        <r>
          <rPr>
            <sz val="9"/>
            <color indexed="81"/>
            <rFont val="Tahoma"/>
            <family val="2"/>
          </rPr>
          <t xml:space="preserve">
1/2 BS milestone, OS implementasi</t>
        </r>
      </text>
    </comment>
    <comment ref="DA46" authorId="0" shapeId="0" xr:uid="{780A67C4-F134-4B09-A6EB-465021467419}">
      <text>
        <r>
          <rPr>
            <b/>
            <sz val="9"/>
            <color indexed="81"/>
            <rFont val="Tahoma"/>
            <family val="2"/>
          </rPr>
          <t>Aya Sophia:</t>
        </r>
        <r>
          <rPr>
            <sz val="9"/>
            <color indexed="81"/>
            <rFont val="Tahoma"/>
            <family val="2"/>
          </rPr>
          <t xml:space="preserve">
1/2 AR implementasi</t>
        </r>
      </text>
    </comment>
    <comment ref="DB46" authorId="0" shapeId="0" xr:uid="{F7E02B20-58D5-48CF-B016-9362A7538588}">
      <text>
        <r>
          <rPr>
            <b/>
            <sz val="9"/>
            <color indexed="81"/>
            <rFont val="Tahoma"/>
            <family val="2"/>
          </rPr>
          <t>Aya Sophia:</t>
        </r>
        <r>
          <rPr>
            <sz val="9"/>
            <color indexed="81"/>
            <rFont val="Tahoma"/>
            <family val="2"/>
          </rPr>
          <t xml:space="preserve">
1/2 AR implementasi</t>
        </r>
      </text>
    </comment>
    <comment ref="AN47" authorId="15" shapeId="0" xr:uid="{7476D321-D6FE-461D-AA97-73B060A76E85}">
      <text>
        <t xml:space="preserve">[Threaded comment]
Your version of Excel allows you to read this threaded comment; however, any edits to it will get removed if the file is opened in a newer version of Excel. Learn more: https://go.microsoft.com/fwlink/?linkid=870924
Comment:
    Belum ada SPPP,belum ada jadwal yang disepakati </t>
      </text>
    </comment>
    <comment ref="EH47" authorId="16" shapeId="0" xr:uid="{DB3F0381-E567-436D-BF55-5F0BEFA55E59}">
      <text>
        <t>[Threaded comment]
Your version of Excel allows you to read this threaded comment; however, any edits to it will get removed if the file is opened in a newer version of Excel. Learn more: https://go.microsoft.com/fwlink/?linkid=870924
Comment:
    25102025:
1. Informasi due date based on project charter
2. Due penyelesaian desain SI.
3. Timeline penyelesaian DS desain SI
Reply:
    Modul tahap 1 KPPK dan TRD</t>
      </text>
    </comment>
    <comment ref="EI47" authorId="0" shapeId="0" xr:uid="{C73B3450-93EF-4D1A-A537-00A12BAED06D}">
      <text>
        <r>
          <rPr>
            <b/>
            <sz val="9"/>
            <color indexed="81"/>
            <rFont val="Tahoma"/>
            <family val="2"/>
          </rPr>
          <t>Aya Sophia:</t>
        </r>
        <r>
          <rPr>
            <sz val="9"/>
            <color indexed="81"/>
            <rFont val="Tahoma"/>
            <family val="2"/>
          </rPr>
          <t xml:space="preserve">
7/10 update mulai Apr'25 selesai diperkirakan Nov 2026
</t>
        </r>
      </text>
    </comment>
    <comment ref="EJ47" authorId="0" shapeId="0" xr:uid="{FF7223A2-1335-4D02-B09D-A77D749066AF}">
      <text>
        <r>
          <rPr>
            <b/>
            <sz val="9"/>
            <color indexed="81"/>
            <rFont val="Tahoma"/>
            <family val="2"/>
          </rPr>
          <t>Aya Sophia:</t>
        </r>
        <r>
          <rPr>
            <sz val="9"/>
            <color indexed="81"/>
            <rFont val="Tahoma"/>
            <family val="2"/>
          </rPr>
          <t xml:space="preserve">
7/10 update mulai Apr'25 selesai diperkirakan Nov 2026
</t>
        </r>
      </text>
    </comment>
    <comment ref="I48" authorId="1" shapeId="0" xr:uid="{72254727-7EE3-4919-AD15-677FE900F651}">
      <text>
        <r>
          <rPr>
            <b/>
            <sz val="9"/>
            <color indexed="81"/>
            <rFont val="Tahoma"/>
            <family val="2"/>
          </rPr>
          <t xml:space="preserve">Sri Mulya Hasanah (THI): nama lengkap di pdf : Modernize LLD Non Bank Terintegtasi : DJBC
</t>
        </r>
      </text>
    </comment>
    <comment ref="DC48" authorId="0" shapeId="0" xr:uid="{F160D96C-4E67-4A12-9A3D-60CBF6ACE5EF}">
      <text>
        <r>
          <rPr>
            <b/>
            <sz val="9"/>
            <color indexed="81"/>
            <rFont val="Tahoma"/>
            <family val="2"/>
          </rPr>
          <t>Aya Sophia:</t>
        </r>
        <r>
          <rPr>
            <sz val="9"/>
            <color indexed="81"/>
            <rFont val="Tahoma"/>
            <family val="2"/>
          </rPr>
          <t xml:space="preserve">
1/2 AR implementasi</t>
        </r>
      </text>
    </comment>
    <comment ref="DD48" authorId="0" shapeId="0" xr:uid="{ABE0E831-A07E-46E1-9A40-F63B84CB2545}">
      <text>
        <r>
          <rPr>
            <b/>
            <sz val="9"/>
            <color indexed="81"/>
            <rFont val="Tahoma"/>
            <family val="2"/>
          </rPr>
          <t>Aya Sophia:</t>
        </r>
        <r>
          <rPr>
            <sz val="9"/>
            <color indexed="81"/>
            <rFont val="Tahoma"/>
            <family val="2"/>
          </rPr>
          <t xml:space="preserve">
1/2 AR implementasi</t>
        </r>
      </text>
    </comment>
    <comment ref="DE48" authorId="0" shapeId="0" xr:uid="{ACFB9B1B-4F4A-4E12-A4B2-957D0E532C16}">
      <text>
        <r>
          <rPr>
            <b/>
            <sz val="9"/>
            <color indexed="81"/>
            <rFont val="Tahoma"/>
            <family val="2"/>
          </rPr>
          <t>Aya Sophia:</t>
        </r>
        <r>
          <rPr>
            <sz val="9"/>
            <color indexed="81"/>
            <rFont val="Tahoma"/>
            <family val="2"/>
          </rPr>
          <t xml:space="preserve">
1/2 AR implementasi</t>
        </r>
      </text>
    </comment>
    <comment ref="DF48" authorId="0" shapeId="0" xr:uid="{484D43E6-D42F-41F6-A8E8-F21685E40547}">
      <text>
        <r>
          <rPr>
            <b/>
            <sz val="9"/>
            <color indexed="81"/>
            <rFont val="Tahoma"/>
            <family val="2"/>
          </rPr>
          <t>Aya Sophia:</t>
        </r>
        <r>
          <rPr>
            <sz val="9"/>
            <color indexed="81"/>
            <rFont val="Tahoma"/>
            <family val="2"/>
          </rPr>
          <t xml:space="preserve">
1/2 AR implementasi</t>
        </r>
      </text>
    </comment>
    <comment ref="AR51" authorId="2" shapeId="0" xr:uid="{1A6AFCDF-5686-43F3-8668-8C4BD0EA1508}">
      <text>
        <r>
          <rPr>
            <b/>
            <sz val="9"/>
            <color indexed="81"/>
            <rFont val="Tahoma"/>
            <family val="2"/>
          </rPr>
          <t>Rachmi Septiana (THI):</t>
        </r>
        <r>
          <rPr>
            <sz val="9"/>
            <color indexed="81"/>
            <rFont val="Tahoma"/>
            <family val="2"/>
          </rPr>
          <t xml:space="preserve">
IMP TW II 2028 pada PDF penyesuaian RIVIBI</t>
        </r>
      </text>
    </comment>
    <comment ref="AR52" authorId="2" shapeId="0" xr:uid="{D18B9DA8-9AC4-4C13-B71A-CBF7D3CC4228}">
      <text>
        <r>
          <rPr>
            <b/>
            <sz val="9"/>
            <color indexed="81"/>
            <rFont val="Tahoma"/>
            <family val="2"/>
          </rPr>
          <t>Rachmi Septiana (THI):</t>
        </r>
        <r>
          <rPr>
            <sz val="9"/>
            <color indexed="81"/>
            <rFont val="Tahoma"/>
            <family val="2"/>
          </rPr>
          <t xml:space="preserve">
IMP TW II 2028 pada PDF penyesuaian RIVIBI</t>
        </r>
      </text>
    </comment>
    <comment ref="EH53" authorId="17" shapeId="0" xr:uid="{C8DE8D41-2F8C-431C-A44A-7394ECFF803D}">
      <text>
        <t>[Threaded comment]
Your version of Excel allows you to read this threaded comment; however, any edits to it will get removed if the file is opened in a newer version of Excel. Learn more: https://go.microsoft.com/fwlink/?linkid=870924
Comment:
    251020:
1. Target DS SRS due 24 Oktober 2025.
2. Pengembangan due M2 Maret 2026.</t>
      </text>
    </comment>
    <comment ref="EH54" authorId="18" shapeId="0" xr:uid="{AFA8D65F-0B47-496B-BC42-9C1DEC65AB2B}">
      <text>
        <t>[Threaded comment]
Your version of Excel allows you to read this threaded comment; however, any edits to it will get removed if the file is opened in a newer version of Excel. Learn more: https://go.microsoft.com/fwlink/?linkid=870924
Comment:
    251020:1
1. Update due DS charter ke 24 Oktober 2025
2. Update due DS SRD ke 24 Oktober 2025</t>
      </text>
    </comment>
    <comment ref="EH57" authorId="19" shapeId="0" xr:uid="{30F68F59-19E9-4BAE-8B40-CCFDED397F89}">
      <text>
        <t>[Threaded comment]
Your version of Excel allows you to read this threaded comment; however, any edits to it will get removed if the file is opened in a newer version of Excel. Learn more: https://go.microsoft.com/fwlink/?linkid=870924
Comment:
    Rencana adendum WO4 di Sem2-2025. WO4-nya sdg dibuat</t>
      </text>
    </comment>
    <comment ref="EH61" authorId="20" shapeId="0" xr:uid="{0B2CF58E-CF46-4C4C-9241-8C7C3C5E1996}">
      <text>
        <t>[Threaded comment]
Your version of Excel allows you to read this threaded comment; however, any edits to it will get removed if the file is opened in a newer version of Excel. Learn more: https://go.microsoft.com/fwlink/?linkid=870924
Comment:
    Rencana adendum WO4 di Sem2-2025. WO4-nya sdg dibuat</t>
      </text>
    </comment>
    <comment ref="EH62" authorId="21" shapeId="0" xr:uid="{E676C3C0-A403-48A8-A187-A8CF458ED944}">
      <text>
        <t>[Threaded comment]
Your version of Excel allows you to read this threaded comment; however, any edits to it will get removed if the file is opened in a newer version of Excel. Learn more: https://go.microsoft.com/fwlink/?linkid=870924
Comment:
    Saat ini SOA dipegang vendor ICT</t>
      </text>
    </comment>
    <comment ref="DA63" authorId="0" shapeId="0" xr:uid="{1465AE84-0F71-455A-A36B-16E7B1974098}">
      <text>
        <r>
          <rPr>
            <b/>
            <sz val="9"/>
            <color indexed="81"/>
            <rFont val="Tahoma"/>
            <family val="2"/>
          </rPr>
          <t>Aya Sophia:</t>
        </r>
        <r>
          <rPr>
            <sz val="9"/>
            <color indexed="81"/>
            <rFont val="Tahoma"/>
            <family val="2"/>
          </rPr>
          <t xml:space="preserve">
1/2 BS RBT (solusi SI, SRS belum, EE draft), BS RPP, OS Implementasi </t>
        </r>
      </text>
    </comment>
    <comment ref="DB63" authorId="0" shapeId="0" xr:uid="{CD23F58A-0E7D-47EE-B1C0-DFB13D8404A8}">
      <text>
        <r>
          <rPr>
            <b/>
            <sz val="9"/>
            <color indexed="81"/>
            <rFont val="Tahoma"/>
            <family val="2"/>
          </rPr>
          <t>Aya Sophia:</t>
        </r>
        <r>
          <rPr>
            <sz val="9"/>
            <color indexed="81"/>
            <rFont val="Tahoma"/>
            <family val="2"/>
          </rPr>
          <t xml:space="preserve">
1/2 BS RBT (solusi SI, SRS belum, EE draft), BS RPP, OS Implementasi </t>
        </r>
      </text>
    </comment>
    <comment ref="AN64" authorId="22" shapeId="0" xr:uid="{C97D0E83-0FD3-48F6-9791-90F70187B2B3}">
      <text>
        <t>[Threaded comment]
Your version of Excel allows you to read this threaded comment; however, any edits to it will get removed if the file is opened in a newer version of Excel. Learn more: https://go.microsoft.com/fwlink/?linkid=870924
Comment:
    Sebelumnya small changes, timeline perlu diupdate dengan rencana (T.1.4) terbaru menjadi 14 - 21 April 2025</t>
      </text>
    </comment>
    <comment ref="DC64" authorId="0" shapeId="0" xr:uid="{C04F8CD2-E3F3-4408-BCE7-ECADBFECB416}">
      <text>
        <r>
          <rPr>
            <b/>
            <sz val="9"/>
            <color indexed="81"/>
            <rFont val="Tahoma"/>
            <family val="2"/>
          </rPr>
          <t>Aya Sophia:</t>
        </r>
        <r>
          <rPr>
            <sz val="9"/>
            <color indexed="81"/>
            <rFont val="Tahoma"/>
            <family val="2"/>
          </rPr>
          <t xml:space="preserve">
1/2 BS RBT (solusi SI, SRS belum, EE draft), BS RPP, OS Implementasi </t>
        </r>
      </text>
    </comment>
    <comment ref="DD64" authorId="0" shapeId="0" xr:uid="{C5F156A9-73D0-44AA-B609-87B4D6568893}">
      <text>
        <r>
          <rPr>
            <b/>
            <sz val="9"/>
            <color indexed="81"/>
            <rFont val="Tahoma"/>
            <family val="2"/>
          </rPr>
          <t>Aya Sophia:</t>
        </r>
        <r>
          <rPr>
            <sz val="9"/>
            <color indexed="81"/>
            <rFont val="Tahoma"/>
            <family val="2"/>
          </rPr>
          <t xml:space="preserve">
1/2 BS RBT (solusi SI, SRS belum, EE draft), BS RPP, OS Implementasi </t>
        </r>
      </text>
    </comment>
    <comment ref="DE64" authorId="0" shapeId="0" xr:uid="{F370EA10-97E9-4D1E-A4F1-A11F7585DA7E}">
      <text>
        <r>
          <rPr>
            <b/>
            <sz val="9"/>
            <color indexed="81"/>
            <rFont val="Tahoma"/>
            <family val="2"/>
          </rPr>
          <t>Aya Sophia:</t>
        </r>
        <r>
          <rPr>
            <sz val="9"/>
            <color indexed="81"/>
            <rFont val="Tahoma"/>
            <family val="2"/>
          </rPr>
          <t xml:space="preserve">
1/2 BS RBT (solusi SI, SRS belum, EE draft), BS RPP, OS Implementasi </t>
        </r>
      </text>
    </comment>
    <comment ref="DF64" authorId="0" shapeId="0" xr:uid="{97646263-B640-42B5-AD1A-2539947C9391}">
      <text>
        <r>
          <rPr>
            <b/>
            <sz val="9"/>
            <color indexed="81"/>
            <rFont val="Tahoma"/>
            <family val="2"/>
          </rPr>
          <t>Aya Sophia:</t>
        </r>
        <r>
          <rPr>
            <sz val="9"/>
            <color indexed="81"/>
            <rFont val="Tahoma"/>
            <family val="2"/>
          </rPr>
          <t xml:space="preserve">
1/2 BS RBT (solusi SI, SRS belum, EE draft), BS RPP, OS Implementasi </t>
        </r>
      </text>
    </comment>
    <comment ref="EJ64" authorId="23" shapeId="0" xr:uid="{EC5A9E7F-A386-488B-AABF-8246DFC70057}">
      <text>
        <r>
          <rPr>
            <b/>
            <sz val="9"/>
            <color indexed="81"/>
            <rFont val="Tahoma"/>
            <family val="2"/>
          </rPr>
          <t>Mochammad Misbahus Surur (PKWT):</t>
        </r>
        <r>
          <rPr>
            <sz val="9"/>
            <color indexed="81"/>
            <rFont val="Tahoma"/>
            <family val="2"/>
          </rPr>
          <t xml:space="preserve">
28102024 : Target Implementasi atas kesepakatan bersama satker bisnis namun BRD masih on progress</t>
        </r>
      </text>
    </comment>
    <comment ref="EH65" authorId="0" shapeId="0" xr:uid="{AE7F9845-FFA8-428D-B8E7-DB4AE7753663}">
      <text>
        <r>
          <rPr>
            <b/>
            <sz val="9"/>
            <color indexed="81"/>
            <rFont val="Tahoma"/>
            <family val="2"/>
          </rPr>
          <t>Aya Sophia:</t>
        </r>
        <r>
          <rPr>
            <sz val="9"/>
            <color indexed="81"/>
            <rFont val="Tahoma"/>
            <family val="2"/>
          </rPr>
          <t xml:space="preserve">
akhir kontrak 16 Februari'25
pantau RBT full sign &amp; lanjut RBTD</t>
        </r>
      </text>
    </comment>
    <comment ref="AM68" authorId="24" shapeId="0" xr:uid="{5BA8AF6D-940F-406F-A177-DCD41223602F}">
      <text>
        <t>[Threaded comment]
Your version of Excel allows you to read this threaded comment; however, any edits to it will get removed if the file is opened in a newer version of Excel. Learn more: https://go.microsoft.com/fwlink/?linkid=870924
Comment:
    Jadwal SIT dibagi menjadi 2</t>
      </text>
    </comment>
    <comment ref="DA71" authorId="0" shapeId="0" xr:uid="{9E0B7108-A1B2-4E9A-952D-A14D4373D5CF}">
      <text>
        <r>
          <rPr>
            <b/>
            <sz val="9"/>
            <color indexed="81"/>
            <rFont val="Tahoma"/>
            <family val="2"/>
          </rPr>
          <t>Aya Sophia:</t>
        </r>
        <r>
          <rPr>
            <sz val="9"/>
            <color indexed="81"/>
            <rFont val="Tahoma"/>
            <family val="2"/>
          </rPr>
          <t xml:space="preserve">
1/2 BS milestone desain, OS implementasi</t>
        </r>
      </text>
    </comment>
    <comment ref="DB71" authorId="0" shapeId="0" xr:uid="{A96FD9C2-1F92-48E1-A61F-6BB6851C7907}">
      <text>
        <r>
          <rPr>
            <b/>
            <sz val="9"/>
            <color indexed="81"/>
            <rFont val="Tahoma"/>
            <family val="2"/>
          </rPr>
          <t>Aya Sophia:</t>
        </r>
        <r>
          <rPr>
            <sz val="9"/>
            <color indexed="81"/>
            <rFont val="Tahoma"/>
            <family val="2"/>
          </rPr>
          <t xml:space="preserve">
1/2 BS milestone desain, OS implementasi</t>
        </r>
      </text>
    </comment>
    <comment ref="CT72" authorId="25" shapeId="0" xr:uid="{99969436-A5F6-4857-AA93-A434AFBA2EBC}">
      <text/>
    </comment>
    <comment ref="CU72" authorId="25" shapeId="0" xr:uid="{1A2B57AA-CA15-4C7F-A9B6-4F2D2F5AED33}">
      <text/>
    </comment>
    <comment ref="DC72" authorId="0" shapeId="0" xr:uid="{07566EDC-C1A2-4276-97AC-4A69C380282A}">
      <text>
        <r>
          <rPr>
            <b/>
            <sz val="9"/>
            <color indexed="81"/>
            <rFont val="Tahoma"/>
            <family val="2"/>
          </rPr>
          <t>Aya Sophia:</t>
        </r>
        <r>
          <rPr>
            <sz val="9"/>
            <color indexed="81"/>
            <rFont val="Tahoma"/>
            <family val="2"/>
          </rPr>
          <t xml:space="preserve">
1/2 BS milestone desain, OS implementasi</t>
        </r>
      </text>
    </comment>
    <comment ref="DD72" authorId="0" shapeId="0" xr:uid="{7A6C99C4-0336-4073-835F-32C2E9D09ACD}">
      <text>
        <r>
          <rPr>
            <b/>
            <sz val="9"/>
            <color indexed="81"/>
            <rFont val="Tahoma"/>
            <family val="2"/>
          </rPr>
          <t>Aya Sophia:</t>
        </r>
        <r>
          <rPr>
            <sz val="9"/>
            <color indexed="81"/>
            <rFont val="Tahoma"/>
            <family val="2"/>
          </rPr>
          <t xml:space="preserve">
1/2 BS milestone desain, OS implementasi</t>
        </r>
      </text>
    </comment>
    <comment ref="DE72" authorId="0" shapeId="0" xr:uid="{7AD26AE4-E548-442C-8374-FAE09DBBBDA2}">
      <text>
        <r>
          <rPr>
            <b/>
            <sz val="9"/>
            <color indexed="81"/>
            <rFont val="Tahoma"/>
            <family val="2"/>
          </rPr>
          <t>Aya Sophia:</t>
        </r>
        <r>
          <rPr>
            <sz val="9"/>
            <color indexed="81"/>
            <rFont val="Tahoma"/>
            <family val="2"/>
          </rPr>
          <t xml:space="preserve">
1/2 BS milestone desain, OS implementasi</t>
        </r>
      </text>
    </comment>
    <comment ref="DC73" authorId="0" shapeId="0" xr:uid="{A9B5BDA3-E009-41B2-BCA2-8CE9255F2B8B}">
      <text>
        <r>
          <rPr>
            <b/>
            <sz val="9"/>
            <color indexed="81"/>
            <rFont val="Tahoma"/>
            <family val="2"/>
          </rPr>
          <t>Aya Sophia:</t>
        </r>
        <r>
          <rPr>
            <sz val="9"/>
            <color indexed="81"/>
            <rFont val="Tahoma"/>
            <family val="2"/>
          </rPr>
          <t xml:space="preserve">
1/2 BS milestone RBT, potensi BS pengadaan DMAP, OS implementasi</t>
        </r>
      </text>
    </comment>
    <comment ref="DD73" authorId="0" shapeId="0" xr:uid="{36876A37-75DD-4622-B897-DFEC7A89A8FD}">
      <text>
        <r>
          <rPr>
            <b/>
            <sz val="9"/>
            <color indexed="81"/>
            <rFont val="Tahoma"/>
            <family val="2"/>
          </rPr>
          <t>Aya Sophia:</t>
        </r>
        <r>
          <rPr>
            <sz val="9"/>
            <color indexed="81"/>
            <rFont val="Tahoma"/>
            <family val="2"/>
          </rPr>
          <t xml:space="preserve">
1/2 BS milestone RBT, potensi BS pengadaan DMAP, OS implementasi</t>
        </r>
      </text>
    </comment>
    <comment ref="DE73" authorId="0" shapeId="0" xr:uid="{CC5AAC2C-804F-4064-95BC-182D39B4941F}">
      <text>
        <r>
          <rPr>
            <b/>
            <sz val="9"/>
            <color indexed="81"/>
            <rFont val="Tahoma"/>
            <family val="2"/>
          </rPr>
          <t>Aya Sophia:</t>
        </r>
        <r>
          <rPr>
            <sz val="9"/>
            <color indexed="81"/>
            <rFont val="Tahoma"/>
            <family val="2"/>
          </rPr>
          <t xml:space="preserve">
1/2 BS milestone RBT, potensi BS pengadaan DMAP, OS implementasi</t>
        </r>
      </text>
    </comment>
    <comment ref="DF73" authorId="0" shapeId="0" xr:uid="{1774AF08-C2D1-4574-B7A0-E02036065DAA}">
      <text>
        <r>
          <rPr>
            <b/>
            <sz val="9"/>
            <color indexed="81"/>
            <rFont val="Tahoma"/>
            <family val="2"/>
          </rPr>
          <t>Aya Sophia:</t>
        </r>
        <r>
          <rPr>
            <sz val="9"/>
            <color indexed="81"/>
            <rFont val="Tahoma"/>
            <family val="2"/>
          </rPr>
          <t xml:space="preserve">
1/2 BS milestone RBT, potensi BS pengadaan DMAP, OS implementasi</t>
        </r>
      </text>
    </comment>
    <comment ref="DA74" authorId="0" shapeId="0" xr:uid="{7B1C244C-96F0-4F0A-A5A2-10CCDE281474}">
      <text>
        <r>
          <rPr>
            <b/>
            <sz val="9"/>
            <color indexed="81"/>
            <rFont val="Tahoma"/>
            <family val="2"/>
          </rPr>
          <t>Aya Sophia:</t>
        </r>
        <r>
          <rPr>
            <sz val="9"/>
            <color indexed="81"/>
            <rFont val="Tahoma"/>
            <family val="2"/>
          </rPr>
          <t xml:space="preserve">
1/2 BS RBT, BS desain, OS implementasi</t>
        </r>
      </text>
    </comment>
    <comment ref="DB74" authorId="0" shapeId="0" xr:uid="{5D947AA7-F4FB-4DD1-BBDA-2F33DCCD8C27}">
      <text>
        <r>
          <rPr>
            <b/>
            <sz val="9"/>
            <color indexed="81"/>
            <rFont val="Tahoma"/>
            <family val="2"/>
          </rPr>
          <t>Aya Sophia:</t>
        </r>
        <r>
          <rPr>
            <sz val="9"/>
            <color indexed="81"/>
            <rFont val="Tahoma"/>
            <family val="2"/>
          </rPr>
          <t xml:space="preserve">
1/2 BS RBT, BS desain, OS implementasi</t>
        </r>
      </text>
    </comment>
    <comment ref="AN79" authorId="26" shapeId="0" xr:uid="{C7A56E98-C3E2-4603-9BBA-0420F1323770}">
      <text>
        <t>[Threaded comment]
Your version of Excel allows you to read this threaded comment; however, any edits to it will get removed if the file is opened in a newer version of Excel. Learn more: https://go.microsoft.com/fwlink/?linkid=870924
Comment:
    Potensi durasi diperpanjang based on risalah rapat bersama DPU-PKLD</t>
      </text>
    </comment>
    <comment ref="DA80" authorId="0" shapeId="0" xr:uid="{A511CFBF-59A4-42E6-AC1C-75D6C48A61AB}">
      <text>
        <r>
          <rPr>
            <b/>
            <sz val="9"/>
            <color indexed="81"/>
            <rFont val="Tahoma"/>
            <family val="2"/>
          </rPr>
          <t>Aya Sophia:</t>
        </r>
        <r>
          <rPr>
            <sz val="9"/>
            <color indexed="81"/>
            <rFont val="Tahoma"/>
            <family val="2"/>
          </rPr>
          <t xml:space="preserve">
BS RBT-WO, OS Implementasi</t>
        </r>
      </text>
    </comment>
    <comment ref="DB80" authorId="0" shapeId="0" xr:uid="{0354B00F-84BF-4D9A-80C9-EFE16D8CB438}">
      <text>
        <r>
          <rPr>
            <b/>
            <sz val="9"/>
            <color indexed="81"/>
            <rFont val="Tahoma"/>
            <family val="2"/>
          </rPr>
          <t>Aya Sophia:</t>
        </r>
        <r>
          <rPr>
            <sz val="9"/>
            <color indexed="81"/>
            <rFont val="Tahoma"/>
            <family val="2"/>
          </rPr>
          <t xml:space="preserve">
BS RBT-WO, OS Implementasi</t>
        </r>
      </text>
    </comment>
    <comment ref="W81" authorId="27" shapeId="0" xr:uid="{A30D83E4-6908-4CB6-ACB8-A98995BA75A7}">
      <text>
        <t>[Threaded comment]
Your version of Excel allows you to read this threaded comment; however, any edits to it will get removed if the file is opened in a newer version of Excel. Learn more: https://go.microsoft.com/fwlink/?linkid=870924
Comment:
    Penyesuaian jadwal yg sebelumnya TW IV 2024</t>
      </text>
    </comment>
    <comment ref="DA81" authorId="0" shapeId="0" xr:uid="{BB168112-0262-4F4E-B2BE-3814569EC9BB}">
      <text>
        <r>
          <rPr>
            <b/>
            <sz val="9"/>
            <color indexed="81"/>
            <rFont val="Tahoma"/>
            <family val="2"/>
          </rPr>
          <t>Aya Sophia:</t>
        </r>
        <r>
          <rPr>
            <sz val="9"/>
            <color indexed="81"/>
            <rFont val="Tahoma"/>
            <family val="2"/>
          </rPr>
          <t xml:space="preserve">
BS RBT-WO, OS Implementasi</t>
        </r>
      </text>
    </comment>
    <comment ref="DB81" authorId="0" shapeId="0" xr:uid="{E0EC28FD-244F-45CB-B9CD-65F140F43EE7}">
      <text>
        <r>
          <rPr>
            <b/>
            <sz val="9"/>
            <color indexed="81"/>
            <rFont val="Tahoma"/>
            <family val="2"/>
          </rPr>
          <t>Aya Sophia:</t>
        </r>
        <r>
          <rPr>
            <sz val="9"/>
            <color indexed="81"/>
            <rFont val="Tahoma"/>
            <family val="2"/>
          </rPr>
          <t xml:space="preserve">
BS RBT-WO, OS Implementasi</t>
        </r>
      </text>
    </comment>
    <comment ref="W82" authorId="28" shapeId="0" xr:uid="{9F8DD356-1C9B-4C3E-B14B-B12EC2D30007}">
      <text>
        <t>[Threaded comment]
Your version of Excel allows you to read this threaded comment; however, any edits to it will get removed if the file is opened in a newer version of Excel. Learn more: https://go.microsoft.com/fwlink/?linkid=870924
Comment:
    Penyesuaian jadwal yg sebelumnya TW IV 2024</t>
      </text>
    </comment>
    <comment ref="DC82" authorId="0" shapeId="0" xr:uid="{5D2D2AE5-3E29-49FA-B86E-EC1A51394A64}">
      <text>
        <r>
          <rPr>
            <b/>
            <sz val="9"/>
            <color indexed="81"/>
            <rFont val="Tahoma"/>
            <family val="2"/>
          </rPr>
          <t>Aya Sophia:</t>
        </r>
        <r>
          <rPr>
            <sz val="9"/>
            <color indexed="81"/>
            <rFont val="Tahoma"/>
            <family val="2"/>
          </rPr>
          <t xml:space="preserve">
BS RBT-WO, OS Implementasi</t>
        </r>
      </text>
    </comment>
    <comment ref="DD82" authorId="0" shapeId="0" xr:uid="{537BF05B-5DA3-4494-960A-026EB6A00518}">
      <text>
        <r>
          <rPr>
            <b/>
            <sz val="9"/>
            <color indexed="81"/>
            <rFont val="Tahoma"/>
            <family val="2"/>
          </rPr>
          <t>Aya Sophia:</t>
        </r>
        <r>
          <rPr>
            <sz val="9"/>
            <color indexed="81"/>
            <rFont val="Tahoma"/>
            <family val="2"/>
          </rPr>
          <t xml:space="preserve">
BS RBT-WO, OS Implementasi</t>
        </r>
      </text>
    </comment>
    <comment ref="DE82" authorId="0" shapeId="0" xr:uid="{4E7828B4-0012-4808-91B1-5287E951096E}">
      <text>
        <r>
          <rPr>
            <b/>
            <sz val="9"/>
            <color indexed="81"/>
            <rFont val="Tahoma"/>
            <family val="2"/>
          </rPr>
          <t>Aya Sophia:</t>
        </r>
        <r>
          <rPr>
            <sz val="9"/>
            <color indexed="81"/>
            <rFont val="Tahoma"/>
            <family val="2"/>
          </rPr>
          <t xml:space="preserve">
BS RBT-WO, OS Implementasi</t>
        </r>
      </text>
    </comment>
    <comment ref="DF82" authorId="0" shapeId="0" xr:uid="{FBB4040A-4D65-4C75-A8CE-32F834699EA8}">
      <text>
        <r>
          <rPr>
            <b/>
            <sz val="9"/>
            <color indexed="81"/>
            <rFont val="Tahoma"/>
            <family val="2"/>
          </rPr>
          <t>Aya Sophia:</t>
        </r>
        <r>
          <rPr>
            <sz val="9"/>
            <color indexed="81"/>
            <rFont val="Tahoma"/>
            <family val="2"/>
          </rPr>
          <t xml:space="preserve">
BS RBT-WO, OS Implementasi</t>
        </r>
      </text>
    </comment>
    <comment ref="DC83" authorId="0" shapeId="0" xr:uid="{4AE15D6D-C7E0-4D45-B427-BAD9633ACDB6}">
      <text>
        <r>
          <rPr>
            <b/>
            <sz val="9"/>
            <color indexed="81"/>
            <rFont val="Tahoma"/>
            <family val="2"/>
          </rPr>
          <t>Aya Sophia:</t>
        </r>
        <r>
          <rPr>
            <sz val="9"/>
            <color indexed="81"/>
            <rFont val="Tahoma"/>
            <family val="2"/>
          </rPr>
          <t xml:space="preserve">
BS RBT-WO, OS Implementasi</t>
        </r>
      </text>
    </comment>
    <comment ref="DD83" authorId="0" shapeId="0" xr:uid="{97654DA1-8C49-407A-BFFE-3804C541D096}">
      <text>
        <r>
          <rPr>
            <b/>
            <sz val="9"/>
            <color indexed="81"/>
            <rFont val="Tahoma"/>
            <family val="2"/>
          </rPr>
          <t>Aya Sophia:</t>
        </r>
        <r>
          <rPr>
            <sz val="9"/>
            <color indexed="81"/>
            <rFont val="Tahoma"/>
            <family val="2"/>
          </rPr>
          <t xml:space="preserve">
BS RBT-WO, OS Implementasi</t>
        </r>
      </text>
    </comment>
    <comment ref="DE83" authorId="0" shapeId="0" xr:uid="{961D9E49-4C53-45A2-97E4-0CE2AF6A12A0}">
      <text>
        <r>
          <rPr>
            <b/>
            <sz val="9"/>
            <color indexed="81"/>
            <rFont val="Tahoma"/>
            <family val="2"/>
          </rPr>
          <t>Aya Sophia:</t>
        </r>
        <r>
          <rPr>
            <sz val="9"/>
            <color indexed="81"/>
            <rFont val="Tahoma"/>
            <family val="2"/>
          </rPr>
          <t xml:space="preserve">
BS RBT-WO, OS Implementasi</t>
        </r>
      </text>
    </comment>
    <comment ref="DF83" authorId="0" shapeId="0" xr:uid="{AE0633E1-9EDF-4801-85D7-C6F9682C030D}">
      <text>
        <r>
          <rPr>
            <b/>
            <sz val="9"/>
            <color indexed="81"/>
            <rFont val="Tahoma"/>
            <family val="2"/>
          </rPr>
          <t>Aya Sophia:</t>
        </r>
        <r>
          <rPr>
            <sz val="9"/>
            <color indexed="81"/>
            <rFont val="Tahoma"/>
            <family val="2"/>
          </rPr>
          <t xml:space="preserve">
BS RBT-WO, OS Implementasi</t>
        </r>
      </text>
    </comment>
    <comment ref="DC86" authorId="0" shapeId="0" xr:uid="{AA913548-E900-47E5-A42E-CA948BA0321F}">
      <text>
        <r>
          <rPr>
            <b/>
            <sz val="9"/>
            <color indexed="81"/>
            <rFont val="Tahoma"/>
            <family val="2"/>
          </rPr>
          <t>Aya Sophia:</t>
        </r>
        <r>
          <rPr>
            <sz val="9"/>
            <color indexed="81"/>
            <rFont val="Tahoma"/>
            <family val="2"/>
          </rPr>
          <t xml:space="preserve">
BS RBT-WO, OS Implementasi</t>
        </r>
      </text>
    </comment>
    <comment ref="DD86" authorId="0" shapeId="0" xr:uid="{D7D4BFDF-60BE-48B7-BB2D-AB51DA3ED8C2}">
      <text>
        <r>
          <rPr>
            <b/>
            <sz val="9"/>
            <color indexed="81"/>
            <rFont val="Tahoma"/>
            <family val="2"/>
          </rPr>
          <t>Aya Sophia:</t>
        </r>
        <r>
          <rPr>
            <sz val="9"/>
            <color indexed="81"/>
            <rFont val="Tahoma"/>
            <family val="2"/>
          </rPr>
          <t xml:space="preserve">
BS RBT-WO, OS Implementasi</t>
        </r>
      </text>
    </comment>
    <comment ref="DE86" authorId="0" shapeId="0" xr:uid="{64A5B27C-893C-4BB1-9977-2B605FBB02E2}">
      <text>
        <r>
          <rPr>
            <b/>
            <sz val="9"/>
            <color indexed="81"/>
            <rFont val="Tahoma"/>
            <family val="2"/>
          </rPr>
          <t>Aya Sophia:</t>
        </r>
        <r>
          <rPr>
            <sz val="9"/>
            <color indexed="81"/>
            <rFont val="Tahoma"/>
            <family val="2"/>
          </rPr>
          <t xml:space="preserve">
BS RBT-WO, OS Implementasi</t>
        </r>
      </text>
    </comment>
    <comment ref="DF86" authorId="0" shapeId="0" xr:uid="{41D3491A-8194-4666-849C-A049DA2E5169}">
      <text>
        <r>
          <rPr>
            <b/>
            <sz val="9"/>
            <color indexed="81"/>
            <rFont val="Tahoma"/>
            <family val="2"/>
          </rPr>
          <t>Aya Sophia:</t>
        </r>
        <r>
          <rPr>
            <sz val="9"/>
            <color indexed="81"/>
            <rFont val="Tahoma"/>
            <family val="2"/>
          </rPr>
          <t xml:space="preserve">
BS RBT-WO, OS Implementasi</t>
        </r>
      </text>
    </comment>
    <comment ref="X90" authorId="29" shapeId="0" xr:uid="{DF05D5BA-6EDF-46AC-AA05-4B24DD7BB779}">
      <text>
        <t>[Threaded comment]
Your version of Excel allows you to read this threaded comment; however, any edits to it will get removed if the file is opened in a newer version of Excel. Learn more: https://go.microsoft.com/fwlink/?linkid=870924
Comment:
    Potensi ahead schedule dari awal jadwal Live di 31-Jan-25</t>
      </text>
    </comment>
    <comment ref="AR90" authorId="2" shapeId="0" xr:uid="{22EF344C-D946-4AFB-8F85-CA7BCD355A3A}">
      <text>
        <r>
          <rPr>
            <b/>
            <sz val="9"/>
            <color indexed="81"/>
            <rFont val="Tahoma"/>
            <family val="2"/>
          </rPr>
          <t>Rachmi Septiana (THI):</t>
        </r>
        <r>
          <rPr>
            <sz val="9"/>
            <color indexed="81"/>
            <rFont val="Tahoma"/>
            <family val="2"/>
          </rPr>
          <t xml:space="preserve">
IMP TW I 2025 di pdf Penyesuaian RIVIBI 2025-2030</t>
        </r>
      </text>
    </comment>
    <comment ref="DA91" authorId="0" shapeId="0" xr:uid="{A622B670-1940-4057-A777-32DD22731512}">
      <text>
        <r>
          <rPr>
            <b/>
            <sz val="9"/>
            <color indexed="81"/>
            <rFont val="Tahoma"/>
            <family val="2"/>
          </rPr>
          <t>Aya Sophia:</t>
        </r>
        <r>
          <rPr>
            <sz val="9"/>
            <color indexed="81"/>
            <rFont val="Tahoma"/>
            <family val="2"/>
          </rPr>
          <t xml:space="preserve">
BS RBB</t>
        </r>
      </text>
    </comment>
    <comment ref="DB91" authorId="0" shapeId="0" xr:uid="{8FAF7412-AEA4-4F56-A97A-E935B14B1745}">
      <text>
        <r>
          <rPr>
            <b/>
            <sz val="9"/>
            <color indexed="81"/>
            <rFont val="Tahoma"/>
            <family val="2"/>
          </rPr>
          <t>Aya Sophia:</t>
        </r>
        <r>
          <rPr>
            <sz val="9"/>
            <color indexed="81"/>
            <rFont val="Tahoma"/>
            <family val="2"/>
          </rPr>
          <t xml:space="preserve">
BS RBB</t>
        </r>
      </text>
    </comment>
    <comment ref="DC92" authorId="0" shapeId="0" xr:uid="{BA95BBC1-BA27-4165-9125-0AB4F9BC020E}">
      <text>
        <r>
          <rPr>
            <b/>
            <sz val="9"/>
            <color indexed="81"/>
            <rFont val="Tahoma"/>
            <family val="2"/>
          </rPr>
          <t>Aya Sophia:</t>
        </r>
        <r>
          <rPr>
            <sz val="9"/>
            <color indexed="81"/>
            <rFont val="Tahoma"/>
            <family val="2"/>
          </rPr>
          <t xml:space="preserve">
BS RBB</t>
        </r>
      </text>
    </comment>
    <comment ref="DD92" authorId="0" shapeId="0" xr:uid="{530E03B8-04F8-4349-9DD3-14E48D876511}">
      <text>
        <r>
          <rPr>
            <b/>
            <sz val="9"/>
            <color indexed="81"/>
            <rFont val="Tahoma"/>
            <family val="2"/>
          </rPr>
          <t>Aya Sophia:</t>
        </r>
        <r>
          <rPr>
            <sz val="9"/>
            <color indexed="81"/>
            <rFont val="Tahoma"/>
            <family val="2"/>
          </rPr>
          <t xml:space="preserve">
BS RBB</t>
        </r>
      </text>
    </comment>
    <comment ref="DE92" authorId="0" shapeId="0" xr:uid="{9436CD25-85F6-4499-82AB-F81E1DB02DF8}">
      <text>
        <r>
          <rPr>
            <b/>
            <sz val="9"/>
            <color indexed="81"/>
            <rFont val="Tahoma"/>
            <family val="2"/>
          </rPr>
          <t>Aya Sophia:</t>
        </r>
        <r>
          <rPr>
            <sz val="9"/>
            <color indexed="81"/>
            <rFont val="Tahoma"/>
            <family val="2"/>
          </rPr>
          <t xml:space="preserve">
BS RBB</t>
        </r>
      </text>
    </comment>
    <comment ref="DF92" authorId="0" shapeId="0" xr:uid="{52F74402-86EE-4C22-9667-6B4377C751F2}">
      <text>
        <r>
          <rPr>
            <b/>
            <sz val="9"/>
            <color indexed="81"/>
            <rFont val="Tahoma"/>
            <family val="2"/>
          </rPr>
          <t>Aya Sophia:</t>
        </r>
        <r>
          <rPr>
            <sz val="9"/>
            <color indexed="81"/>
            <rFont val="Tahoma"/>
            <family val="2"/>
          </rPr>
          <t xml:space="preserve">
BS RBB</t>
        </r>
      </text>
    </comment>
    <comment ref="DC93" authorId="0" shapeId="0" xr:uid="{44708568-9A21-4B24-B52B-6693E7AA1CD6}">
      <text>
        <r>
          <rPr>
            <b/>
            <sz val="9"/>
            <color indexed="81"/>
            <rFont val="Tahoma"/>
            <family val="2"/>
          </rPr>
          <t>Aya Sophia:</t>
        </r>
        <r>
          <rPr>
            <sz val="9"/>
            <color indexed="81"/>
            <rFont val="Tahoma"/>
            <family val="2"/>
          </rPr>
          <t xml:space="preserve">
BS RBB</t>
        </r>
      </text>
    </comment>
    <comment ref="DD93" authorId="0" shapeId="0" xr:uid="{778DC45D-E4DF-4FDE-B345-4E96DE1DE628}">
      <text>
        <r>
          <rPr>
            <b/>
            <sz val="9"/>
            <color indexed="81"/>
            <rFont val="Tahoma"/>
            <family val="2"/>
          </rPr>
          <t>Aya Sophia:</t>
        </r>
        <r>
          <rPr>
            <sz val="9"/>
            <color indexed="81"/>
            <rFont val="Tahoma"/>
            <family val="2"/>
          </rPr>
          <t xml:space="preserve">
BS RBB</t>
        </r>
      </text>
    </comment>
    <comment ref="DE93" authorId="0" shapeId="0" xr:uid="{283C723D-0A28-437E-85F3-7574556A6D90}">
      <text>
        <r>
          <rPr>
            <b/>
            <sz val="9"/>
            <color indexed="81"/>
            <rFont val="Tahoma"/>
            <family val="2"/>
          </rPr>
          <t>Aya Sophia:</t>
        </r>
        <r>
          <rPr>
            <sz val="9"/>
            <color indexed="81"/>
            <rFont val="Tahoma"/>
            <family val="2"/>
          </rPr>
          <t xml:space="preserve">
BS RBB</t>
        </r>
      </text>
    </comment>
    <comment ref="DF93" authorId="0" shapeId="0" xr:uid="{4D911EB6-FC83-4D99-9574-9DF2F492F220}">
      <text>
        <r>
          <rPr>
            <b/>
            <sz val="9"/>
            <color indexed="81"/>
            <rFont val="Tahoma"/>
            <family val="2"/>
          </rPr>
          <t>Aya Sophia:</t>
        </r>
        <r>
          <rPr>
            <sz val="9"/>
            <color indexed="81"/>
            <rFont val="Tahoma"/>
            <family val="2"/>
          </rPr>
          <t xml:space="preserve">
BS RBB</t>
        </r>
      </text>
    </comment>
    <comment ref="DA99" authorId="0" shapeId="0" xr:uid="{9B836D1D-646D-40FF-BAEF-49DA58CA78F0}">
      <text>
        <r>
          <rPr>
            <b/>
            <sz val="9"/>
            <color indexed="81"/>
            <rFont val="Tahoma"/>
            <family val="2"/>
          </rPr>
          <t>Aya Sophia:</t>
        </r>
        <r>
          <rPr>
            <sz val="9"/>
            <color indexed="81"/>
            <rFont val="Tahoma"/>
            <family val="2"/>
          </rPr>
          <t xml:space="preserve">
BS RBB</t>
        </r>
      </text>
    </comment>
    <comment ref="DB99" authorId="0" shapeId="0" xr:uid="{96887CF4-7029-4626-919E-FF66221CDC2A}">
      <text>
        <r>
          <rPr>
            <b/>
            <sz val="9"/>
            <color indexed="81"/>
            <rFont val="Tahoma"/>
            <family val="2"/>
          </rPr>
          <t>Aya Sophia:</t>
        </r>
        <r>
          <rPr>
            <sz val="9"/>
            <color indexed="81"/>
            <rFont val="Tahoma"/>
            <family val="2"/>
          </rPr>
          <t xml:space="preserve">
BS RBB</t>
        </r>
      </text>
    </comment>
    <comment ref="DC99" authorId="0" shapeId="0" xr:uid="{A386F10C-C446-4540-B15F-F3B2DC7AA2D8}">
      <text>
        <r>
          <rPr>
            <b/>
            <sz val="9"/>
            <color indexed="81"/>
            <rFont val="Tahoma"/>
            <family val="2"/>
          </rPr>
          <t>Aya Sophia:</t>
        </r>
        <r>
          <rPr>
            <sz val="9"/>
            <color indexed="81"/>
            <rFont val="Tahoma"/>
            <family val="2"/>
          </rPr>
          <t xml:space="preserve">
BS RBB</t>
        </r>
      </text>
    </comment>
    <comment ref="DD99" authorId="0" shapeId="0" xr:uid="{2A2552D4-8922-451F-829D-B4C55D1D4A82}">
      <text>
        <r>
          <rPr>
            <b/>
            <sz val="9"/>
            <color indexed="81"/>
            <rFont val="Tahoma"/>
            <family val="2"/>
          </rPr>
          <t>Aya Sophia:</t>
        </r>
        <r>
          <rPr>
            <sz val="9"/>
            <color indexed="81"/>
            <rFont val="Tahoma"/>
            <family val="2"/>
          </rPr>
          <t xml:space="preserve">
BS RBB</t>
        </r>
      </text>
    </comment>
    <comment ref="DE99" authorId="0" shapeId="0" xr:uid="{209783BB-1F54-4D40-A8AC-20ACECC17DC0}">
      <text>
        <r>
          <rPr>
            <b/>
            <sz val="9"/>
            <color indexed="81"/>
            <rFont val="Tahoma"/>
            <family val="2"/>
          </rPr>
          <t>Aya Sophia:</t>
        </r>
        <r>
          <rPr>
            <sz val="9"/>
            <color indexed="81"/>
            <rFont val="Tahoma"/>
            <family val="2"/>
          </rPr>
          <t xml:space="preserve">
BS RBB</t>
        </r>
      </text>
    </comment>
    <comment ref="DF99" authorId="0" shapeId="0" xr:uid="{8607048F-589C-4F6A-A445-6888D0049853}">
      <text>
        <r>
          <rPr>
            <b/>
            <sz val="9"/>
            <color indexed="81"/>
            <rFont val="Tahoma"/>
            <family val="2"/>
          </rPr>
          <t>Aya Sophia:</t>
        </r>
        <r>
          <rPr>
            <sz val="9"/>
            <color indexed="81"/>
            <rFont val="Tahoma"/>
            <family val="2"/>
          </rPr>
          <t xml:space="preserve">
BS RBB</t>
        </r>
      </text>
    </comment>
    <comment ref="I103" authorId="30" shapeId="0" xr:uid="{F91E9306-DC52-42FF-B9FF-2A22C7CB56F1}">
      <text>
        <r>
          <rPr>
            <sz val="11"/>
            <color theme="1"/>
            <rFont val="Aptos Narrow"/>
            <family val="2"/>
            <scheme val="minor"/>
          </rPr>
          <t>Rangga Dhaniarto (P):
Penamaan proyek mohon diganti menjadi Modernisasi BI-SSS</t>
        </r>
      </text>
    </comment>
    <comment ref="W105" authorId="1" shapeId="0" xr:uid="{E92B826F-85D7-44D3-A2EF-013A38265CA4}">
      <text>
        <r>
          <rPr>
            <b/>
            <sz val="9"/>
            <color indexed="81"/>
            <rFont val="Tahoma"/>
            <family val="2"/>
          </rPr>
          <t>Sri Mulya Hasanah (THI):</t>
        </r>
        <r>
          <rPr>
            <sz val="9"/>
            <color indexed="81"/>
            <rFont val="Tahoma"/>
            <family val="2"/>
          </rPr>
          <t xml:space="preserve">
TW Iv 2025</t>
        </r>
      </text>
    </comment>
    <comment ref="EH109" authorId="31" shapeId="0" xr:uid="{7C5996BE-F7FF-4591-B3F0-E9B463DC6B4D}">
      <text>
        <t>[Threaded comment]
Your version of Excel allows you to read this threaded comment; however, any edits to it will get removed if the file is opened in a newer version of Excel. Learn more: https://go.microsoft.com/fwlink/?linkid=870924
Comment:
    1. Target RBT di Desember 2025 dan baru mulai pengembangan di 2026
2. Untuk besaran proyek yang didahulukan di 2025 sendiri ada BI-ETP dan S4
3. Rapat Koordinasi Terkait penyusunan RBT akan dilakukan dibulan November.</t>
      </text>
    </comment>
    <comment ref="EH110" authorId="32" shapeId="0" xr:uid="{BFC462B8-F586-4E2B-A017-879C167C4CF1}">
      <text>
        <r>
          <rPr>
            <b/>
            <sz val="9"/>
            <color indexed="81"/>
            <rFont val="Tahoma"/>
            <family val="2"/>
          </rPr>
          <t xml:space="preserve">Among Rogo Wicaksono:
Update Progress 25 Agustus 2025:
Penyusunan IN:
1. Draft IN telah disampaikan ke DPU dan DPPT melalui email 1 Juli 2025.
2. DPPT dan DPU telah memberikan feedback.
3. Draf IN yang telah mengakomodasi feedback DPPT dan DPU masih dalam review internal KPPA bersama Bu Julia. Rencananya M1 September 2025 akan maju ke Pak Arifin dan Bu Retno.
4. Selanjutnya IN ini akan dipaparkan juga kepada pimpinan DPPT, DPU, dan DPID.
Penyusunan RBT:
1. Draft RBT telah disampaikan ke DPU dan DPPT melalui memorandum no.27/678/DLDS-GPAp/M.01/B perihal Tindak Lanjut Penyusunan RBT Modernize CBS
2. DPPT telah melakukan finalisasi tahap 1 melalui konsi 16 - 22 Juni 2025 dan dilanjutkan pada bulan agustus (Konsinyering 20 s.d. 23 Agustus 2025)
3. DPU masih on progress review dan rencananya pada forum PUR di M5 Juli, akan dilakukan gathering info dari PUR BI-Wide dan dilanjutkan pada bulan agustus melalui konsinyering 20 s.d. 23 Agustus 2025.
4. Adapun target penyelesaian RBT adalah akhir Oktober 2025 (revisit RIVIBI, target RBT adalah TW 1 2026)
Update Progress 21 Juli 2025:
Penyusunan RBT:
1. Draft RBT telah disampaikan ke DPU dan DPPT melalui memorandum no.27/678/DLDS-GPAp/M.01/B perihal Tindak Lanjut Penyusunan RBT Modernize CBS
2. DPPT telah melakukan finalisasi tahap 1 melalui konsi 16 - 22 Juni 2025 dan akan dilanjutkan pada bulan agustus (M1, M3 dan M4 Aug)
3. DPU masih on progress review dan rencananya pada forum PUR di M5 Juli, akan dilakukan gathering info dari PUR BI-Wide.
Penyusunan IN:
1. Draft IN telah disampaikan ke DPU dan DPPT melalui email 1 Juli 2025.
2. DPPT telah memberikan feedback.
3. DPU masih on progress review dan rencananya pada forum PUR di M5 Juli, akan dilakukan gathering info dari PUR BI-Wide.
Tindaklanjut 21 Juli 2025:
1. KMBD akan kembali mengirimkan memo terkait penegasan kepada DPU terkait penyusunan RBT dan IN
2. RKP untuk IN dan RBT akan turut mengundang DPID, DPPT, dan DPU.
Update Progress 14 Juli 2025:
1. Draft IN telah disusun DLDS saat ini telah disampaikan kepada DPPT untuk selanjutnya difinalkan dan diajukan ke ADG Bidang dengan target M3 Juli 2025.
2. Paralel telah dilakukan finalisasi RBT bersama DPPT secara konsinyering yang selesai di tanggal 22 Juni 2025
3. Selanjutnya akan dilakukan finalisasi RBT bersama DPU.
Tindaklanjut 14 Juli 2025:
1. RKP untuk IN CBS yang mengundang DPID, DPPT, dan DPU.
Update Progress 7 Juli 2025:
1. Draft IN telah disusun DLDS saat ini telah disampaikan kepada DPPT untuk selanjutnya difinalkan dan diajukan ke ADG Bidang dengan target M3 Juli 2025.
2. Paralel telah dilakukan finalisasi RBT bersama DPPT secara konsinyering yang selesai di tanggal 22 Juni 2025
3. Selanjutnya akan dilakukan finalisasi RBT bersama DPU.
Tindaklanjut 7 Juli 2025:
1. RKP untuk IN CBS yang mengundang DPID, DPPT, dan DPU.
Update Progress 1 Juli 2025:
1. Draft IN msh on progress di DLDS dengan target M2 Juli. Untuk selanjutnya disampaikan kepada DPPT untuk difinalkan dan diajukan ke ADG Bidang.
2. Paralel telah dilakukan finalisasi RBT bersama DPPT secara konsinyering yang selesai di tanggal 22 Juni 2025
3. Selanjutnya akan dilakukan finalisasi RBT bersama DPU.
4. Plan saat ini CBS masih menggunakan Timeline RIVIBI dengan mempertimbangkan:
a. Kapabilitas CBS saat ini sudah tidak mumpuni untuk mendukung operasional dan kebutuhan bisnis terkini termasuk tindaklanjut atas temuan audit BPK (CR), sehingga beberapa kebutuhan bisnis di-hold.
b. Jadwal pengembangan saat ini telah diselaraskan dengan pengembangan New BIFAST, BI-RTGS Gen III, BI-SSSS Gen III dan MHE-IS yang akan mulai pengembangannya di 2026.
c. Kontrak pemeliharaan CBS yang akan berakhir di September 2027.
Tindaklanjut 1 Juli 2025:
1. RKP untuk IN CBS yang mengundang DPID, DPPT, dan DPU.
Update Progress 16 Juni 2025:
1. Asesmen Modernize CBS on progress dan direncanakan untuk maju RKP di M1 Juli, dilanjutkan audiensi kepada ADG Bidang 2, 3, dan 4 di M2 s.d. M4 Juli 2025. Asesmen ini BS dari plan awal RKP di M2 April dan audiensi di M3 s.d. M5 April 2025.
2. Penyusunan RBT sudah masuk ke tahapan finalisasi dan rencananya akan dilakukan konsinyering dengan satker bisnis:
a. DPPT: 16 s.d. 22 Juni 2025
b. DPU: M1 Juli 2025
3. Berdasarkan arahan pimpinan DPID dan DLDS dalam koordinasi satker dalam rangka Board Retreat, diarahkan agar modernize CBS dilakukan dengan komprehensif dan tidak terburu" sehingga diharapkan New CBS dapat memenuhi kebutuhan bisnis untuk 3 s.d. 5 tahun ke depan. Untuk tahun 2025 difokuskan untuk didahului dengan penyusunan IN Modernize CBS dan tahun 2026 untuk penyusunan RBT.
4. Hasil diskusi dengan tim teknis CBS, terdapat concern apabila dilakukan penyesuaian timeline modernize CBS sbb:
a. Kapabilitas CBS saat ini sudah tidak mumpuni untuk mendukung operasional dan kebutuhan bisnis terkini termasuk tindaklanjut atas temuan audit BPK (CR), sehingga beberapa kebutuhan bisnis di-hold.
b. Penyusunan RBT modernize CBS telah diselaraskan dengan BSPI dan BPPUR 2030 sehingga telah menjawab kebutuhan bisnis sampai dengan 2030.
c. Jadwal pengembangan saat ini telah diselaraskan dengan pengembangan New BIFAST, BI-RTGS Gen III, BI-SSSS Gen III dan MHE-IS yang akan mulai pengembangannya di 2026.
d. Kontrak pemeliharaan CBS yang akan berakhir di September 2027.
</t>
        </r>
        <r>
          <rPr>
            <sz val="9"/>
            <color indexed="81"/>
            <rFont val="Tahoma"/>
            <family val="2"/>
          </rPr>
          <t xml:space="preserve">
Update sebelumnya:
1. Sosialisasi modernize CBS ke satker (DPPT dan DPU) dan Rencana Benchmarking ke Perbankan (7 Januari 2025)
2. Telah dilakukan meeting koordinasi di tanggal 14 Januari 2025 untuk mulai pembahasan penyusunan RBT. Untuk draft RBT fungsi eksisting telah selesai selanjutnya akan disampaikan kepada satker user untuk dapat direview dan dilengkapi.
3. Penyusunan RBT bersama DPPT dan DPU akan mulai dilakukan di bulan Maret s.d. Mei 2025.
4. Penyusunan kajian modernisasi ditargetnya selesai di bulan Maret 2025.4. Penyusunan KAK akan dilakukan di bulan Juni 2025.
5. Proses pengadaan dengan asumsi metode lelang akan dilakukan selama 6 bulan dari Juni s.d. Desember 2025.
6. Pada M2 Februari 2025 telah dilakukan benchmark ke BRI yang menggunakan silverlake AS400.
7. Penyusunan UPG Modernize CBS dengan target M1 Maret 2025
8. Penyusunan asesmen modernize CBS masih on progress di tim teknis.</t>
        </r>
      </text>
    </comment>
    <comment ref="R111" authorId="1" shapeId="0" xr:uid="{B1A5B7FD-A7A5-4CD2-B2A9-0EF776D8BDD1}">
      <text>
        <r>
          <rPr>
            <b/>
            <sz val="9"/>
            <color indexed="81"/>
            <rFont val="Tahoma"/>
            <family val="2"/>
          </rPr>
          <t>Sri Mulya Hasanah (THI):</t>
        </r>
        <r>
          <rPr>
            <sz val="9"/>
            <color indexed="81"/>
            <rFont val="Tahoma"/>
            <family val="2"/>
          </rPr>
          <t xml:space="preserve">
Soa exclude</t>
        </r>
      </text>
    </comment>
    <comment ref="AM111" authorId="33" shapeId="0" xr:uid="{C9BFDC30-4AE8-4EDC-BBBA-40398388B8F0}">
      <text>
        <t>[Threaded comment]
Your version of Excel allows you to read this threaded comment; however, any edits to it will get removed if the file is opened in a newer version of Excel. Learn more: https://go.microsoft.com/fwlink/?linkid=870924
Comment:
    Jadwal SIT 
WO I : 1 - 14 Juli 2025
WO II : TBD</t>
      </text>
    </comment>
    <comment ref="DA111" authorId="0" shapeId="0" xr:uid="{54AE9F61-BB5C-406A-9132-288D38A308E2}">
      <text>
        <r>
          <rPr>
            <b/>
            <sz val="9"/>
            <color indexed="81"/>
            <rFont val="Tahoma"/>
            <family val="2"/>
          </rPr>
          <t>Aya Sophia:</t>
        </r>
        <r>
          <rPr>
            <sz val="9"/>
            <color indexed="81"/>
            <rFont val="Tahoma"/>
            <family val="2"/>
          </rPr>
          <t xml:space="preserve">
1/2 BS WO</t>
        </r>
      </text>
    </comment>
    <comment ref="DB111" authorId="0" shapeId="0" xr:uid="{570BC115-7E6D-4FF2-A8D3-D72E32AC44AC}">
      <text>
        <r>
          <rPr>
            <b/>
            <sz val="9"/>
            <color indexed="81"/>
            <rFont val="Tahoma"/>
            <family val="2"/>
          </rPr>
          <t>Aya Sophia:</t>
        </r>
        <r>
          <rPr>
            <sz val="9"/>
            <color indexed="81"/>
            <rFont val="Tahoma"/>
            <family val="2"/>
          </rPr>
          <t xml:space="preserve">
1/2 BS WO</t>
        </r>
      </text>
    </comment>
    <comment ref="EH111" authorId="0" shapeId="0" xr:uid="{3EE4F63E-20F4-4BB5-B04D-B8961956E877}">
      <text>
        <r>
          <rPr>
            <b/>
            <sz val="9"/>
            <color indexed="81"/>
            <rFont val="Tahoma"/>
            <family val="2"/>
          </rPr>
          <t>Aya Sophia:</t>
        </r>
        <r>
          <rPr>
            <sz val="9"/>
            <color indexed="81"/>
            <rFont val="Tahoma"/>
            <family val="2"/>
          </rPr>
          <t xml:space="preserve">
1/2 akan ada beberapa tahapan untuk penyelesaian 100 fungsi (beberapa WO dan beberapa RPP sesuai WO secara sekuensial) dan akhir selesai 2026. saat ini tahap 1</t>
        </r>
      </text>
    </comment>
    <comment ref="R112" authorId="1" shapeId="0" xr:uid="{2A7D495B-74A3-4810-A261-A5425ECEAB60}">
      <text>
        <r>
          <rPr>
            <b/>
            <sz val="9"/>
            <color indexed="81"/>
            <rFont val="Tahoma"/>
            <family val="2"/>
          </rPr>
          <t>Sri Mulya Hasanah (THI):</t>
        </r>
        <r>
          <rPr>
            <sz val="9"/>
            <color indexed="81"/>
            <rFont val="Tahoma"/>
            <family val="2"/>
          </rPr>
          <t xml:space="preserve">
Soa exclude</t>
        </r>
      </text>
    </comment>
    <comment ref="DA112" authorId="0" shapeId="0" xr:uid="{0EF7C851-DF4D-40D1-9BAC-363ACCFC57D8}">
      <text>
        <r>
          <rPr>
            <b/>
            <sz val="9"/>
            <color indexed="81"/>
            <rFont val="Tahoma"/>
            <family val="2"/>
          </rPr>
          <t>Aya Sophia:</t>
        </r>
        <r>
          <rPr>
            <sz val="9"/>
            <color indexed="81"/>
            <rFont val="Tahoma"/>
            <family val="2"/>
          </rPr>
          <t xml:space="preserve">
1/2 BS WO</t>
        </r>
      </text>
    </comment>
    <comment ref="DB112" authorId="0" shapeId="0" xr:uid="{78C0F4F7-FFCC-4A1A-9490-86A963BE7CD5}">
      <text>
        <r>
          <rPr>
            <b/>
            <sz val="9"/>
            <color indexed="81"/>
            <rFont val="Tahoma"/>
            <family val="2"/>
          </rPr>
          <t>Aya Sophia:</t>
        </r>
        <r>
          <rPr>
            <sz val="9"/>
            <color indexed="81"/>
            <rFont val="Tahoma"/>
            <family val="2"/>
          </rPr>
          <t xml:space="preserve">
1/2 BS WO</t>
        </r>
      </text>
    </comment>
    <comment ref="R114" authorId="1" shapeId="0" xr:uid="{9DCD9386-EE29-40BD-B077-92665CC13869}">
      <text>
        <r>
          <rPr>
            <b/>
            <sz val="9"/>
            <color indexed="81"/>
            <rFont val="Tahoma"/>
            <family val="2"/>
          </rPr>
          <t>Sri Mulya Hasanah (THI):</t>
        </r>
        <r>
          <rPr>
            <sz val="9"/>
            <color indexed="81"/>
            <rFont val="Tahoma"/>
            <family val="2"/>
          </rPr>
          <t xml:space="preserve">
Soa exclude</t>
        </r>
      </text>
    </comment>
    <comment ref="AM114" authorId="34" shapeId="0" xr:uid="{51BF975C-A16C-46E8-98A5-92898FBE618D}">
      <text>
        <t>[Threaded comment]
Your version of Excel allows you to read this threaded comment; however, any edits to it will get removed if the file is opened in a newer version of Excel. Learn more: https://go.microsoft.com/fwlink/?linkid=870924
Comment:
    Jadwal SIT 
WO I : 1 - 14 Juli 2025
WO II : TBD</t>
      </text>
    </comment>
    <comment ref="DA114" authorId="0" shapeId="0" xr:uid="{B06676FC-2692-42BF-8BBD-D2948E3C9E64}">
      <text>
        <r>
          <rPr>
            <b/>
            <sz val="9"/>
            <color indexed="81"/>
            <rFont val="Tahoma"/>
            <family val="2"/>
          </rPr>
          <t>Aya Sophia:</t>
        </r>
        <r>
          <rPr>
            <sz val="9"/>
            <color indexed="81"/>
            <rFont val="Tahoma"/>
            <family val="2"/>
          </rPr>
          <t xml:space="preserve">
1/2 BS WO</t>
        </r>
      </text>
    </comment>
    <comment ref="DB114" authorId="0" shapeId="0" xr:uid="{DF47ADC6-F0D7-473F-B133-8740EA5EA34E}">
      <text>
        <r>
          <rPr>
            <b/>
            <sz val="9"/>
            <color indexed="81"/>
            <rFont val="Tahoma"/>
            <family val="2"/>
          </rPr>
          <t>Aya Sophia:</t>
        </r>
        <r>
          <rPr>
            <sz val="9"/>
            <color indexed="81"/>
            <rFont val="Tahoma"/>
            <family val="2"/>
          </rPr>
          <t xml:space="preserve">
1/2 BS WO</t>
        </r>
      </text>
    </comment>
    <comment ref="EH114" authorId="0" shapeId="0" xr:uid="{9992E843-A04C-4512-B533-2B509AE19958}">
      <text>
        <r>
          <rPr>
            <b/>
            <sz val="9"/>
            <color indexed="81"/>
            <rFont val="Tahoma"/>
            <family val="2"/>
          </rPr>
          <t>Aya Sophia:</t>
        </r>
        <r>
          <rPr>
            <sz val="9"/>
            <color indexed="81"/>
            <rFont val="Tahoma"/>
            <family val="2"/>
          </rPr>
          <t xml:space="preserve">
1/2 akan ada beberapa tahapan untuk penyelesaian 100 fungsi (beberapa WO dan beberapa RPP sesuai WO secara sekuensial) dan akhir selesai 2026. saat ini tahap 1</t>
        </r>
      </text>
    </comment>
    <comment ref="I116" authorId="1" shapeId="0" xr:uid="{84096276-694E-4F8F-81E0-6D2990E5C553}">
      <text>
        <r>
          <rPr>
            <b/>
            <sz val="9"/>
            <color indexed="81"/>
            <rFont val="Tahoma"/>
            <family val="2"/>
          </rPr>
          <t>Sri Mulya Hasanah (THI):</t>
        </r>
        <r>
          <rPr>
            <sz val="9"/>
            <color indexed="81"/>
            <rFont val="Tahoma"/>
            <family val="2"/>
          </rPr>
          <t xml:space="preserve">
nama pdf : modernize sistem perizinan (EASE)</t>
        </r>
      </text>
    </comment>
    <comment ref="DC117" authorId="0" shapeId="0" xr:uid="{A68B67AE-6198-4930-B1C6-4BEDA3858DE5}">
      <text>
        <r>
          <rPr>
            <b/>
            <sz val="9"/>
            <color indexed="81"/>
            <rFont val="Tahoma"/>
            <family val="2"/>
          </rPr>
          <t>Aya Sophia:</t>
        </r>
        <r>
          <rPr>
            <sz val="9"/>
            <color indexed="81"/>
            <rFont val="Tahoma"/>
            <family val="2"/>
          </rPr>
          <t xml:space="preserve">
1/2 BS WO</t>
        </r>
      </text>
    </comment>
    <comment ref="DD117" authorId="0" shapeId="0" xr:uid="{BFD59F36-81F6-499D-9AFD-CD4B8A7DA7A6}">
      <text>
        <r>
          <rPr>
            <b/>
            <sz val="9"/>
            <color indexed="81"/>
            <rFont val="Tahoma"/>
            <family val="2"/>
          </rPr>
          <t>Aya Sophia:</t>
        </r>
        <r>
          <rPr>
            <sz val="9"/>
            <color indexed="81"/>
            <rFont val="Tahoma"/>
            <family val="2"/>
          </rPr>
          <t xml:space="preserve">
1/2 BS WO</t>
        </r>
      </text>
    </comment>
    <comment ref="DE117" authorId="0" shapeId="0" xr:uid="{0EF10F09-8257-4B0A-A28C-1E7A76D4F65E}">
      <text>
        <r>
          <rPr>
            <b/>
            <sz val="9"/>
            <color indexed="81"/>
            <rFont val="Tahoma"/>
            <family val="2"/>
          </rPr>
          <t>Aya Sophia:</t>
        </r>
        <r>
          <rPr>
            <sz val="9"/>
            <color indexed="81"/>
            <rFont val="Tahoma"/>
            <family val="2"/>
          </rPr>
          <t xml:space="preserve">
1/2 BS WO</t>
        </r>
      </text>
    </comment>
    <comment ref="DF117" authorId="0" shapeId="0" xr:uid="{09E22288-201D-4A9E-BD47-A70627460926}">
      <text>
        <r>
          <rPr>
            <b/>
            <sz val="9"/>
            <color indexed="81"/>
            <rFont val="Tahoma"/>
            <family val="2"/>
          </rPr>
          <t>Aya Sophia:</t>
        </r>
        <r>
          <rPr>
            <sz val="9"/>
            <color indexed="81"/>
            <rFont val="Tahoma"/>
            <family val="2"/>
          </rPr>
          <t xml:space="preserve">
1/2 BS WO</t>
        </r>
      </text>
    </comment>
    <comment ref="AN119" authorId="35" shapeId="0" xr:uid="{987B27E7-5146-40FF-A4DB-514196D4F8D8}">
      <text>
        <t>[Threaded comment]
Your version of Excel allows you to read this threaded comment; however, any edits to it will get removed if the file is opened in a newer version of Excel. Learn more: https://go.microsoft.com/fwlink/?linkid=870924
Comment:
    SIT dibagi menjadi 3:
1. M4 Januari - M5 Januari
2a. M3 Februari - M4 Februari
2b. M2 April - M3 April</t>
      </text>
    </comment>
    <comment ref="EB119" authorId="0" shapeId="0" xr:uid="{71FECA9F-17EE-4872-A36B-36164025F594}">
      <text>
        <r>
          <rPr>
            <sz val="11"/>
            <color theme="1"/>
            <rFont val="Aptos Narrow"/>
            <family val="2"/>
            <scheme val="minor"/>
          </rPr>
          <t>Aya Sophia:
21/01: 100% pengadaan untuk seluruh tahap (1,2,3)</t>
        </r>
      </text>
    </comment>
    <comment ref="EC119" authorId="0" shapeId="0" xr:uid="{0EE6CFD9-FAC3-4A8C-9216-F0BC1FB50D41}">
      <text>
        <r>
          <rPr>
            <sz val="11"/>
            <color theme="1"/>
            <rFont val="Aptos Narrow"/>
            <family val="2"/>
            <scheme val="minor"/>
          </rPr>
          <t>Aya Sophia:
21/01: 100% desain untuk tahap 1</t>
        </r>
      </text>
    </comment>
    <comment ref="ED119" authorId="0" shapeId="0" xr:uid="{89782786-C8D5-412A-82B2-C330370FDA39}">
      <text>
        <r>
          <rPr>
            <sz val="11"/>
            <color theme="1"/>
            <rFont val="Aptos Narrow"/>
            <family val="2"/>
            <scheme val="minor"/>
          </rPr>
          <t>Aya Sophia:
21/01: 100% pengembangan untuk tahap 1</t>
        </r>
      </text>
    </comment>
    <comment ref="EH120" authorId="36" shapeId="0" xr:uid="{EE72EA4A-8665-4946-907C-14D427ADD79D}">
      <text>
        <t>[Threaded comment]
Your version of Excel allows you to read this threaded comment; however, any edits to it will get removed if the file is opened in a newer version of Excel. Learn more: https://go.microsoft.com/fwlink/?linkid=870924
Comment:
    251020:
1. Due sesuai charter untuk desain SI? Penyesuaiannya selesai 31 Oktober 2025 (sesuai charter)
2. Pengembangan M1 Oktober s.d. M1 November (sesuai charter)
3. SIT rencana dimulai M2 November 2025 (sesuai charter)</t>
      </text>
    </comment>
    <comment ref="EH121" authorId="37" shapeId="0" xr:uid="{DCE59D13-C574-431C-A115-3FFE01DD88E3}">
      <text>
        <t>[Threaded comment]
Your version of Excel allows you to read this threaded comment; however, any edits to it will get removed if the file is opened in a newer version of Excel. Learn more: https://go.microsoft.com/fwlink/?linkid=870924
Comment:
    251020:
1. Perlu dipastikan rpp telah sesuai dengan tanggal selesainya RBT di M1 Oktober.
2. Informasi WO terbit di M4 Januari
3. Mulai pengembangan di M1 Februari</t>
      </text>
    </comment>
    <comment ref="AR125" authorId="38" shapeId="0" xr:uid="{3ED8D9C5-9B62-4BCE-9291-394322BD0F74}">
      <text>
        <t>[Threaded comment]
Your version of Excel allows you to read this threaded comment; however, any edits to it will get removed if the file is opened in a newer version of Excel. Learn more: https://go.microsoft.com/fwlink/?linkid=870924
Comment:
    Di project charter agustus 2025</t>
      </text>
    </comment>
    <comment ref="EH133" authorId="39" shapeId="0" xr:uid="{38F882EB-88A8-4110-8A7C-79E73E9A2811}">
      <text>
        <t>[Threaded comment]
Your version of Excel allows you to read this threaded comment; however, any edits to it will get removed if the file is opened in a newer version of Excel. Learn more: https://go.microsoft.com/fwlink/?linkid=870924
Comment:
    251020:
1. Koordinasi dengan KMBD dan KPPA untuk tanggal pemenuhannya
2. Koordinasi dengan DAI untuk tanggal pemenuhannya.
note: buat buffer 1 bulan.</t>
      </text>
    </comment>
    <comment ref="R135" authorId="1" shapeId="0" xr:uid="{165F8A06-E529-4C4A-BB49-BD4CBE4E6DF7}">
      <text>
        <r>
          <rPr>
            <b/>
            <sz val="9"/>
            <color indexed="81"/>
            <rFont val="Tahoma"/>
            <family val="2"/>
          </rPr>
          <t>Sri Mulya Hasanah (THI):</t>
        </r>
        <r>
          <rPr>
            <sz val="9"/>
            <color indexed="81"/>
            <rFont val="Tahoma"/>
            <family val="2"/>
          </rPr>
          <t xml:space="preserve">
Soa exclude</t>
        </r>
      </text>
    </comment>
    <comment ref="DY135" authorId="40" shapeId="0" xr:uid="{AC770858-48A5-4EA9-817A-11BF838349D9}">
      <text>
        <t>[Threaded comment]
Your version of Excel allows you to read this threaded comment; however, any edits to it will get removed if the file is opened in a newer version of Excel. Learn more: https://go.microsoft.com/fwlink/?linkid=870924
Comment:
    Dianggap sudah ada persentase karena ada BRD</t>
      </text>
    </comment>
    <comment ref="AN136" authorId="41" shapeId="0" xr:uid="{549C95DF-C47C-4D65-8E4C-3B2B5A39281C}">
      <text>
        <t>[Threaded comment]
Your version of Excel allows you to read this threaded comment; however, any edits to it will get removed if the file is opened in a newer version of Excel. Learn more: https://go.microsoft.com/fwlink/?linkid=870924
Comment:
    Sudah mulai coding, namun jadwal SIT blm final, konfirm SP - PKLD</t>
      </text>
    </comment>
    <comment ref="DA136" authorId="0" shapeId="0" xr:uid="{D2461D2E-1630-4399-AEAB-83E5219A0DAC}">
      <text>
        <r>
          <rPr>
            <b/>
            <sz val="9"/>
            <color indexed="81"/>
            <rFont val="Tahoma"/>
            <family val="2"/>
          </rPr>
          <t>Aya Sophia:</t>
        </r>
        <r>
          <rPr>
            <sz val="9"/>
            <color indexed="81"/>
            <rFont val="Tahoma"/>
            <family val="2"/>
          </rPr>
          <t xml:space="preserve">
1/2 BS desain, OS Implementasi</t>
        </r>
      </text>
    </comment>
    <comment ref="DB136" authorId="0" shapeId="0" xr:uid="{AFB48204-7814-46AB-95B3-C3CE859EB390}">
      <text>
        <r>
          <rPr>
            <b/>
            <sz val="9"/>
            <color indexed="81"/>
            <rFont val="Tahoma"/>
            <family val="2"/>
          </rPr>
          <t>Aya Sophia:</t>
        </r>
        <r>
          <rPr>
            <sz val="9"/>
            <color indexed="81"/>
            <rFont val="Tahoma"/>
            <family val="2"/>
          </rPr>
          <t xml:space="preserve">
1/2 BS desain, OS Implementasi</t>
        </r>
      </text>
    </comment>
    <comment ref="DA137" authorId="0" shapeId="0" xr:uid="{1583B9CB-096E-4F0E-9635-BDD48383AE5C}">
      <text>
        <r>
          <rPr>
            <b/>
            <sz val="9"/>
            <color indexed="81"/>
            <rFont val="Tahoma"/>
            <family val="2"/>
          </rPr>
          <t>Aya Sophia:</t>
        </r>
        <r>
          <rPr>
            <sz val="9"/>
            <color indexed="81"/>
            <rFont val="Tahoma"/>
            <family val="2"/>
          </rPr>
          <t xml:space="preserve">
1/2 BS RPP, OS Implementasi</t>
        </r>
      </text>
    </comment>
    <comment ref="DB137" authorId="0" shapeId="0" xr:uid="{8C737FA7-242F-4508-AC9F-AB8CD019ACC1}">
      <text>
        <r>
          <rPr>
            <b/>
            <sz val="9"/>
            <color indexed="81"/>
            <rFont val="Tahoma"/>
            <family val="2"/>
          </rPr>
          <t>Aya Sophia:</t>
        </r>
        <r>
          <rPr>
            <sz val="9"/>
            <color indexed="81"/>
            <rFont val="Tahoma"/>
            <family val="2"/>
          </rPr>
          <t xml:space="preserve">
1/2 BS RPP, OS Implementasi</t>
        </r>
      </text>
    </comment>
    <comment ref="DC138" authorId="0" shapeId="0" xr:uid="{234436AF-52C7-41A6-9462-8EC0627DCE70}">
      <text>
        <r>
          <rPr>
            <b/>
            <sz val="9"/>
            <color indexed="81"/>
            <rFont val="Tahoma"/>
            <family val="2"/>
          </rPr>
          <t>Aya Sophia:</t>
        </r>
        <r>
          <rPr>
            <sz val="9"/>
            <color indexed="81"/>
            <rFont val="Tahoma"/>
            <family val="2"/>
          </rPr>
          <t xml:space="preserve">
1/2 BS RPP, OS Implementasi</t>
        </r>
      </text>
    </comment>
    <comment ref="DD138" authorId="0" shapeId="0" xr:uid="{C32059ED-4FF1-4D4A-8F65-9A7D03F97CAB}">
      <text>
        <r>
          <rPr>
            <b/>
            <sz val="9"/>
            <color indexed="81"/>
            <rFont val="Tahoma"/>
            <family val="2"/>
          </rPr>
          <t>Aya Sophia:</t>
        </r>
        <r>
          <rPr>
            <sz val="9"/>
            <color indexed="81"/>
            <rFont val="Tahoma"/>
            <family val="2"/>
          </rPr>
          <t xml:space="preserve">
1/2 BS RPP, OS Implementasi</t>
        </r>
      </text>
    </comment>
    <comment ref="DE138" authorId="0" shapeId="0" xr:uid="{73DF4058-0688-45DF-BFE9-9DFF69B9010A}">
      <text>
        <r>
          <rPr>
            <b/>
            <sz val="9"/>
            <color indexed="81"/>
            <rFont val="Tahoma"/>
            <family val="2"/>
          </rPr>
          <t>Aya Sophia:</t>
        </r>
        <r>
          <rPr>
            <sz val="9"/>
            <color indexed="81"/>
            <rFont val="Tahoma"/>
            <family val="2"/>
          </rPr>
          <t xml:space="preserve">
1/2 BS RPP, OS Implementasi</t>
        </r>
      </text>
    </comment>
    <comment ref="DF138" authorId="0" shapeId="0" xr:uid="{24A99CC3-0BD9-4643-ABA3-FBC33619A25E}">
      <text>
        <r>
          <rPr>
            <b/>
            <sz val="9"/>
            <color indexed="81"/>
            <rFont val="Tahoma"/>
            <family val="2"/>
          </rPr>
          <t>Aya Sophia:</t>
        </r>
        <r>
          <rPr>
            <sz val="9"/>
            <color indexed="81"/>
            <rFont val="Tahoma"/>
            <family val="2"/>
          </rPr>
          <t xml:space="preserve">
1/2 BS RPP, OS Implementasi</t>
        </r>
      </text>
    </comment>
    <comment ref="I139" authorId="1" shapeId="0" xr:uid="{B6AE2458-F709-4BD2-A1DF-EB5C0ECBA057}">
      <text>
        <r>
          <rPr>
            <b/>
            <sz val="9"/>
            <color indexed="81"/>
            <rFont val="Tahoma"/>
            <family val="2"/>
          </rPr>
          <t>Sri Mulya Hasanah (THI):</t>
        </r>
        <r>
          <rPr>
            <sz val="9"/>
            <color indexed="81"/>
            <rFont val="Tahoma"/>
            <family val="2"/>
          </rPr>
          <t xml:space="preserve">
nama di pdf : Enhancement NCP fungsi rekalkulasi otomatis transaksi OMV</t>
        </r>
      </text>
    </comment>
    <comment ref="DC139" authorId="0" shapeId="0" xr:uid="{E6A7E497-15C7-4469-983B-050ADFC658A3}">
      <text>
        <r>
          <rPr>
            <b/>
            <sz val="9"/>
            <color indexed="81"/>
            <rFont val="Tahoma"/>
            <family val="2"/>
          </rPr>
          <t>Aya Sophia:</t>
        </r>
        <r>
          <rPr>
            <sz val="9"/>
            <color indexed="81"/>
            <rFont val="Tahoma"/>
            <family val="2"/>
          </rPr>
          <t xml:space="preserve">
1/2 BS RPP, OS Implementasi</t>
        </r>
      </text>
    </comment>
    <comment ref="DD139" authorId="0" shapeId="0" xr:uid="{0036B45D-1D59-4786-A81D-E1AC97009CD4}">
      <text>
        <r>
          <rPr>
            <b/>
            <sz val="9"/>
            <color indexed="81"/>
            <rFont val="Tahoma"/>
            <family val="2"/>
          </rPr>
          <t>Aya Sophia:</t>
        </r>
        <r>
          <rPr>
            <sz val="9"/>
            <color indexed="81"/>
            <rFont val="Tahoma"/>
            <family val="2"/>
          </rPr>
          <t xml:space="preserve">
1/2 BS RPP, OS Implementasi</t>
        </r>
      </text>
    </comment>
    <comment ref="DE139" authorId="0" shapeId="0" xr:uid="{93C50B12-8022-4AB9-A2A6-5311756F38E6}">
      <text>
        <r>
          <rPr>
            <b/>
            <sz val="9"/>
            <color indexed="81"/>
            <rFont val="Tahoma"/>
            <family val="2"/>
          </rPr>
          <t>Aya Sophia:</t>
        </r>
        <r>
          <rPr>
            <sz val="9"/>
            <color indexed="81"/>
            <rFont val="Tahoma"/>
            <family val="2"/>
          </rPr>
          <t xml:space="preserve">
1/2 BS RPP, OS Implementasi</t>
        </r>
      </text>
    </comment>
    <comment ref="DF139" authorId="0" shapeId="0" xr:uid="{92A7F490-F65E-464B-9F76-D1CC7AF0B35B}">
      <text>
        <r>
          <rPr>
            <b/>
            <sz val="9"/>
            <color indexed="81"/>
            <rFont val="Tahoma"/>
            <family val="2"/>
          </rPr>
          <t>Aya Sophia:</t>
        </r>
        <r>
          <rPr>
            <sz val="9"/>
            <color indexed="81"/>
            <rFont val="Tahoma"/>
            <family val="2"/>
          </rPr>
          <t xml:space="preserve">
1/2 BS RPP, OS Implementasi</t>
        </r>
      </text>
    </comment>
    <comment ref="AN140" authorId="42" shapeId="0" xr:uid="{77DC21A7-DEE1-465E-AEE6-AD3149865278}">
      <text>
        <t>[Threaded comment]
Your version of Excel allows you to read this threaded comment; however, any edits to it will get removed if the file is opened in a newer version of Excel. Learn more: https://go.microsoft.com/fwlink/?linkid=870924
Comment:
    Jadwal ini sebelum pengadaan, potensi akan berubah sesuai project charter</t>
      </text>
    </comment>
    <comment ref="DA140" authorId="0" shapeId="0" xr:uid="{8C61E57B-FCD3-4CFD-811E-136CCA5F08C0}">
      <text>
        <r>
          <rPr>
            <b/>
            <sz val="9"/>
            <color indexed="81"/>
            <rFont val="Tahoma"/>
            <family val="2"/>
          </rPr>
          <t>Aya Sophia:</t>
        </r>
        <r>
          <rPr>
            <sz val="9"/>
            <color indexed="81"/>
            <rFont val="Tahoma"/>
            <family val="2"/>
          </rPr>
          <t xml:space="preserve">
1/2 BS desain, OS implementasi</t>
        </r>
      </text>
    </comment>
    <comment ref="DB140" authorId="0" shapeId="0" xr:uid="{D9C3881E-AF2F-4053-8A1D-8EFAEA4F50AE}">
      <text>
        <r>
          <rPr>
            <b/>
            <sz val="9"/>
            <color indexed="81"/>
            <rFont val="Tahoma"/>
            <family val="2"/>
          </rPr>
          <t>Aya Sophia:</t>
        </r>
        <r>
          <rPr>
            <sz val="9"/>
            <color indexed="81"/>
            <rFont val="Tahoma"/>
            <family val="2"/>
          </rPr>
          <t xml:space="preserve">
1/2 BS desain, OS implementasi</t>
        </r>
      </text>
    </comment>
    <comment ref="EJ140" authorId="43" shapeId="0" xr:uid="{D5E9116A-A39D-4B3A-85E0-0A73A0EF7CC3}">
      <text>
        <t>[Threaded comment]
Your version of Excel allows you to read this threaded comment; however, any edits to it will get removed if the file is opened in a newer version of Excel. Learn more: https://go.microsoft.com/fwlink/?linkid=870924
Comment:
    03122024 : Berdasarkan konsinyering KPPA 28-Nov-24, Target implementasi di 31-Jul-25</t>
      </text>
    </comment>
    <comment ref="DC141" authorId="0" shapeId="0" xr:uid="{CB8E3A05-819F-4EEB-B66D-536EBDDBF898}">
      <text>
        <r>
          <rPr>
            <b/>
            <sz val="9"/>
            <color indexed="81"/>
            <rFont val="Tahoma"/>
            <family val="2"/>
          </rPr>
          <t>Aya Sophia:</t>
        </r>
        <r>
          <rPr>
            <sz val="9"/>
            <color indexed="81"/>
            <rFont val="Tahoma"/>
            <family val="2"/>
          </rPr>
          <t xml:space="preserve">
1/2 BS desain, OS implementasi</t>
        </r>
      </text>
    </comment>
    <comment ref="EH141" authorId="44" shapeId="0" xr:uid="{EDC176EC-2E81-4DCC-ABAB-3151F6E33D0C}">
      <text>
        <t>[Threaded comment]
Your version of Excel allows you to read this threaded comment; however, any edits to it will get removed if the file is opened in a newer version of Excel. Learn more: https://go.microsoft.com/fwlink/?linkid=870924
Comment:
    251022:
1. Konfirmasi due penyampaian P.06? 31 Oktober 2025</t>
      </text>
    </comment>
    <comment ref="DA142" authorId="0" shapeId="0" xr:uid="{BBF67CA1-80C0-4783-9E2A-50F8CE06FEBD}">
      <text>
        <r>
          <rPr>
            <b/>
            <sz val="9"/>
            <color indexed="81"/>
            <rFont val="Tahoma"/>
            <family val="2"/>
          </rPr>
          <t>Aya Sophia:</t>
        </r>
        <r>
          <rPr>
            <sz val="9"/>
            <color indexed="81"/>
            <rFont val="Tahoma"/>
            <family val="2"/>
          </rPr>
          <t xml:space="preserve">
1/2 BS Surat Tugas, OS implementasi</t>
        </r>
      </text>
    </comment>
    <comment ref="DB142" authorId="0" shapeId="0" xr:uid="{4F66E910-FC25-43CE-829D-B69FA0B11810}">
      <text>
        <r>
          <rPr>
            <b/>
            <sz val="9"/>
            <color indexed="81"/>
            <rFont val="Tahoma"/>
            <family val="2"/>
          </rPr>
          <t>Aya Sophia:</t>
        </r>
        <r>
          <rPr>
            <sz val="9"/>
            <color indexed="81"/>
            <rFont val="Tahoma"/>
            <family val="2"/>
          </rPr>
          <t xml:space="preserve">
1/2 BS Surat Tugas, OS implementasi</t>
        </r>
      </text>
    </comment>
    <comment ref="DC144" authorId="0" shapeId="0" xr:uid="{6523E345-281D-47A4-BEDC-9EBD33C15E7C}">
      <text>
        <r>
          <rPr>
            <b/>
            <sz val="9"/>
            <color indexed="81"/>
            <rFont val="Tahoma"/>
            <family val="2"/>
          </rPr>
          <t>Aya Sophia:</t>
        </r>
        <r>
          <rPr>
            <sz val="9"/>
            <color indexed="81"/>
            <rFont val="Tahoma"/>
            <family val="2"/>
          </rPr>
          <t xml:space="preserve">
1/2 BS Surat Tugas, OS implementasi</t>
        </r>
      </text>
    </comment>
    <comment ref="DD144" authorId="0" shapeId="0" xr:uid="{E58B39F6-BB50-4071-8713-42B28440C72E}">
      <text>
        <r>
          <rPr>
            <b/>
            <sz val="9"/>
            <color indexed="81"/>
            <rFont val="Tahoma"/>
            <family val="2"/>
          </rPr>
          <t>Aya Sophia:</t>
        </r>
        <r>
          <rPr>
            <sz val="9"/>
            <color indexed="81"/>
            <rFont val="Tahoma"/>
            <family val="2"/>
          </rPr>
          <t xml:space="preserve">
1/2 BS Surat Tugas, OS implementasi</t>
        </r>
      </text>
    </comment>
    <comment ref="DE144" authorId="0" shapeId="0" xr:uid="{14B4F0A7-E0A2-4B5E-9326-655401468B8C}">
      <text>
        <r>
          <rPr>
            <b/>
            <sz val="9"/>
            <color indexed="81"/>
            <rFont val="Tahoma"/>
            <family val="2"/>
          </rPr>
          <t>Aya Sophia:</t>
        </r>
        <r>
          <rPr>
            <sz val="9"/>
            <color indexed="81"/>
            <rFont val="Tahoma"/>
            <family val="2"/>
          </rPr>
          <t xml:space="preserve">
1/2 BS Surat Tugas, OS implementasi</t>
        </r>
      </text>
    </comment>
    <comment ref="DF144" authorId="0" shapeId="0" xr:uid="{EC2811BE-5793-4745-8709-A575A24883A2}">
      <text>
        <r>
          <rPr>
            <b/>
            <sz val="9"/>
            <color indexed="81"/>
            <rFont val="Tahoma"/>
            <family val="2"/>
          </rPr>
          <t>Aya Sophia:</t>
        </r>
        <r>
          <rPr>
            <sz val="9"/>
            <color indexed="81"/>
            <rFont val="Tahoma"/>
            <family val="2"/>
          </rPr>
          <t xml:space="preserve">
1/2 BS Surat Tugas, OS implementasi</t>
        </r>
      </text>
    </comment>
    <comment ref="EH144" authorId="45" shapeId="0" xr:uid="{1A00EFF8-E159-4D51-8271-5A1C8129C1F4}">
      <text>
        <t>[Threaded comment]
Your version of Excel allows you to read this threaded comment; however, any edits to it will get removed if the file is opened in a newer version of Excel. Learn more: https://go.microsoft.com/fwlink/?linkid=870924
Comment:
    6. sesuai dengan CAB meeting pada tanggal 2 Januari 2025, terdapat concern jika tidak dilakukan test login oleh bank peserta (Issue DRP pada deployment ditahun sebelumnya) dikarenakan proses deployment berdampak pada RTGS dan SSSS . karena bank peserta belum terinfo terkait adanya enhancement pada sisi ETP, dari DPSP menyarankan untuk kembali di undur ke tanggal 10 Januari 2025 agar info yang diberikan kepada bank peserta tidak mendadak.</t>
      </text>
    </comment>
    <comment ref="I145" authorId="1" shapeId="0" xr:uid="{C3D7099C-9C1B-40AA-A499-254371A7472B}">
      <text>
        <r>
          <rPr>
            <b/>
            <sz val="9"/>
            <color indexed="81"/>
            <rFont val="Tahoma"/>
            <family val="2"/>
          </rPr>
          <t>Sri Mulya Hasanah (THI):</t>
        </r>
        <r>
          <rPr>
            <sz val="9"/>
            <color indexed="81"/>
            <rFont val="Tahoma"/>
            <family val="2"/>
          </rPr>
          <t xml:space="preserve">
Sistem pelaporan non bank pada ANTASENA : Pelaporan SK SP Tahap 2
</t>
        </r>
      </text>
    </comment>
    <comment ref="AN145" authorId="46" shapeId="0" xr:uid="{263502BF-F2B5-40C2-A249-E485CA74686A}">
      <text>
        <t>[Threaded comment]
Your version of Excel allows you to read this threaded comment; however, any edits to it will get removed if the file is opened in a newer version of Excel. Learn more: https://go.microsoft.com/fwlink/?linkid=870924
Comment:
    Belum ada timeline yg disepakati</t>
      </text>
    </comment>
    <comment ref="EH145" authorId="0" shapeId="0" xr:uid="{C19A5BD7-0A67-46CB-88C2-8B58760DC123}">
      <text>
        <r>
          <rPr>
            <b/>
            <sz val="9"/>
            <color indexed="81"/>
            <rFont val="Tahoma"/>
            <family val="2"/>
          </rPr>
          <t>Aya Sophia:</t>
        </r>
        <r>
          <rPr>
            <sz val="9"/>
            <color indexed="81"/>
            <rFont val="Tahoma"/>
            <family val="2"/>
          </rPr>
          <t xml:space="preserve">
ada kebutuhan industrial test, tidak bisa go live 31 Jul 2025, potensi mundur go live sekitar 2 minggu</t>
        </r>
      </text>
    </comment>
    <comment ref="EJ145" authorId="23" shapeId="0" xr:uid="{571C350B-0B22-4824-81C0-649F0610E6DD}">
      <text>
        <r>
          <rPr>
            <b/>
            <sz val="9"/>
            <color indexed="81"/>
            <rFont val="Tahoma"/>
            <family val="2"/>
          </rPr>
          <t>Mochammad Misbahus Surur (PKWT):</t>
        </r>
        <r>
          <rPr>
            <sz val="9"/>
            <color indexed="81"/>
            <rFont val="Tahoma"/>
            <family val="2"/>
          </rPr>
          <t xml:space="preserve">
28102024 : Target Implementasi atas kesepakatan bersama satker bisnis namun BRD masih on progress</t>
        </r>
      </text>
    </comment>
    <comment ref="R148" authorId="1" shapeId="0" xr:uid="{430B3C98-02C3-45BB-A6D4-B5475655DEF3}">
      <text>
        <r>
          <rPr>
            <b/>
            <sz val="9"/>
            <color indexed="81"/>
            <rFont val="Tahoma"/>
            <family val="2"/>
          </rPr>
          <t>Sri Mulya Hasanah (THI):</t>
        </r>
        <r>
          <rPr>
            <sz val="9"/>
            <color indexed="81"/>
            <rFont val="Tahoma"/>
            <family val="2"/>
          </rPr>
          <t xml:space="preserve">
Soa exclude
</t>
        </r>
      </text>
    </comment>
    <comment ref="AM148" authorId="47" shapeId="0" xr:uid="{5A7AF953-2264-4D43-BDD5-2A455B12AB51}">
      <text>
        <t>[Threaded comment]
Your version of Excel allows you to read this threaded comment; however, any edits to it will get removed if the file is opened in a newer version of Excel. Learn more: https://go.microsoft.com/fwlink/?linkid=870924
Comment:
    TBD bersama KMBD</t>
      </text>
    </comment>
    <comment ref="R149" authorId="1" shapeId="0" xr:uid="{3F4DA6DD-8460-4EAF-B708-1ED0FC6F9071}">
      <text>
        <r>
          <rPr>
            <b/>
            <sz val="9"/>
            <color indexed="81"/>
            <rFont val="Tahoma"/>
            <family val="2"/>
          </rPr>
          <t>Sri Mulya Hasanah (THI):</t>
        </r>
        <r>
          <rPr>
            <sz val="9"/>
            <color indexed="81"/>
            <rFont val="Tahoma"/>
            <family val="2"/>
          </rPr>
          <t xml:space="preserve">
Soa exclude
</t>
        </r>
      </text>
    </comment>
    <comment ref="I153" authorId="1" shapeId="0" xr:uid="{325BB6A1-5EB4-471E-9F75-45A5DAD19549}">
      <text>
        <r>
          <rPr>
            <b/>
            <sz val="9"/>
            <color indexed="81"/>
            <rFont val="Tahoma"/>
            <family val="2"/>
          </rPr>
          <t>Sri Mulya Hasanah (THI):</t>
        </r>
        <r>
          <rPr>
            <sz val="9"/>
            <color indexed="81"/>
            <rFont val="Tahoma"/>
            <family val="2"/>
          </rPr>
          <t xml:space="preserve">
di pdf kode proyek : P-88</t>
        </r>
      </text>
    </comment>
    <comment ref="I154" authorId="1" shapeId="0" xr:uid="{75BF7B1C-C970-40AE-99B5-113B647AD261}">
      <text>
        <r>
          <rPr>
            <b/>
            <sz val="9"/>
            <color indexed="81"/>
            <rFont val="Tahoma"/>
            <family val="2"/>
          </rPr>
          <t>Sri Mulya Hasanah (THI):</t>
        </r>
        <r>
          <rPr>
            <sz val="9"/>
            <color indexed="81"/>
            <rFont val="Tahoma"/>
            <family val="2"/>
          </rPr>
          <t xml:space="preserve">
di pdf kode proyek : P-89</t>
        </r>
      </text>
    </comment>
    <comment ref="I155" authorId="1" shapeId="0" xr:uid="{BE783CEE-3557-432F-9207-911BAE6705B0}">
      <text>
        <r>
          <rPr>
            <b/>
            <sz val="9"/>
            <color indexed="81"/>
            <rFont val="Tahoma"/>
            <family val="2"/>
          </rPr>
          <t>Sri Mulya Hasanah (THI):</t>
        </r>
        <r>
          <rPr>
            <sz val="9"/>
            <color indexed="81"/>
            <rFont val="Tahoma"/>
            <family val="2"/>
          </rPr>
          <t xml:space="preserve">
kode proyek pdf : P-90</t>
        </r>
      </text>
    </comment>
    <comment ref="H156" authorId="1" shapeId="0" xr:uid="{A92B48DC-871B-47EB-AE9B-E044144DE2BE}">
      <text>
        <r>
          <rPr>
            <b/>
            <sz val="9"/>
            <color indexed="81"/>
            <rFont val="Tahoma"/>
            <family val="2"/>
          </rPr>
          <t>Sri Mulya Hasanah (THI):</t>
        </r>
        <r>
          <rPr>
            <sz val="9"/>
            <color indexed="81"/>
            <rFont val="Tahoma"/>
            <family val="2"/>
          </rPr>
          <t xml:space="preserve">
di pdf nama : migrasi SKNBI kode proyek : P-91</t>
        </r>
      </text>
    </comment>
    <comment ref="I156" authorId="1" shapeId="0" xr:uid="{8EAA1648-A00E-41C7-B5FA-BC0B3C79D0E5}">
      <text>
        <r>
          <rPr>
            <b/>
            <sz val="9"/>
            <color indexed="81"/>
            <rFont val="Tahoma"/>
            <family val="2"/>
          </rPr>
          <t>Sri Mulya Hasanah (THI):</t>
        </r>
        <r>
          <rPr>
            <sz val="9"/>
            <color indexed="81"/>
            <rFont val="Tahoma"/>
            <family val="2"/>
          </rPr>
          <t xml:space="preserve">
di pdf nama : migrasi SKNBI kode proyek : P-91</t>
        </r>
      </text>
    </comment>
    <comment ref="I157" authorId="1" shapeId="0" xr:uid="{10F53F2F-5090-4C8D-944E-F9B6936EA611}">
      <text>
        <r>
          <rPr>
            <b/>
            <sz val="9"/>
            <color indexed="81"/>
            <rFont val="Tahoma"/>
            <family val="2"/>
          </rPr>
          <t>Sri Mulya Hasanah (THI):</t>
        </r>
        <r>
          <rPr>
            <sz val="9"/>
            <color indexed="81"/>
            <rFont val="Tahoma"/>
            <family val="2"/>
          </rPr>
          <t xml:space="preserve">
pdf kode proyek : P-92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Aya Sophia</author>
    <author>tc={99BA112C-63C0-463C-89A0-F6FD6BA4AF83}</author>
    <author>Sri Mulya Hasanah (THI)</author>
  </authors>
  <commentList>
    <comment ref="DI5" authorId="0" shapeId="0" xr:uid="{3FA53919-B46E-4D3D-853D-0693E61F0C37}">
      <text>
        <r>
          <rPr>
            <b/>
            <sz val="9"/>
            <color indexed="81"/>
            <rFont val="Tahoma"/>
            <family val="2"/>
          </rPr>
          <t>Aya Sophia:</t>
        </r>
        <r>
          <rPr>
            <sz val="9"/>
            <color indexed="81"/>
            <rFont val="Tahoma"/>
            <family val="2"/>
          </rPr>
          <t xml:space="preserve">
31/10 info KMBD di EKB deploy Des 2024 agar selesai di 2024
timeline proj cahter sebelumnya Juni 2024, kemudian proj charter diupdate menjadi Nov'24
</t>
        </r>
      </text>
    </comment>
    <comment ref="D34" authorId="1" shapeId="0" xr:uid="{99BA112C-63C0-463C-89A0-F6FD6BA4AF83}">
      <text>
        <t>[Threaded comment]
Your version of Excel allows you to read this threaded comment; however, any edits to it will get removed if the file is opened in a newer version of Excel. Learn more: https://go.microsoft.com/fwlink/?linkid=870924
Comment:
    x</t>
      </text>
    </comment>
    <comment ref="D42" authorId="2" shapeId="0" xr:uid="{B053B93C-12B0-4CBA-A629-35FF6063C075}">
      <text>
        <r>
          <rPr>
            <b/>
            <sz val="9"/>
            <color indexed="81"/>
            <rFont val="Tahoma"/>
            <family val="2"/>
          </rPr>
          <t>Sri Mulya Hasanah (THI):</t>
        </r>
        <r>
          <rPr>
            <sz val="9"/>
            <color indexed="81"/>
            <rFont val="Tahoma"/>
            <family val="2"/>
          </rPr>
          <t xml:space="preserve">
pdf : NP-35</t>
        </r>
      </text>
    </comment>
    <comment ref="D43" authorId="2" shapeId="0" xr:uid="{C59C9F73-6098-4EA4-9729-6583D11206C5}">
      <text>
        <r>
          <rPr>
            <b/>
            <sz val="9"/>
            <color indexed="81"/>
            <rFont val="Tahoma"/>
            <family val="2"/>
          </rPr>
          <t>Sri Mulya Hasanah (THI):</t>
        </r>
        <r>
          <rPr>
            <sz val="9"/>
            <color indexed="81"/>
            <rFont val="Tahoma"/>
            <family val="2"/>
          </rPr>
          <t xml:space="preserve">
PDf : NP-35</t>
        </r>
      </text>
    </comment>
    <comment ref="D49" authorId="2" shapeId="0" xr:uid="{0E355413-4C38-4140-BFE5-36195354DAF7}">
      <text>
        <r>
          <rPr>
            <b/>
            <sz val="9"/>
            <color indexed="81"/>
            <rFont val="Tahoma"/>
            <family val="2"/>
          </rPr>
          <t>Sri Mulya Hasanah (THI):</t>
        </r>
        <r>
          <rPr>
            <sz val="9"/>
            <color indexed="81"/>
            <rFont val="Tahoma"/>
            <family val="2"/>
          </rPr>
          <t xml:space="preserve">
nama pdf : konfigurasi penyempurnaan notifikasi flow proses pemeriksaan pada wbs.</t>
        </r>
      </text>
    </comment>
    <comment ref="C50" authorId="2" shapeId="0" xr:uid="{4D9205E1-8DB2-441B-8D86-09DE0D0EDC1F}">
      <text>
        <r>
          <rPr>
            <b/>
            <sz val="9"/>
            <color indexed="81"/>
            <rFont val="Tahoma"/>
            <family val="2"/>
          </rPr>
          <t>Sri Mulya Hasanah (THI):</t>
        </r>
        <r>
          <rPr>
            <sz val="9"/>
            <color indexed="81"/>
            <rFont val="Tahoma"/>
            <family val="2"/>
          </rPr>
          <t xml:space="preserve">
tidak ada di pdf penyesuain RIVIBI
</t>
        </r>
      </text>
    </comment>
    <comment ref="D50" authorId="2" shapeId="0" xr:uid="{33A87D87-9BC8-4522-8AC3-110899C27067}">
      <text>
        <r>
          <rPr>
            <b/>
            <sz val="9"/>
            <color indexed="81"/>
            <rFont val="Tahoma"/>
            <family val="2"/>
          </rPr>
          <t>Sri Mulya Hasanah (THI):</t>
        </r>
        <r>
          <rPr>
            <sz val="9"/>
            <color indexed="81"/>
            <rFont val="Tahoma"/>
            <family val="2"/>
          </rPr>
          <t xml:space="preserve">
tidak ada di pdf penyesuain RIVIBI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tc={E332629A-412E-4431-A306-403B36A31134}</author>
    <author>tc={D15FC7A8-0816-41A4-9378-A9FF6CFECF60}</author>
    <author>tc={38742DB3-F91D-4981-A5E0-CE36B040C5BD}</author>
  </authors>
  <commentList>
    <comment ref="FT3" authorId="0" shapeId="0" xr:uid="{E332629A-412E-4431-A306-403B36A31134}">
      <text>
        <t>[Threaded comment]
Your version of Excel allows you to read this threaded comment; however, any edits to it will get removed if the file is opened in a newer version of Excel. Learn more: https://go.microsoft.com/fwlink/?linkid=870924
Comment:
    Digabung ke P-30
Reply:
    251022:
1. Informasikan due date untuk RBT, RPP, KAK, RPP?
Reply:
    RBT sudah di sirkular per tgl 7 Oktober 2025
Untuk KAK dan RPP, informasi yang baru didapatkan akhir TW 4. Detailnya masih belum dapat, akan coba di follow up kembali</t>
      </text>
    </comment>
    <comment ref="FT4" authorId="1" shapeId="0" xr:uid="{D15FC7A8-0816-41A4-9378-A9FF6CFECF60}">
      <text>
        <t>[Threaded comment]
Your version of Excel allows you to read this threaded comment; however, any edits to it will get removed if the file is opened in a newer version of Excel. Learn more: https://go.microsoft.com/fwlink/?linkid=870924
Comment:
    251022:
1. Due date penyelesaian instalasai DKU dan SPU
Reply:
    Dipindah ke P-34</t>
      </text>
    </comment>
    <comment ref="FT5" authorId="2" shapeId="0" xr:uid="{38742DB3-F91D-4981-A5E0-CE36B040C5BD}">
      <text>
        <t>[Threaded comment]
Your version of Excel allows you to read this threaded comment; however, any edits to it will get removed if the file is opened in a newer version of Excel. Learn more: https://go.microsoft.com/fwlink/?linkid=870924
Comment:
    251020:
1. Due date penyelesaian hasil QA? M2 Oktober 2025 (plan awal), target baru 24 Oktober 2025.
Reply:
    Digabung ke P-34
Reply:
    Dari tiap uker dari Satker sudah sirkular per tgl 22 Oktober 2025, sisa sirkular dari Ka Grup GPID-DPID dan GPPD-DPID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Muhamad Rifki Rizaldi (THI)</author>
    <author>tc={36D6C32F-3CB6-464F-A1F4-0294198B7083}</author>
    <author>tc={5A058837-28D9-4338-AC8D-2BD5A06DBC4F}</author>
  </authors>
  <commentList>
    <comment ref="R18" authorId="0" shapeId="0" xr:uid="{C80B0670-E501-4A43-A07A-5A531BA7FCBD}">
      <text>
        <r>
          <rPr>
            <sz val="11"/>
            <color theme="1"/>
            <rFont val="Aptos Narrow"/>
            <family val="2"/>
            <scheme val="minor"/>
          </rPr>
          <t>Muhamad Rifki Rizaldi (THI):
Maksimal memo ke MKA terkait pembelian barang</t>
        </r>
      </text>
    </comment>
    <comment ref="DR34" authorId="1" shapeId="0" xr:uid="{36D6C32F-3CB6-464F-A1F4-0294198B7083}">
      <text>
        <t>[Threaded comment]
Your version of Excel allows you to read this threaded comment; however, any edits to it will get removed if the file is opened in a newer version of Excel. Learn more: https://go.microsoft.com/fwlink/?linkid=870924
Comment:
    251022:
1. Konfirmasi BAPB dan BAI due date-nya? 24 Oktober 2025
Reply:
    BAPB &amp; BAI: 28 Oktober 2025</t>
      </text>
    </comment>
    <comment ref="DR35" authorId="2" shapeId="0" xr:uid="{5A058837-28D9-4338-AC8D-2BD5A06DBC4F}">
      <text>
        <t>[Threaded comment]
Your version of Excel allows you to read this threaded comment; however, any edits to it will get removed if the file is opened in a newer version of Excel. Learn more: https://go.microsoft.com/fwlink/?linkid=870924
Comment:
    251022:
1. konfirmasi due penyelesaian laporan dan BA? Propose di 24 Oktober 2025</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Sri Mulya Hasanah (THI)</author>
  </authors>
  <commentList>
    <comment ref="B51" authorId="0" shapeId="0" xr:uid="{4FD232DB-D016-4CC3-B0C4-4950182F7D25}">
      <text>
        <r>
          <rPr>
            <b/>
            <sz val="9"/>
            <color indexed="81"/>
            <rFont val="Tahoma"/>
            <family val="2"/>
          </rPr>
          <t>Sri Mulya Hasanah (THI):</t>
        </r>
        <r>
          <rPr>
            <sz val="9"/>
            <color indexed="81"/>
            <rFont val="Tahoma"/>
            <family val="2"/>
          </rPr>
          <t xml:space="preserve">
di pdf nama : migrasi SKNBI kode proyek : P-91</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<sst xmlns="http://schemas.openxmlformats.org/spreadsheetml/2006/main" count="6483" uniqueCount="1643">
  <si>
    <t>WG-1</t>
  </si>
  <si>
    <t>Surrounding BIFAST Multiyears</t>
  </si>
  <si>
    <t>JAN</t>
  </si>
  <si>
    <t>FEB</t>
  </si>
  <si>
    <t>MAR</t>
  </si>
  <si>
    <t>APR</t>
  </si>
  <si>
    <t>MEI</t>
  </si>
  <si>
    <t>JUN</t>
  </si>
  <si>
    <t>JUL</t>
  </si>
  <si>
    <t>AUG</t>
  </si>
  <si>
    <t>SEP</t>
  </si>
  <si>
    <t>OCT</t>
  </si>
  <si>
    <t>NOV</t>
  </si>
  <si>
    <t>DEC</t>
  </si>
  <si>
    <t>Surrounding BIFAST 2026</t>
  </si>
  <si>
    <t>WG-2</t>
  </si>
  <si>
    <t>Surrounding BI-RTGS Gen III (Multiyears)</t>
  </si>
  <si>
    <t>Surrounding BI-RTGS Gen III 2026</t>
  </si>
  <si>
    <t>Transaksi Repo SVBI dan SUVBI valas (Tahap 1) 2026</t>
  </si>
  <si>
    <t>Transaksi Repo SVBI dan SUVBI Rupiah (CCR - Tahap 2) Multiyears</t>
  </si>
  <si>
    <t>Transaksi Repo SVBI dan SUVBI Rupiah (CCR - Tahap 2) 2026</t>
  </si>
  <si>
    <t>CBS Multiyears</t>
  </si>
  <si>
    <t>CBS 2026</t>
  </si>
  <si>
    <t>Target</t>
  </si>
  <si>
    <t>Pengembangan Product OM Pro Market (Rupiah dan Valas) Multiyears</t>
  </si>
  <si>
    <t>AVERAGE</t>
  </si>
  <si>
    <t>Penambahan Portfolio SBN AC/HTM pada transaksi OM</t>
  </si>
  <si>
    <t>Reopening SRBI - Tahap 2 (Searchable collateral)</t>
  </si>
  <si>
    <t>Penerbitan Bank Indonesia Floating Rate Note (BI-FRN)</t>
  </si>
  <si>
    <t>Integrasi dengan Market Operator untuk Transaksi OM dg Agent Bank</t>
  </si>
  <si>
    <t>Perluasan investor SUKBI Non Bank</t>
  </si>
  <si>
    <t xml:space="preserve">Transaksi Repo SVBI dan SUVBI valas (Tahap 1) </t>
  </si>
  <si>
    <t xml:space="preserve">Transaksi Repo SVBI dan SUVBI Rupiah (CCR - Tahap 2) </t>
  </si>
  <si>
    <t>Transaksi DNDF Syariah melalui PDs</t>
  </si>
  <si>
    <t>Integrasi BI-ETP dan CMS-OM</t>
  </si>
  <si>
    <t xml:space="preserve">Penerbitan Bank Indonesia Floating Rate Note (BI-FRN) pengembangan Alternate ETP </t>
  </si>
  <si>
    <t>Pengembangan Infrastruktur Penguatan Pasar Obligasi Korporasi dan EBA Tahap 1</t>
  </si>
  <si>
    <t>Pengembangan Infrastruktur Penguatan Pasar Obligasi Korporasi dan EBA Tahap 2</t>
  </si>
  <si>
    <t>Securities Borrowing Lending BI</t>
  </si>
  <si>
    <t>Capturing Matchmaking OIS</t>
  </si>
  <si>
    <t>EDP Capturing Pricing - Pricing Calculation &amp; Dissemination: Perluasan kurs acuan non-USD/IDR (AED/IDR)</t>
  </si>
  <si>
    <t>Multi</t>
  </si>
  <si>
    <t>BI_WEB</t>
  </si>
  <si>
    <t>BI-WEB</t>
  </si>
  <si>
    <t>BIMA</t>
  </si>
  <si>
    <t>MHE-IS</t>
  </si>
  <si>
    <t>Surrounding MHE-IS: BI-SILK SPU</t>
  </si>
  <si>
    <t>Surrounding MHE-IS: ERP SPU</t>
  </si>
  <si>
    <t>Surrounding MHE-IS: SOA SPU</t>
  </si>
  <si>
    <t>Surrounding MHE-IS: CBS SPU</t>
  </si>
  <si>
    <t>Surrounding MHE-IS: BI-SILK DKU</t>
  </si>
  <si>
    <t>Surrounding MHE-IS: ERP DKU</t>
  </si>
  <si>
    <t>Surrounding MHE-IS: SOA DKU</t>
  </si>
  <si>
    <t xml:space="preserve">DCP HRM </t>
  </si>
  <si>
    <t>DCP DCP Integrasi HRM</t>
  </si>
  <si>
    <t>dashboard</t>
  </si>
  <si>
    <t>Pilar RIVIBI</t>
  </si>
  <si>
    <t xml:space="preserve">Kategori </t>
  </si>
  <si>
    <t>No</t>
  </si>
  <si>
    <t>No. Sub</t>
  </si>
  <si>
    <t xml:space="preserve"> Nama Proyek                                           </t>
  </si>
  <si>
    <t>Nama Proyek Baru</t>
  </si>
  <si>
    <t xml:space="preserve">Deliverables (Sub Proyek) </t>
  </si>
  <si>
    <t>Start Proyek</t>
  </si>
  <si>
    <t>End Proyek</t>
  </si>
  <si>
    <t>Stratifikasi Aset</t>
  </si>
  <si>
    <t>Leveling Aset TD</t>
  </si>
  <si>
    <t>DMP RBT</t>
  </si>
  <si>
    <t>PIC Satker</t>
  </si>
  <si>
    <t>Portofolio</t>
  </si>
  <si>
    <t xml:space="preserve">Stream </t>
  </si>
  <si>
    <t>Aplikasi</t>
  </si>
  <si>
    <t>Tahapan</t>
  </si>
  <si>
    <t>Progress</t>
  </si>
  <si>
    <t>PM</t>
  </si>
  <si>
    <t>% Penyelesaian</t>
  </si>
  <si>
    <t>Target RBT</t>
  </si>
  <si>
    <t>Target Implementasi</t>
  </si>
  <si>
    <t>KAK</t>
  </si>
  <si>
    <t>Revisit</t>
  </si>
  <si>
    <t>RBT</t>
  </si>
  <si>
    <t>RPP</t>
  </si>
  <si>
    <t>KAK/WO</t>
  </si>
  <si>
    <t>PENGADAAN-DMAP</t>
  </si>
  <si>
    <t>DESAIN</t>
  </si>
  <si>
    <t>PENGEMBANGAN</t>
  </si>
  <si>
    <t>PENGUJIAN-SIT</t>
  </si>
  <si>
    <t>PENGUJIAN-UAT</t>
  </si>
  <si>
    <t xml:space="preserve">IMPLEMENTASI </t>
  </si>
  <si>
    <t>Deskripsi target</t>
  </si>
  <si>
    <t>Persen Target (JANGAN DI ISI)</t>
  </si>
  <si>
    <t xml:space="preserve">Deskripsi Realisasi </t>
  </si>
  <si>
    <t>Persen Realisasi</t>
  </si>
  <si>
    <t>Capaian</t>
  </si>
  <si>
    <t>Status Proyek</t>
  </si>
  <si>
    <t>Progres terhadap 2026</t>
  </si>
  <si>
    <t>% PROGRESS MILESTONE</t>
  </si>
  <si>
    <t>Keterangan detail progres</t>
  </si>
  <si>
    <t>Tanggal Real Implementasi</t>
  </si>
  <si>
    <t>Tanggal RBT</t>
  </si>
  <si>
    <t>Tanggal Kick Off</t>
  </si>
  <si>
    <t>Tanggal Project Closure</t>
  </si>
  <si>
    <t>Lesson Learned</t>
  </si>
  <si>
    <t>Penjelasan dan Isu</t>
  </si>
  <si>
    <t>Rencana Tindak Lanjut</t>
  </si>
  <si>
    <t>PIC KMBD</t>
  </si>
  <si>
    <t>PIC PM</t>
  </si>
  <si>
    <t>PIC KMPPD</t>
  </si>
  <si>
    <t>PIC KPPA</t>
  </si>
  <si>
    <t>PIC PKLD</t>
  </si>
  <si>
    <t>Metode Pengembangan</t>
  </si>
  <si>
    <t>Vendor</t>
  </si>
  <si>
    <t>Ket THOS</t>
  </si>
  <si>
    <t>Total</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</si>
  <si>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</si>
  <si>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</si>
  <si>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</si>
  <si>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</si>
  <si>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</si>
  <si>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</si>
  <si>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</si>
  <si>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</si>
  <si>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</si>
  <si>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</si>
  <si>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</si>
  <si>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</si>
  <si>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</si>
  <si>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</si>
  <si>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</si>
  <si>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</si>
  <si>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</si>
  <si>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</si>
  <si>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</si>
  <si>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</si>
  <si>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</si>
  <si>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</si>
  <si>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</si>
  <si>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Start</t>
  </si>
  <si>
    <t>End</t>
  </si>
  <si>
    <t>PENGADAAN</t>
  </si>
  <si>
    <t>SIT</t>
  </si>
  <si>
    <t>UAT</t>
  </si>
  <si>
    <t>IMP</t>
  </si>
  <si>
    <t>Column139</t>
  </si>
  <si>
    <t>Column140</t>
  </si>
  <si>
    <t>Column141</t>
  </si>
  <si>
    <t>Column142</t>
  </si>
  <si>
    <t>Column143</t>
  </si>
  <si>
    <t>Jan</t>
  </si>
  <si>
    <t>Feb</t>
  </si>
  <si>
    <t>Mar</t>
  </si>
  <si>
    <t>Apr</t>
  </si>
  <si>
    <t>Mei</t>
  </si>
  <si>
    <t>Jun</t>
  </si>
  <si>
    <t>Jul</t>
  </si>
  <si>
    <t>Ags</t>
  </si>
  <si>
    <t>Sep</t>
  </si>
  <si>
    <t>Okt</t>
  </si>
  <si>
    <t>Nov</t>
  </si>
  <si>
    <t>Des</t>
  </si>
  <si>
    <t>Column193</t>
  </si>
  <si>
    <t>Column194</t>
  </si>
  <si>
    <t>Column195</t>
  </si>
  <si>
    <t>Column196</t>
  </si>
  <si>
    <t>Column197</t>
  </si>
  <si>
    <t>Column198</t>
  </si>
  <si>
    <t>PT03</t>
  </si>
  <si>
    <t>IDPS</t>
  </si>
  <si>
    <t>P-1</t>
  </si>
  <si>
    <t>BI-FAST</t>
  </si>
  <si>
    <t>New BI-FAST</t>
  </si>
  <si>
    <t>Enhancement Aplikasi Legacy New BI-FAST</t>
  </si>
  <si>
    <t>S</t>
  </si>
  <si>
    <t>K3</t>
  </si>
  <si>
    <t>Pemimpin Satker</t>
  </si>
  <si>
    <t>DKeu, DKSP, DPSP, DLDS</t>
  </si>
  <si>
    <t>MI, SP</t>
  </si>
  <si>
    <t>ERPHRIS, SOA</t>
  </si>
  <si>
    <t>TW II 2026</t>
  </si>
  <si>
    <t>New</t>
  </si>
  <si>
    <t>Aldo Fernanda</t>
  </si>
  <si>
    <t>Among Rogo Wicaksono</t>
  </si>
  <si>
    <t>1. Welly Ramantika
2. Lie Tung Kiam
3. M. Anggasta Paramartha</t>
  </si>
  <si>
    <t>Dian</t>
  </si>
  <si>
    <t>Outsource</t>
  </si>
  <si>
    <t>P-2</t>
  </si>
  <si>
    <t>BI-RTGS Gen III</t>
  </si>
  <si>
    <t>Enhancement Aplikasi Legacy BI-RTGS Gen III</t>
  </si>
  <si>
    <t>DKSP, DPSP, DPPT, DIDD, DPPK, DLDS</t>
  </si>
  <si>
    <t>SP</t>
  </si>
  <si>
    <t>SKNBI, BI-SSSS Gen II, CBS, FOMOBO, SWIFT, SOA</t>
  </si>
  <si>
    <t>TW II 2027</t>
  </si>
  <si>
    <t xml:space="preserve"> Faradilla Anggun S.</t>
  </si>
  <si>
    <t>1. Welly Ramantika
2. Lie Tung Kiam
3. Elsameinar</t>
  </si>
  <si>
    <t>PT02</t>
  </si>
  <si>
    <t>P-3</t>
  </si>
  <si>
    <t>BI-SSSS Gen III</t>
  </si>
  <si>
    <t>Enhancement Aplikasi Legacy BI-SSSS Gen III</t>
  </si>
  <si>
    <t>DPPK, DPSP</t>
  </si>
  <si>
    <t>Market</t>
  </si>
  <si>
    <t>BI-ETP, FOMOBO, CBS, Bloomberg, SI BI-SSSS</t>
  </si>
  <si>
    <t>1. Faradilla Anggun S.
2. Muhammad Daffa Alfarizqi</t>
  </si>
  <si>
    <t>Rizky Arga</t>
  </si>
  <si>
    <t>TBC</t>
  </si>
  <si>
    <t>RIVIBI-PPA-P5-3-DLDS</t>
  </si>
  <si>
    <t>PT2, BPPU</t>
  </si>
  <si>
    <t>IDT</t>
  </si>
  <si>
    <t>Continuity Technology</t>
  </si>
  <si>
    <t>P-4</t>
  </si>
  <si>
    <t>Pengembangan Product PUVA dan Penerbitan SBN</t>
  </si>
  <si>
    <t>Infrastruktur Data PUVA</t>
  </si>
  <si>
    <t>DPPK, DSTA, DPKL</t>
  </si>
  <si>
    <t>PPLBI</t>
  </si>
  <si>
    <t>Moneter</t>
  </si>
  <si>
    <t>ANTASENA</t>
  </si>
  <si>
    <t>TW I 2025</t>
  </si>
  <si>
    <t>- Telah deploy pada 16 Agustus 2025
- Telah dilakukan penandatanganan perjanjian induk derivatif dan launching matchmaking OIS pada 26 September 2025
- Akan diimplementasikan setelah implementasi BI-FRN, dan menunggu informasi lebih lanjut dari DPPK</t>
  </si>
  <si>
    <t>RPP masih dalam bentuk draf, mandays di sisi LBUT masih dalam diskusi karena ada perubahan pengembang dari ext vendor menjadi inhouse</t>
  </si>
  <si>
    <t>Segera melakukan diskusi internal dengan KPPA, KMBD dan Opda</t>
  </si>
  <si>
    <t>1. Regi Wibowo
2. Titik Rahayu</t>
  </si>
  <si>
    <t>Rifanda Yulio</t>
  </si>
  <si>
    <t>Adinda Tri Wulandari</t>
  </si>
  <si>
    <t>1. Haryani Diah
2. Alamsyah
3. Luluk Mukarromah</t>
  </si>
  <si>
    <t>Agung</t>
  </si>
  <si>
    <t>Inhouse</t>
  </si>
  <si>
    <t>Fajri (KPPA)
Teo (KPPA)
Timo (KPPA)
Risda (KPPA)
Diah (KMBD)</t>
  </si>
  <si>
    <t>DEP Capturing Product -Capturing transaksi Repo, OIS, DNDF dari ETP-MO</t>
  </si>
  <si>
    <t>DPPK</t>
  </si>
  <si>
    <t>Moneter, Market</t>
  </si>
  <si>
    <t>TBD</t>
  </si>
  <si>
    <t>Helen Desyani</t>
  </si>
  <si>
    <t>Iramia Triastika</t>
  </si>
  <si>
    <t>EDP Capturing Product -Capturing transaksi FX Swap</t>
  </si>
  <si>
    <t>TW I 2029</t>
  </si>
  <si>
    <t>DEP Capturing Product -Pelaporan: dari ETP-MO</t>
  </si>
  <si>
    <t>DPPK,  DSta, DPKL</t>
  </si>
  <si>
    <t>DEP Capturing Product -Pelaporan: CCP Repo</t>
  </si>
  <si>
    <t>TW IV 2026</t>
  </si>
  <si>
    <t>EDP Capturing Product -Pelaporan: CCP OIS</t>
  </si>
  <si>
    <t>TW I 2028</t>
  </si>
  <si>
    <t>RIVIBI-PPA-P6-1-DLDS</t>
  </si>
  <si>
    <t>Pengembangan Pricing untuk OM Pro Market  dan PUVA</t>
  </si>
  <si>
    <t>FOMOBO, SOA</t>
  </si>
  <si>
    <t>TW II 2025</t>
  </si>
  <si>
    <t>1. Farah Fadhillah W</t>
  </si>
  <si>
    <t>1. Ahmad Maimunif
2. Yohana Wida
3. Dody Sulaiman
4. Ahmad Muhajir
5. Anton Sucipto</t>
  </si>
  <si>
    <t>N/A</t>
  </si>
  <si>
    <t>Novita</t>
  </si>
  <si>
    <t>RIVIBI-PPA-P6-2-DLDS</t>
  </si>
  <si>
    <t>EDP Capturing Pricing - Implementasi INDONIA (OIS based) - Decommissioned JIBOR</t>
  </si>
  <si>
    <t xml:space="preserve">Market, Moneter, MI </t>
  </si>
  <si>
    <t>FOMOBO, ANTASENA, BIWEB</t>
  </si>
  <si>
    <t xml:space="preserve">1. Titik Rahayu
2. Thoriq Prima Putra D
3. Farah Fadhilah W
</t>
  </si>
  <si>
    <t>1. Alfadho Kasroh
2. Galih Andana
3. Yohana Wida
4. Veni Kertayu
5. Anton Sucipto
6. Ahlan Hadian
7. Mohamad R Fajri</t>
  </si>
  <si>
    <t>Agung
Ufaira</t>
  </si>
  <si>
    <t>Nasdaq
PTAP</t>
  </si>
  <si>
    <t>Fitri
Risma</t>
  </si>
  <si>
    <t>RIVIBI-PPA-P6-3-DLDS</t>
  </si>
  <si>
    <t>DEP Capturing Pricing - Pricing Calculation &amp; Dissemination: Reference Rate Syariah</t>
  </si>
  <si>
    <t>DPPK, DEKS</t>
  </si>
  <si>
    <t>TW I 2026</t>
  </si>
  <si>
    <t>RIVIBI-PPA-P6-4-DLDS</t>
  </si>
  <si>
    <t>EDP Capturing Pricing - Pricing Calculation &amp; Dissemination: INDONIA – Kurva OIS</t>
  </si>
  <si>
    <t>TW I 2027</t>
  </si>
  <si>
    <t>RIVIBI-PPA-P6-5-DLDS</t>
  </si>
  <si>
    <t>EDP Capturing Pricing - Pricing Calculation &amp; Dissemination: Reformulasi JISDOR</t>
  </si>
  <si>
    <t>RIVIBI-PPA-P6-6-DLDS</t>
  </si>
  <si>
    <t>EDP Capturing Pricing - Market Data Capturing &amp; Dissemination: IMM Curve</t>
  </si>
  <si>
    <t>RIVIBI-PPA-P6-7-DLDS</t>
  </si>
  <si>
    <t>DEP Capturing Pricing - Market Data Capturing &amp; Dissemination: MM Curve</t>
  </si>
  <si>
    <t>EDW, HARTIS, ANTASENA LBUT</t>
  </si>
  <si>
    <t xml:space="preserve">Tahap I: 1-May-26
Tahap II: </t>
  </si>
  <si>
    <t>Tahap I: 30-Jun- 26
Tahap II:</t>
  </si>
  <si>
    <t xml:space="preserve">Tahap I: 1-Jul-26
Tahap II: </t>
  </si>
  <si>
    <t>Tahap I: 31-Jul-27
Tahap II:</t>
  </si>
  <si>
    <t>Tahap I: 1-Aug-27
Tahap II:</t>
  </si>
  <si>
    <t>Tahap I: 30-Sep-27
Tahap II:</t>
  </si>
  <si>
    <t>Tahap I: 1-Oct-27
Tahap II:</t>
  </si>
  <si>
    <t>Tahap I: 30-Nov-27
Tahap II:</t>
  </si>
  <si>
    <t>Tahap I: 1-Dec-27
Tahap II:</t>
  </si>
  <si>
    <t>Tahap I: 31-Dec-27
Tahap II:</t>
  </si>
  <si>
    <t>RIVIBI-PPA-P6-8-DLDS</t>
  </si>
  <si>
    <t>DEP Capturing Pricing - Market Data Capturing &amp; Dissemination: FX Forward Curve</t>
  </si>
  <si>
    <t>RIVIBI-PPA-P6-9-DLDS</t>
  </si>
  <si>
    <t>EDP Capturing Pricing - Market Data Capturing &amp; Dissemination: IFX Hedging Curve</t>
  </si>
  <si>
    <t>P-5</t>
  </si>
  <si>
    <t>Infrastruktur Data SP</t>
  </si>
  <si>
    <t>Enhancement Aplikasi Legacy Infrastruktur Data SP</t>
  </si>
  <si>
    <t>K</t>
  </si>
  <si>
    <t>DKSP, DIDD</t>
  </si>
  <si>
    <t>1. Erfa
2. Dian</t>
  </si>
  <si>
    <t>IDCB</t>
  </si>
  <si>
    <t>P-7</t>
  </si>
  <si>
    <t>DWP Kebijakan</t>
  </si>
  <si>
    <t>DDM Perumusan Kebijakan</t>
  </si>
  <si>
    <t>Enhancement Aplikasi Legacy DDM Kebijakan</t>
  </si>
  <si>
    <t>WG-4</t>
  </si>
  <si>
    <t>MI</t>
  </si>
  <si>
    <t>BIWEB, ERPHRIS</t>
  </si>
  <si>
    <t>Pahman Hasibuan</t>
  </si>
  <si>
    <t>Ayar Fauzan</t>
  </si>
  <si>
    <t>Erfa</t>
  </si>
  <si>
    <t>PT4</t>
  </si>
  <si>
    <t>P-18</t>
  </si>
  <si>
    <t>DBP CORE BKK</t>
  </si>
  <si>
    <t>DCP BKK</t>
  </si>
  <si>
    <t xml:space="preserve">Enhancement Aplikasi Legacy (ERPHRIS) DBP BKK </t>
  </si>
  <si>
    <t>K2</t>
  </si>
  <si>
    <t>ADG</t>
  </si>
  <si>
    <t>DKeu, DMST</t>
  </si>
  <si>
    <t>ERPHRIS</t>
  </si>
  <si>
    <t xml:space="preserve">Enhancement Aplikasi Legacy (LIMS) DBP BKK </t>
  </si>
  <si>
    <t>DHk</t>
  </si>
  <si>
    <t>LIMS</t>
  </si>
  <si>
    <t>TW III 2026</t>
  </si>
  <si>
    <t>Yolanda Dini</t>
  </si>
  <si>
    <t>RIVIBI-PPA-P1-1-DLDS</t>
  </si>
  <si>
    <t>PT5</t>
  </si>
  <si>
    <t>Kelembagaan</t>
  </si>
  <si>
    <t>P-20</t>
  </si>
  <si>
    <t>DBP - OpEx MAPP</t>
  </si>
  <si>
    <t>DCP MAPP</t>
  </si>
  <si>
    <t>Aset Fisik: Pelayanan &amp; Operasional</t>
  </si>
  <si>
    <t>K1</t>
  </si>
  <si>
    <t>DPRN, DLAF</t>
  </si>
  <si>
    <t>MLTI</t>
  </si>
  <si>
    <t>Yoe One Ariestya Niovitta (PKWT)</t>
  </si>
  <si>
    <t xml:space="preserve">1. Rendi Budiman  
2. Erica Maulidina Bening
3. Kevin Tjahjadi - PKWT  
</t>
  </si>
  <si>
    <t>1. Erfa
2. Agung</t>
  </si>
  <si>
    <t>RIVIBI-PPA-P1-4-DLDS</t>
  </si>
  <si>
    <t>Pengadaan: Perencanaan &amp; Pelaksanaan dan Digitalisasi Dokumen</t>
  </si>
  <si>
    <t>DMAP</t>
  </si>
  <si>
    <r>
      <t xml:space="preserve">Updated Progress;
</t>
    </r>
    <r>
      <rPr>
        <b/>
        <u val="double"/>
        <sz val="12"/>
        <rFont val="Aptos Narrow"/>
        <family val="2"/>
        <scheme val="minor"/>
      </rPr>
      <t xml:space="preserve">04-07-2025
</t>
    </r>
    <r>
      <rPr>
        <sz val="12"/>
        <rFont val="Aptos Narrow"/>
        <family val="2"/>
        <scheme val="minor"/>
      </rPr>
      <t xml:space="preserve">1. Untuk penyusunan RBT sudah selesai pada M4 Mei 2025.
2. Saat ini : masih proses perpanjangan Kontrak Induk ERPHRIS, Menunggu Persetujuan KAK Adendum Enhancement ERPHRIS dari KAGrup GPap
</t>
    </r>
  </si>
  <si>
    <t xml:space="preserve">Yoe One Ariestya Niovitta (PKWT)
</t>
  </si>
  <si>
    <t xml:space="preserve">Rendi Budiman
Kevin Tjahjadi
Erica Maulidina Bening
</t>
  </si>
  <si>
    <t>Santi, Nindy</t>
  </si>
  <si>
    <t>RIVIBI-PPA-P2-1-DLDS</t>
  </si>
  <si>
    <t>PT6</t>
  </si>
  <si>
    <t>Human Resources</t>
  </si>
  <si>
    <t>P-25</t>
  </si>
  <si>
    <t>DBP - Opex Kelembagaan dan HR</t>
  </si>
  <si>
    <t>DCP HRM</t>
  </si>
  <si>
    <t>DBP OpEx 4P HRM lainnya (Kompetensi, Karir, Perencanaan)</t>
  </si>
  <si>
    <t>DSDM</t>
  </si>
  <si>
    <t>1. Rendi Budiman
2. Erica Maulidina
3. Kevin tjahjadi
4. Hafizh Harista</t>
  </si>
  <si>
    <t>PT Trees</t>
  </si>
  <si>
    <t>Santi
Nindy</t>
  </si>
  <si>
    <t>RIVIBI-PPA-P3-1-DLDS</t>
  </si>
  <si>
    <t>P-26</t>
  </si>
  <si>
    <t>DBP - HRM</t>
  </si>
  <si>
    <t>DCP Integrasi HRM</t>
  </si>
  <si>
    <t>DBP OpEx 4P: Pengembangan Kompetensi (Integrasi LMS dengan Digital Library)</t>
  </si>
  <si>
    <t>U</t>
  </si>
  <si>
    <t>LMS, Digital Library</t>
  </si>
  <si>
    <r>
      <t xml:space="preserve">Update Terkini:
</t>
    </r>
    <r>
      <rPr>
        <sz val="12"/>
        <rFont val="Aptos Narrow"/>
        <family val="2"/>
        <scheme val="minor"/>
      </rPr>
      <t>1</t>
    </r>
    <r>
      <rPr>
        <b/>
        <sz val="12"/>
        <rFont val="Aptos Narrow"/>
        <family val="2"/>
        <scheme val="minor"/>
      </rPr>
      <t xml:space="preserve">. </t>
    </r>
    <r>
      <rPr>
        <sz val="12"/>
        <rFont val="Aptos Narrow"/>
        <family val="2"/>
        <scheme val="minor"/>
      </rPr>
      <t xml:space="preserve">M4 Juni penyusunan RBT DLDS &amp; BINS untuk integrasi dengan HRIS. Akan dikembangkan 11 fitur terlebih dahulu, untuk fitur lainnya akan dibuatkan nanti di RBT dengan versi yang berbeda
</t>
    </r>
    <r>
      <rPr>
        <b/>
        <sz val="12"/>
        <rFont val="Aptos Narrow"/>
        <family val="2"/>
        <scheme val="minor"/>
      </rPr>
      <t xml:space="preserve">Progres Proyek:
</t>
    </r>
    <r>
      <rPr>
        <sz val="12"/>
        <rFont val="Aptos Narrow"/>
        <family val="2"/>
        <scheme val="minor"/>
      </rPr>
      <t>Pada 4 Maret terdapat pembahasan terkait mekanisme narik Proyek P26 masuk menjadi bagian dari Proyek P61 sehingga diperlukan underlying M.02 ke ADG yang saat ini masih on progress drafting oleh BINS
- RBT sudah mulai disusun, jadwal di 2026.
- Lead berada di DSDM atau?</t>
    </r>
  </si>
  <si>
    <t>1. Rendi Budiman  
2. Kevin Tjahjadi - PKWT  
3. Erica Maulidina
4. Hafizh Haritsa - PKWT</t>
  </si>
  <si>
    <t>RIVIBI-PPA-P3-2-DLDS</t>
  </si>
  <si>
    <t>DBP OpEx 4P: Pengembangan Kompetensi (Integrasi LMS dg MOOC)</t>
  </si>
  <si>
    <t>Digital Library, LMS, ERPHRIS</t>
  </si>
  <si>
    <t>TW III 2027</t>
  </si>
  <si>
    <r>
      <rPr>
        <b/>
        <sz val="12"/>
        <rFont val="Aptos Narrow"/>
        <family val="2"/>
        <scheme val="minor"/>
      </rPr>
      <t>Update Terkini:</t>
    </r>
    <r>
      <rPr>
        <sz val="12"/>
        <rFont val="Aptos Narrow"/>
        <family val="2"/>
        <scheme val="minor"/>
      </rPr>
      <t xml:space="preserve">
1. [11042025] BINS mengajukan untuk pelaksanaan </t>
    </r>
    <r>
      <rPr>
        <i/>
        <sz val="12"/>
        <rFont val="Aptos Narrow"/>
        <family val="2"/>
        <scheme val="minor"/>
      </rPr>
      <t>coaching clinic</t>
    </r>
    <r>
      <rPr>
        <sz val="12"/>
        <rFont val="Aptos Narrow"/>
        <family val="2"/>
        <scheme val="minor"/>
      </rPr>
      <t xml:space="preserve"> penyusunan RBT kepada DLDS</t>
    </r>
  </si>
  <si>
    <t>PT Trees, PT Datacaraka</t>
  </si>
  <si>
    <t>RIVIBI-PPA-P4-1-DLDS</t>
  </si>
  <si>
    <t>PT2</t>
  </si>
  <si>
    <t>P-40</t>
  </si>
  <si>
    <t xml:space="preserve">Pengembangan Product OM Pro Market (Rupiah dan Valas). </t>
  </si>
  <si>
    <t>Pengembangan Product OM Pro Market (Rupiah dan Valas)</t>
  </si>
  <si>
    <t>DPMA, DPPK, DPPT, DMR</t>
  </si>
  <si>
    <t>HARTIS, FOMOBO, SOA</t>
  </si>
  <si>
    <t>Go Live Pada 24 Maret 2025</t>
  </si>
  <si>
    <t>Dokumen RPP harus di diskusikan dengan PMO DIDD agar tidak terdapat dispute dari sisi pengembang satker lain (jika ada)</t>
  </si>
  <si>
    <t>Diperlukan konfigurasi pada SOA terkait  fungsi trade capturing Transaksi SBN.</t>
  </si>
  <si>
    <t>sesuai meeting dengan team SOA dan Market, apakah penyesuaian SOA untuk AC HTM hanya penesuaian tabel mapping atau butuh pengembangan Rule.  agar tetap dapat sesuai timeline penembangan</t>
  </si>
  <si>
    <t>1. Thoriq Prima Putra D
2. Farah Fadhilah W</t>
  </si>
  <si>
    <t>1. Galih Andana
2. Muhammad Naufal Prasetyo</t>
  </si>
  <si>
    <t xml:space="preserve">1.  R. Erfa Febrimalia Abdullah
2. Ufaira Khanzahasna Nanfaiq Nadhifa
</t>
  </si>
  <si>
    <t>1. Rismauli Manurung (KPPA)
2. Adam Saputra (PKLD)</t>
  </si>
  <si>
    <t>RIVIBI-PPA-P4-2-DLDS</t>
  </si>
  <si>
    <t>DPMA, DPPK,DPSP</t>
  </si>
  <si>
    <t>BI-ETP, Alternate BI-ETP, SOA</t>
  </si>
  <si>
    <t>BRD Existing</t>
  </si>
  <si>
    <t>Selesai pengadaan</t>
  </si>
  <si>
    <t>1. Faradilla Anggun S</t>
  </si>
  <si>
    <t>1. Alfadho Khasroh
2. Elsameinar</t>
  </si>
  <si>
    <t xml:space="preserve">1. R. Erfa Febrimalia Abdullah
2. Agung Trisnaningsih
6. </t>
  </si>
  <si>
    <t>CMA</t>
  </si>
  <si>
    <t>1. Tony Liston (KPPA)
Afifah (KPPA)
2. Adam Saputra (PKLD)
3. Joko Akbar Prasetyo (PKLD)
4.  Gumilar Kusumahendra
5. Novita Dwi Rahma (KPPA TW)</t>
  </si>
  <si>
    <t>RIVIBI-PPA-P4-3-DLDS</t>
  </si>
  <si>
    <t>DPMA, DPPK,
 DPPT, DPSP</t>
  </si>
  <si>
    <t>Market, SSK</t>
  </si>
  <si>
    <t>BI-ETP, BI-SSSS, HARTIS, FOMOBO, SI BI-SSSS, SOA</t>
  </si>
  <si>
    <t>1. Faradilla Anggun S
2. Thoriq Prima Putra D
3. Farah Fadhilah W
4. Rifka Saskia Nurunnisa
5. Titik Rahayu 
6. Yoe One Ariestya Niovitta (PKWT)</t>
  </si>
  <si>
    <t>1. Alfadho Khasroh
2. Galih Andana
3. Yohana Wida
4. Ahmad Maimunif
5. Ahmad Muhajir
6. Anton Sucipto
7.  Elsameinar
8. Muhammad Arif Sucipto</t>
  </si>
  <si>
    <t xml:space="preserve">1. R. Erfa Febrimalia Abdullah
2. Agung Trisnaningsih
</t>
  </si>
  <si>
    <t>1. Nasdaq &amp; PTAP
2. CMA &amp; PCI
3. ICT</t>
  </si>
  <si>
    <t>1. Tony Liston (KPPA)
2. Novita Dwi Rahma (KPPA TW)
3. Rismauli Manurung (KPPA TW)
4. Adam Saputra  (PKLD)
5. Joko Akbar Prasetyo  (PKLD)
6. Apulina Priska  (PKLD)
7. Mohamad R Fajri (KPPA)
8. Mumin Sadikin (KPPA)
9. Timothy Yosefo Zebua (KPPA)</t>
  </si>
  <si>
    <t>RIVIBI-PPA-P4-4-DLDS</t>
  </si>
  <si>
    <t>DPMA, DPPK, DPPT,DPSP</t>
  </si>
  <si>
    <t>BI-ETP</t>
  </si>
  <si>
    <t>Ufaira</t>
  </si>
  <si>
    <t>PCI</t>
  </si>
  <si>
    <t>Afifah (KPPA)</t>
  </si>
  <si>
    <t>RIVIBI-PPA-P4-5-DLDS</t>
  </si>
  <si>
    <t>DPMA, DPPK, DEKS, DPSP</t>
  </si>
  <si>
    <t>BI-ETP, BI-SSSS, SI BI-SSSS </t>
  </si>
  <si>
    <t>Deployment Pada 11 Juli 2025
Perluasan SUKBI telah dilakukan deployment/Aktivasi pada 17 Oktober 2025</t>
  </si>
  <si>
    <t>Ditemukan masalah pada skenario transaksi inhouse di mana seri surat berharga menggunakan parent yang tidak dapat dicatatkan karena seharusnya menggunakan child yang juga harus dimiliki oleh subreg. Dua file pengujian terkait skenario ini memerlukan penyesuaian.
Pada skenario SBL (Securities Borrowing and Lending), satu comm ID yang tertera pada skenario tidak ditemukan, menyebabkan transaksi SBL tidak dapat diverifikasi.</t>
  </si>
  <si>
    <t>Waktu tambahan satu minggu dibutuhkan untuk memastikan data yang benar tersedia, penyesuaian dilakukan, dan pengujian dapat diselesaikan secara menyeluruh.</t>
  </si>
  <si>
    <t>1. Faradilla Anggun S.</t>
  </si>
  <si>
    <t>1. Alfadho Khasroh
2. M Naufal</t>
  </si>
  <si>
    <t>1.  R. Erfa Febrimalia Abdullah
2. Agung Trisnaningsih
3. Dian Indriani</t>
  </si>
  <si>
    <t>1. Tony Liston (KPPA)
2. Novita Dwi Rahma (KPPA TW)
3. Adam Saputra (PKLD)</t>
  </si>
  <si>
    <t>RIVIBI-PPA-P4-6-DLDS</t>
  </si>
  <si>
    <t>DPMA, DPPK,  DPPT,DPSP</t>
  </si>
  <si>
    <t>BI-ETP, BI-SSSS, HARTIS, SI BI-SSSS, FOMOBO, SOA</t>
  </si>
  <si>
    <t>TW IV 2025</t>
  </si>
  <si>
    <t>1. Faradilla Anggun S
2. Thoriq Prima Putra D</t>
  </si>
  <si>
    <t>1. Alfadho Khasroh
2. M. Naufal
3. Elsameinar</t>
  </si>
  <si>
    <t>1. Agung Trisnaningsih
2. Ufaira</t>
  </si>
  <si>
    <t>Outsource
Inhouse</t>
  </si>
  <si>
    <t>1. CMA &amp; PCI
2. Inhouse</t>
  </si>
  <si>
    <t>1. Tony Liston (KPPA)
2. Afifah (KPPA)
3. Novita Dwi Rahma (KPPA TW)</t>
  </si>
  <si>
    <t>RIVIBI-PPA-P4-7-DLDS</t>
  </si>
  <si>
    <t>* Bergeser menjadi tahap 3 (Cross curency repo SVBI SUVBI Rupiah tahap 3)</t>
  </si>
  <si>
    <t>Dian
Agung</t>
  </si>
  <si>
    <t>Tony Liston (KPPA)
Afifah (KPPA)</t>
  </si>
  <si>
    <t>RIVIBI-PPA-P4-8-DLDS</t>
  </si>
  <si>
    <t>DPMA, DEKS, DPPT</t>
  </si>
  <si>
    <t>Refinitiv </t>
  </si>
  <si>
    <t>TW II 2028</t>
  </si>
  <si>
    <t>1. Thoriq Prima Putra D</t>
  </si>
  <si>
    <t>1. Alfadho Khasroh
2. M. Naufal Prasetyo</t>
  </si>
  <si>
    <t>Tony Liston</t>
  </si>
  <si>
    <t>RIVIBI-PPA-P4-9-DLDS</t>
  </si>
  <si>
    <t>DPMA, DPPK, DPPT</t>
  </si>
  <si>
    <t> BI-ETP</t>
  </si>
  <si>
    <t>TW II 2029</t>
  </si>
  <si>
    <t>2030</t>
  </si>
  <si>
    <t>1. Faradilla Anggun S
2. Muhammad Daffa Alfarizqi</t>
  </si>
  <si>
    <t>ETP Alternate</t>
  </si>
  <si>
    <t>Not Started:
Proses pengembangan pada ETP Alternate BI FRN akan dimulai Februari 2026</t>
  </si>
  <si>
    <t>1. Faradilla Anggun S
2. Thoriq Prima Putra D
3. Farah Fadhilah W</t>
  </si>
  <si>
    <t xml:space="preserve">1. Alfadho Khasroh
2. Elsameinar
3. Veni Kertayu
4. Anton Sucipto
</t>
  </si>
  <si>
    <t>1. R. Erfa Febrimalia Abdullah
2. Dian Indriani
3. Agung Trisnaningsih</t>
  </si>
  <si>
    <t>1. Nasdaq
2. CMA &amp; PCI</t>
  </si>
  <si>
    <t xml:space="preserve">Tony Liston (KPPA)
Novita Dwi Rahma (KPPA TW)
</t>
  </si>
  <si>
    <t>DPPK, DPMA, DKMP, Dkeu, DPPT, DMR,DPSP</t>
  </si>
  <si>
    <t>BI-ETP, BI-SSSS, BI-RTGS, FOMOBO</t>
  </si>
  <si>
    <t>TW III 2025</t>
  </si>
  <si>
    <t>1. Alfadho Khasroh
2. M. Naufal Prasetyo
3. Elsameinar</t>
  </si>
  <si>
    <t>Erfa
Ufaira</t>
  </si>
  <si>
    <t>DPMA, DPPK, DKMP, DKeu, DPPT, DMR, DPSP</t>
  </si>
  <si>
    <t>BI-ETP, BI-SSSS, BI-RTGS</t>
  </si>
  <si>
    <t>2028</t>
  </si>
  <si>
    <t>RIVIBI-PPA-P5-1-DLDS</t>
  </si>
  <si>
    <t>P-41</t>
  </si>
  <si>
    <t>Pengembangan Produk dan Pricing untuk OM Pro Market dan PUVA</t>
  </si>
  <si>
    <t>Infra Pendukung Triparty Repo</t>
  </si>
  <si>
    <t>Satker</t>
  </si>
  <si>
    <t>BI-SSSS, BI-RTGS</t>
  </si>
  <si>
    <t xml:space="preserve">Note: Proyek ini bukan pengembangan tetapi simulasi sebelum dilakukan aktivasi KPEI menjadi TPA pada environment production. BI hanya menyiapkan infra untuk pengujian KPEI dengan BI dan Pilot Bank.
Progress Pengujian KPEI:
1. Deployment Konfigurasi KPEI TPA pada BI-SSSS telah dilaksanakan pada 26 September 2025
</t>
  </si>
  <si>
    <t xml:space="preserve"> uji coba bersama dengan bank pilot telah ditunda hingga minggu kedua bulan Juni. Penundaan ini secara langsung disebabkan oleh masalah kesiapan administratif di pihak Bank. Akibatnya, target implementasi keseluruhan saat ini menunggu konfirmasi dari KPEI dan satker Bisnis , menunjukkan bahwa proyek saat ini tertinggal dari jadwal semula.</t>
  </si>
  <si>
    <t>1. Alfadho Khasroh
2. Elsameinar
3. M. Naufal Prasetyo</t>
  </si>
  <si>
    <t>1. Dian Indriani</t>
  </si>
  <si>
    <t>RIVIBI-PPA-P5-2-DLDS</t>
  </si>
  <si>
    <t>Infra Pendukung CCP Repo</t>
  </si>
  <si>
    <t>DPPK,DPSP</t>
  </si>
  <si>
    <t>RV-04-2023</t>
  </si>
  <si>
    <t>Non PT</t>
  </si>
  <si>
    <t>P-43</t>
  </si>
  <si>
    <t>Manajemen Layanan TI</t>
  </si>
  <si>
    <t>Modernize MLTI</t>
  </si>
  <si>
    <t>DLDS</t>
  </si>
  <si>
    <t>1. Server DEV dan PROD BMC Helix sedang pengadaan, 
sampai juli 2025 sedang development sampai bulan Nov 2025
2. SRS belum bisa difinalkan karena masih menunggu konfirmasi dari PIPIT INFRA, terkait solusi server DEV yang dipakai</t>
  </si>
  <si>
    <t>Server DEV dan PROD BMC Helic sedang pengadaan, 
sampai juli 2025 sedang development sampai bulan Nov 2025</t>
  </si>
  <si>
    <t>Solusi yang akan di tawarkan MII ada 2 opsi : 
yaitu menggunakan server Dev trail 2 Bulan dari tim Infra DLDS, 
atau menggunakan server dev saas dari BMC untuk trail, 
untuk pengembangan akan dilakukan di server dev tersebut. 
(Sedang didiskusikan tim KPPA dengan tim Infra  DLDS)</t>
  </si>
  <si>
    <t xml:space="preserve">1. Rendi Budiman  
2. Erica Maulidina
3. Kevin Tjahjadi - PKWT  
</t>
  </si>
  <si>
    <t>PT MII</t>
  </si>
  <si>
    <t>PR-02-2024</t>
  </si>
  <si>
    <t>P-44</t>
  </si>
  <si>
    <t>ANTASENA Non LBUT</t>
  </si>
  <si>
    <t>ANTASENA - Non LBUT</t>
  </si>
  <si>
    <t>Modernize LKPBU - Tahap 1 Modul KPPK</t>
  </si>
  <si>
    <t>DSta, DIDD, DPKL</t>
  </si>
  <si>
    <t>LKPBU</t>
  </si>
  <si>
    <t>Proses pengadaan</t>
  </si>
  <si>
    <t>-Perlu konfirmasi detail dari KMBD terkait jadwal setiap modul</t>
  </si>
  <si>
    <t>Ufaira
Agung</t>
  </si>
  <si>
    <t>Datacaraka</t>
  </si>
  <si>
    <t xml:space="preserve">Teo (KPPA)
Fajri (KPPA)
Timo (KPPA)
Risda (KPPA)
Diah (KMBD)
</t>
  </si>
  <si>
    <t>RIVIBI-PPA-P7-1-DLDS</t>
  </si>
  <si>
    <t>PT1</t>
  </si>
  <si>
    <t>Modernize LLD Non Bank Terintegrasi: DJBC</t>
  </si>
  <si>
    <t>DSta, DPKL, DIDD</t>
  </si>
  <si>
    <t>WG-5</t>
  </si>
  <si>
    <t>LLD</t>
  </si>
  <si>
    <t>Not yet</t>
  </si>
  <si>
    <t>Elnestor</t>
  </si>
  <si>
    <t>Jajang (KPPA)
Mumin (KPPA)
Teo (KPPA)
Risda (KPPA)
Diah (KMBD)</t>
  </si>
  <si>
    <t>RIVIBI-PPA-P7-2-DLDS</t>
  </si>
  <si>
    <t>Peralihan pelaporan Derivatif PUVA dr Bappebti ke BI</t>
  </si>
  <si>
    <t>DSta, DPPK, DIDD, DPKL, DSMM</t>
  </si>
  <si>
    <t>Sebagaimana RDG mengenai Peralihan Pengaturan dan Pengawasan Derivatif PUVA, timeline pengembangan dibuat s.d. 2026 dengan target RBT dimulai pada TW 2 2026</t>
  </si>
  <si>
    <t>1. Haryani Diah
2. Alamsyah</t>
  </si>
  <si>
    <t>RIVIBI-PPA-P7-3-DLDS</t>
  </si>
  <si>
    <t>Digitalisasi Laporan Offline  (Non LBUT - PJP/PIP)</t>
  </si>
  <si>
    <t>DSta, DIDD, DPKL, DSMM, DPPK, DKSP</t>
  </si>
  <si>
    <t>Pada konfirmasi terakhir dapat diundur krn belum ada kebutuhan spesifik dari DKSP, usulan dari DSta diundur ke TW 2 2026</t>
  </si>
  <si>
    <t>Fajri (KPPA)
Risda (KPPA)
Diah (KMBD)</t>
  </si>
  <si>
    <t>Modernize LKPBU - Tahap 2 Modul LTD BB dan KUPVA BB</t>
  </si>
  <si>
    <t>DSta, DIDD, DSMM, DSPK, DKSP, DPKL</t>
  </si>
  <si>
    <t>- Penerbitan WO menunggu M.02 pimpinan, dengan status saat ini ON HOLD karena adanya arahan terbaru dari GBI terkait KUPVA BB</t>
  </si>
  <si>
    <t xml:space="preserve">Fajri (KPPA)
Timo (KPPA)
Risda (KPPA)
Diah (KMBD)
</t>
  </si>
  <si>
    <t>Modernize LKPBU - Tahap 3 Modul LLPU dan LSBU</t>
  </si>
  <si>
    <t>DSta, DIDD, DSMM, DPPK, DPKL, DKSP</t>
  </si>
  <si>
    <t xml:space="preserve">-Diusulkan unutk dimajukan ke xx…
</t>
  </si>
  <si>
    <t>PR-13-2024</t>
  </si>
  <si>
    <t>P-45</t>
  </si>
  <si>
    <t>Website Internal Pegawai (BLINK)</t>
  </si>
  <si>
    <t>Internal Portal</t>
  </si>
  <si>
    <t xml:space="preserve">Modernize BLINK </t>
  </si>
  <si>
    <t>Dkom</t>
  </si>
  <si>
    <t>BLINK</t>
  </si>
  <si>
    <t xml:space="preserve">Target selesai pengadaan yang awalnya di Maret 2025, mundur menjadi Juni 2025 karena masih dalam proses RFI </t>
  </si>
  <si>
    <r>
      <rPr>
        <i/>
        <sz val="12"/>
        <rFont val="Aptos Narrow"/>
        <family val="2"/>
        <scheme val="minor"/>
      </rPr>
      <t xml:space="preserve">Best effort </t>
    </r>
    <r>
      <rPr>
        <sz val="12"/>
        <rFont val="Aptos Narrow"/>
        <family val="2"/>
        <scheme val="minor"/>
      </rPr>
      <t xml:space="preserve">akan diselesaikan di Mei 2025 </t>
    </r>
  </si>
  <si>
    <t>1. Yoe One Ariestya Niovitta (PKWT)
2. Santi Dwi Hapsari - PA</t>
  </si>
  <si>
    <t>1. Ahlan Hadian
2. Rendi Budiman
3. Aryo Nugroho - PKWT
4. Claudy Nindy - TW</t>
  </si>
  <si>
    <t>Erfa
Agung</t>
  </si>
  <si>
    <t>PR-12A-2024</t>
  </si>
  <si>
    <t>P-46</t>
  </si>
  <si>
    <t>Pengelolaan Website BI pada BI-WEB</t>
  </si>
  <si>
    <t>BIWEB</t>
  </si>
  <si>
    <t>BRD existing</t>
  </si>
  <si>
    <t>1. Ahlan Hadian
2. Rendi Budiman
3. Aryo Nugroho - PKWT</t>
  </si>
  <si>
    <t>PR-12B-2024</t>
  </si>
  <si>
    <t>Modernize Mobile Apps BI (BIMA)</t>
  </si>
  <si>
    <r>
      <rPr>
        <b/>
        <sz val="12"/>
        <rFont val="Aptos Narrow"/>
        <family val="2"/>
        <scheme val="minor"/>
      </rPr>
      <t xml:space="preserve">Update Terkini:
</t>
    </r>
    <r>
      <rPr>
        <sz val="12"/>
        <rFont val="Aptos Narrow"/>
        <family val="2"/>
        <scheme val="minor"/>
      </rPr>
      <t>1. Dikerjakan setelah BAST Tahap 1 (BLINK BIWEB) terbit 
2.Telah dilakukan kick off pada 19 Juni 2025 dengan DKom bersamaan dengan BIWEB
3. Pengembangan aplikasi baru akan dilakukan setelah terbit BAST dari tahap 1 (BIWEB)</t>
    </r>
  </si>
  <si>
    <t>PR-08A-2023</t>
  </si>
  <si>
    <t>BPPUR</t>
  </si>
  <si>
    <t>P-47</t>
  </si>
  <si>
    <t>Modifikasi Sistem Legacy Surrounding MHE-IS</t>
  </si>
  <si>
    <t>Enhancement Aplikasi Legacy untuk MHE-IS</t>
  </si>
  <si>
    <t>DPU</t>
  </si>
  <si>
    <t>BI-SILK, SOA</t>
  </si>
  <si>
    <t xml:space="preserve">Timeline implementasi masih bergerak mundur namun durasi pengembangan tidak berubah </t>
  </si>
  <si>
    <t>Diskusi dengan user mengenai concern jadwal implementasi masih ada potensi bergeser kembali</t>
  </si>
  <si>
    <t>Pembahasan BRD</t>
  </si>
  <si>
    <t xml:space="preserve">Dona Kartika 
</t>
  </si>
  <si>
    <t>1. Welly Ramantika
2. Khoirul Huda PKWT
3. Lie Tung Kiam</t>
  </si>
  <si>
    <t xml:space="preserve">Outsource </t>
  </si>
  <si>
    <t>PT PCI</t>
  </si>
  <si>
    <t>Akbar
Fadhil
Hasan</t>
  </si>
  <si>
    <t>PR-08B-2023</t>
  </si>
  <si>
    <t>DKEU, DPU</t>
  </si>
  <si>
    <t>TBC MI</t>
  </si>
  <si>
    <t xml:space="preserve">1. Rendi Budiman  
2. Hafizh Haritsa - PKWT  
3. Khoirul Huda
</t>
  </si>
  <si>
    <t xml:space="preserve">1. Erfa
2. Agung
</t>
  </si>
  <si>
    <t>PR-08C-2023</t>
  </si>
  <si>
    <t>MD</t>
  </si>
  <si>
    <t>SOA</t>
  </si>
  <si>
    <t>BRD</t>
  </si>
  <si>
    <t>On Progress :
- Draft T.1.4 review KPPA
- Akan ada 2 kali implementasi untuk sisi DKu Jawa Timur   
  dan SPU Karawang
- SP3 sudah ditandatangani per 16 Januari 2025
- Sedang dilakukan asesmen oleh vendor ICT untuk service yg terdampak (baru &amp; enhancement)
-akan ada update untuk BRD SOA setelah dok FDD baru selesai
Update Progress:
1. Vendor ICT sudah kirimkan penawaran kepada pihak KPPA pada tgl 22 September 2025
2. Menunggu tahapan negosiasi dengan Vendor dan KPPA,yang blm dilakukan diakrenakan masih menunggu Finalisasi service dan atribut yang melekat di service SOA ke COS (Cash Operating System)
3. untuk SOA akan ada beberapa WO untuk pengerjaan proyek MHE IS dan yg akan lebih dahulu dikerjakan yaitu untuk DKU terlebih dahulu dan paralel untuk SPU</t>
  </si>
  <si>
    <t>Dona Kartika</t>
  </si>
  <si>
    <t>Rangga Dhaniarto</t>
  </si>
  <si>
    <t>1. Eko Rachmanto
2. Anton Sucipto</t>
  </si>
  <si>
    <t>1. Erfa
2. Agung
3. Ufaira
4. Dian</t>
  </si>
  <si>
    <t>ICT</t>
  </si>
  <si>
    <t>Rio, Fendi</t>
  </si>
  <si>
    <t>PR-08D-2023</t>
  </si>
  <si>
    <t>CBS, SOA</t>
  </si>
  <si>
    <t xml:space="preserve"> Diskusi dengan user mengenai concern jadwal implementasi masih ada potensi bergeser kembali</t>
  </si>
  <si>
    <t xml:space="preserve">Dona Kartika
</t>
  </si>
  <si>
    <t>Akbar</t>
  </si>
  <si>
    <t>timeline baru disampaikan UKPS ke DPU dan DLDS sebagai acuan surrounding MHE IS</t>
  </si>
  <si>
    <t>RKP penyampaian disepakati timeline mulai desain pada agustus 2025, dan kebutuhan update BRD final sebagai landasan dasar pekerjaan</t>
  </si>
  <si>
    <t>On Progress :
- Draft T.1.4 review KPPA
- Akan ada 2 kali implementasi untuk sisi DKu Jawa Timur   
  dan SPU Karawang
- SP3 sudah ditandatangani per 16 Januari 2025
- Sedang dilakukan asesmen oleh vendor ICT untuk service yg terdampak (baru &amp; enhancement)
-akan ada update untuk BRD SOA setelah dok FDD baru selesai
Update Progress:
1. WO untuk SOA DKU sudah terbit tgl 19 Desember 2025
2. Awal Desain akan di mulai M1 Januari-m3 Februari 2026
3. untuk SOA akan ada beberapa WO untuk pengerjaan proyek MHE IS dan yg akan lebih dahulu dikerjakan yaitu untuk DKU terlebih dahulu dan paralel untuk SPU</t>
  </si>
  <si>
    <t>PT-02C-2024</t>
  </si>
  <si>
    <t>P-48</t>
  </si>
  <si>
    <t>Digital Library</t>
  </si>
  <si>
    <t>Modernize Digital Library</t>
  </si>
  <si>
    <t>BINS</t>
  </si>
  <si>
    <t>1. Aryo Nugroho 
2. Eddry Fandra Kurnia
3. Genda Prasetya
4. Claudy Nindy - TW
5. Rendi budiman
6. I Gusti Ngurah Guna</t>
  </si>
  <si>
    <t>RD-09A-2024</t>
  </si>
  <si>
    <t>P-49</t>
  </si>
  <si>
    <t>SIMODIS</t>
  </si>
  <si>
    <r>
      <t>Capturing</t>
    </r>
    <r>
      <rPr>
        <sz val="10"/>
        <color rgb="FF000000"/>
        <rFont val="Aptos Narrow"/>
        <family val="2"/>
        <scheme val="minor"/>
      </rPr>
      <t xml:space="preserve"> Devisa (SIMODIS)</t>
    </r>
  </si>
  <si>
    <t>Penyesuaian SIMODIS DHE SDA Tahap 2</t>
  </si>
  <si>
    <t>DPKL</t>
  </si>
  <si>
    <r>
      <t xml:space="preserve">Go Live 1 Mei 2025
</t>
    </r>
    <r>
      <rPr>
        <sz val="12"/>
        <rFont val="Aptos Narrow"/>
        <family val="2"/>
        <scheme val="minor"/>
      </rPr>
      <t>Ket: project charter telah diterima dari DPKL-DHEN per 27 Mei 2025</t>
    </r>
  </si>
  <si>
    <t>1 Mei 2025</t>
  </si>
  <si>
    <t>Terdapat perubahan jadwal dan tambahan kebutuhan SIT setelah revisi PP dan adendum WO</t>
  </si>
  <si>
    <t>Diskusi dengan PKLD mengenai kebutuhan SIT pada April 2025</t>
  </si>
  <si>
    <t>Titik Rahayu</t>
  </si>
  <si>
    <t>Teo (KPPA)
Jajang (KPPA)
Mumin (KPPA)
Risda (KPPA)
Diah (KMBD)</t>
  </si>
  <si>
    <t>RIVIBI-PPA-P34-1-DLDS</t>
  </si>
  <si>
    <t xml:space="preserve">Pelaporan Kepabeanan Versi 1.3 pada SIMODIS </t>
  </si>
  <si>
    <t xml:space="preserve">Pengembangan Go Live 30 Juni 2025
Ket: masih terdapat catatan perbedaan data harian dan bulanan, sehingga perlu monitoring lebih lanjut pada masa PIR (estimasi 6 bulan). </t>
  </si>
  <si>
    <r>
      <t>Capturing</t>
    </r>
    <r>
      <rPr>
        <sz val="12"/>
        <color rgb="FF000000"/>
        <rFont val="Aptos Narrow"/>
        <family val="2"/>
        <scheme val="minor"/>
      </rPr>
      <t xml:space="preserve"> Devisa (SIMODIS)</t>
    </r>
  </si>
  <si>
    <t>Enhancement SIMODIS d.r. Pengawasan Penempatan DHE SDA</t>
  </si>
  <si>
    <t>NS</t>
  </si>
  <si>
    <r>
      <rPr>
        <sz val="12"/>
        <color rgb="FF000000"/>
        <rFont val="Aptos Narrow"/>
        <family val="2"/>
        <scheme val="minor"/>
      </rPr>
      <t>Capturing Devisa (SIMODIS)</t>
    </r>
  </si>
  <si>
    <t>Modernisasi Aplikasi Monitoring DHE</t>
  </si>
  <si>
    <t>Dsta, DPKL</t>
  </si>
  <si>
    <t>RIVIBI-PPA-P8-1-DLDS</t>
  </si>
  <si>
    <t>P-50</t>
  </si>
  <si>
    <t>FOMOBO</t>
  </si>
  <si>
    <t>Sistem Treasuri Bank Indonesia</t>
  </si>
  <si>
    <t>Implementasi Transaksi Derivatif FX Swap di FOMOBO</t>
  </si>
  <si>
    <t>DPD</t>
  </si>
  <si>
    <t>Bloomberg, FOMOBO, SOA</t>
  </si>
  <si>
    <t>M. Fahmi Ridwan</t>
  </si>
  <si>
    <t>1. Galih Andana
2. Yohana Wida
3. Anton Sucipto</t>
  </si>
  <si>
    <t>Inhouse
Outsource</t>
  </si>
  <si>
    <t>1. FOMOBO
2. ICT</t>
  </si>
  <si>
    <t>Risma
Mega</t>
  </si>
  <si>
    <t>RIVIBI-PPA-P8-2-DLDS</t>
  </si>
  <si>
    <t>Tri Party Open Repo Devisa pada FOMOBO</t>
  </si>
  <si>
    <t>1. Galih Andana
2. Yohana Wida
3. Veni Kertayu
4. Anton Sucipto</t>
  </si>
  <si>
    <t>Risma</t>
  </si>
  <si>
    <t>RIVIBI-PPA-P8-3-DLDS</t>
  </si>
  <si>
    <t>Triparty Repo BNYM</t>
  </si>
  <si>
    <t>FOMOBO, SOA, Bloomberg</t>
  </si>
  <si>
    <r>
      <rPr>
        <b/>
        <sz val="12"/>
        <rFont val="Aptos Narrow"/>
        <family val="2"/>
        <scheme val="minor"/>
      </rPr>
      <t xml:space="preserve">Telah  Go Live 30 Juni 2025. 
</t>
    </r>
    <r>
      <rPr>
        <sz val="12"/>
        <rFont val="Aptos Narrow"/>
        <family val="2"/>
        <scheme val="minor"/>
      </rPr>
      <t xml:space="preserve">Deployment telah dilaksanakan tanggal 26 Juni 2025.
</t>
    </r>
  </si>
  <si>
    <t>1. Galih Andana
2. Ahmad Muhajir
3. Ahmad Maimnif</t>
  </si>
  <si>
    <t>Dian
Adam</t>
  </si>
  <si>
    <t>RIVIBI-PPA-P8-5-DLDS</t>
  </si>
  <si>
    <t>Perubahan dari Protokol TOF menjadi Protokol FIX LSEG pada FOMOBO</t>
  </si>
  <si>
    <t>DLDS, DPPT</t>
  </si>
  <si>
    <t>Refintiv, FOMOBO</t>
  </si>
  <si>
    <t>1. Galih Andana
2. Ahmad Maimunif
3. Ahmad Muhajir</t>
  </si>
  <si>
    <t>LSEG, Nasdaq, PTAP</t>
  </si>
  <si>
    <t xml:space="preserve">Fitri
Risma
</t>
  </si>
  <si>
    <t>RIVIBI-PPA-P8-6-DLDS</t>
  </si>
  <si>
    <t>Penguatan FOMOBO Tahap 1</t>
  </si>
  <si>
    <t>DPD, DPMA, DMR, DPPT, DKeu</t>
  </si>
  <si>
    <t>1. Galih Andana
2. Yohana Wida
3. Ahmad Muhajir</t>
  </si>
  <si>
    <t>RIVIBI-PPA-P8-7-DLDS</t>
  </si>
  <si>
    <t>Penambahan Fitur Early Redemption Instrumen OM Rupiah BI-FOMOBO</t>
  </si>
  <si>
    <t>DPPT</t>
  </si>
  <si>
    <t xml:space="preserve">Golive Tanggal 24 Maret 2025
</t>
  </si>
  <si>
    <t>Tidak ada THOS</t>
  </si>
  <si>
    <t>RIVIBI-PPA-P8-8-DLDS</t>
  </si>
  <si>
    <t xml:space="preserve">Enh. Portfolio Workstation  (PWS) untuk Pengelolaan Risiko Operasi Moneter pada FMB </t>
  </si>
  <si>
    <t>DMR</t>
  </si>
  <si>
    <t>Pengembangan Penguatan Fungsi Pencatatan Akuntansi FOMOBO</t>
  </si>
  <si>
    <t>DPPT, DKEu, DMR, DPD</t>
  </si>
  <si>
    <r>
      <t xml:space="preserve">Deployment dilakukan tanggal 28-30 November 2025,
</t>
    </r>
    <r>
      <rPr>
        <b/>
        <sz val="12"/>
        <rFont val="Aptos Narrow"/>
        <family val="2"/>
        <scheme val="minor"/>
      </rPr>
      <t>GO-Live tanggal 1 Desember 2025</t>
    </r>
  </si>
  <si>
    <t>1. Thoriq Prima Putra D.
2. Farah Fadhilah W</t>
  </si>
  <si>
    <t>1. Galih Andana
2. Ahmad Maimunif
3. Veni Kertayu Putri</t>
  </si>
  <si>
    <t>Dian
Rifqi
Ajeng
Noval</t>
  </si>
  <si>
    <t>Upgrade versi FOMOBO</t>
  </si>
  <si>
    <t>1. Galih Andana
2. Ahmad Maimunif
3.Ahmad Muhajir
4.  M. Naufal Prasetyo
5. Veni Kertayu
6. Yohana Wida
7. Anton Sucipto</t>
  </si>
  <si>
    <t>PTAP</t>
  </si>
  <si>
    <t>Penguatan FOMOBO Tahap 2</t>
  </si>
  <si>
    <t>RV-01A-2023</t>
  </si>
  <si>
    <t>P-51</t>
  </si>
  <si>
    <t>BI-SILK</t>
  </si>
  <si>
    <t>Pengelolaan Layanan Kas</t>
  </si>
  <si>
    <t>Modernize Layanan Kas Tunai (BI-SILK)</t>
  </si>
  <si>
    <r>
      <rPr>
        <b/>
        <sz val="12"/>
        <color rgb="FF000000"/>
        <rFont val="Aptos Narrow"/>
        <family val="2"/>
        <scheme val="minor"/>
      </rPr>
      <t xml:space="preserve">Saat ini :
</t>
    </r>
    <r>
      <rPr>
        <sz val="12"/>
        <color rgb="FF000000"/>
        <rFont val="Aptos Narrow"/>
        <family val="2"/>
        <scheme val="minor"/>
      </rPr>
      <t>1. Addendum kontrak proyek BISILK</t>
    </r>
    <r>
      <rPr>
        <b/>
        <sz val="12"/>
        <color rgb="FF000000"/>
        <rFont val="Aptos Narrow"/>
        <family val="2"/>
        <scheme val="minor"/>
      </rPr>
      <t xml:space="preserve"> (done)
</t>
    </r>
    <r>
      <rPr>
        <sz val="12"/>
        <color rgb="FF000000"/>
        <rFont val="Aptos Narrow"/>
        <family val="2"/>
        <scheme val="minor"/>
      </rPr>
      <t xml:space="preserve">2. Industiral test </t>
    </r>
    <r>
      <rPr>
        <b/>
        <sz val="12"/>
        <color rgb="FF000000"/>
        <rFont val="Aptos Narrow"/>
        <family val="2"/>
        <scheme val="minor"/>
      </rPr>
      <t xml:space="preserve">(done)
</t>
    </r>
    <r>
      <rPr>
        <sz val="12"/>
        <color rgb="FF000000"/>
        <rFont val="Aptos Narrow"/>
        <family val="2"/>
        <scheme val="minor"/>
      </rPr>
      <t xml:space="preserve">3. Persiapan Implementasi
       a. LDP Juknis T.5.2, T.5.3, T.5.4 </t>
    </r>
    <r>
      <rPr>
        <b/>
        <sz val="12"/>
        <color rgb="FF000000"/>
        <rFont val="Aptos Narrow"/>
        <family val="2"/>
        <scheme val="minor"/>
      </rPr>
      <t xml:space="preserve">(done)
 </t>
    </r>
    <r>
      <rPr>
        <sz val="12"/>
        <color rgb="FF000000"/>
        <rFont val="Aptos Narrow"/>
        <family val="2"/>
        <scheme val="minor"/>
      </rPr>
      <t xml:space="preserve">      b. T.5.1 </t>
    </r>
    <r>
      <rPr>
        <b/>
        <sz val="12"/>
        <color rgb="FF000000"/>
        <rFont val="Aptos Narrow"/>
        <family val="2"/>
        <scheme val="minor"/>
      </rPr>
      <t xml:space="preserve">(done)
</t>
    </r>
    <r>
      <rPr>
        <sz val="12"/>
        <color rgb="FFFF0000"/>
        <rFont val="Aptos Narrow"/>
        <family val="2"/>
        <scheme val="minor"/>
      </rPr>
      <t xml:space="preserve">       </t>
    </r>
    <r>
      <rPr>
        <sz val="12"/>
        <color rgb="FF000000"/>
        <rFont val="Aptos Narrow"/>
        <family val="2"/>
        <scheme val="minor"/>
      </rPr>
      <t xml:space="preserve">c. T.5.5 </t>
    </r>
    <r>
      <rPr>
        <b/>
        <sz val="12"/>
        <color rgb="FF000000"/>
        <rFont val="Aptos Narrow"/>
        <family val="2"/>
        <scheme val="minor"/>
      </rPr>
      <t xml:space="preserve">(done)
</t>
    </r>
    <r>
      <rPr>
        <b/>
        <sz val="12"/>
        <color rgb="FF156082"/>
        <rFont val="Aptos Narrow"/>
        <family val="2"/>
        <scheme val="minor"/>
      </rPr>
      <t xml:space="preserve">       d.  T.1.4  (done)
</t>
    </r>
    <r>
      <rPr>
        <sz val="12"/>
        <color rgb="FF000000"/>
        <rFont val="Aptos Narrow"/>
        <family val="2"/>
        <scheme val="minor"/>
      </rPr>
      <t xml:space="preserve">4. Tes uji koneksi production </t>
    </r>
    <r>
      <rPr>
        <b/>
        <sz val="12"/>
        <color rgb="FF000000"/>
        <rFont val="Aptos Narrow"/>
        <family val="2"/>
        <scheme val="minor"/>
      </rPr>
      <t xml:space="preserve">(done)
</t>
    </r>
    <r>
      <rPr>
        <sz val="12"/>
        <color rgb="FF000000"/>
        <rFont val="Aptos Narrow"/>
        <family val="2"/>
        <scheme val="minor"/>
      </rPr>
      <t xml:space="preserve">5. Verifikasi Data Migrasi 
</t>
    </r>
    <r>
      <rPr>
        <b/>
        <sz val="12"/>
        <color rgb="FF000000"/>
        <rFont val="Aptos Narrow"/>
        <family val="2"/>
        <scheme val="minor"/>
      </rPr>
      <t xml:space="preserve">     </t>
    </r>
    <r>
      <rPr>
        <sz val="12"/>
        <color rgb="FF000000"/>
        <rFont val="Aptos Narrow"/>
        <family val="2"/>
        <scheme val="minor"/>
      </rPr>
      <t>a. Data colllection -</t>
    </r>
    <r>
      <rPr>
        <b/>
        <sz val="12"/>
        <color rgb="FF000000"/>
        <rFont val="Aptos Narrow"/>
        <family val="2"/>
        <scheme val="minor"/>
      </rPr>
      <t xml:space="preserve"> (done)
     </t>
    </r>
    <r>
      <rPr>
        <sz val="12"/>
        <color rgb="FF000000"/>
        <rFont val="Aptos Narrow"/>
        <family val="2"/>
        <scheme val="minor"/>
      </rPr>
      <t xml:space="preserve">b. Data transaksi - </t>
    </r>
    <r>
      <rPr>
        <b/>
        <sz val="12"/>
        <color rgb="FF000000"/>
        <rFont val="Aptos Narrow"/>
        <family val="2"/>
        <scheme val="minor"/>
      </rPr>
      <t xml:space="preserve">(cancel karena cut off secara bisnis) 
</t>
    </r>
    <r>
      <rPr>
        <sz val="12"/>
        <color rgb="FF000000"/>
        <rFont val="Aptos Narrow"/>
        <family val="2"/>
        <scheme val="minor"/>
      </rPr>
      <t xml:space="preserve">     c. BA migrasi data </t>
    </r>
    <r>
      <rPr>
        <b/>
        <sz val="12"/>
        <color rgb="FF000000"/>
        <rFont val="Aptos Narrow"/>
        <family val="2"/>
        <scheme val="minor"/>
      </rPr>
      <t xml:space="preserve">(done)
</t>
    </r>
    <r>
      <rPr>
        <sz val="12"/>
        <color rgb="FF000000"/>
        <rFont val="Aptos Narrow"/>
        <family val="2"/>
        <scheme val="minor"/>
      </rPr>
      <t>6. Deployment 26-27 September 2025</t>
    </r>
    <r>
      <rPr>
        <b/>
        <sz val="12"/>
        <color rgb="FF000000"/>
        <rFont val="Aptos Narrow"/>
        <family val="2"/>
        <scheme val="minor"/>
      </rPr>
      <t xml:space="preserve"> (done)
</t>
    </r>
    <r>
      <rPr>
        <sz val="12"/>
        <color rgb="FF747474"/>
        <rFont val="Aptos Narrow"/>
        <family val="2"/>
        <scheme val="minor"/>
      </rPr>
      <t xml:space="preserve">7. Go-live 10 Oktober 2025 (rescheduled)
</t>
    </r>
    <r>
      <rPr>
        <sz val="12"/>
        <color rgb="FF000000"/>
        <rFont val="Aptos Narrow"/>
        <family val="2"/>
        <scheme val="minor"/>
      </rPr>
      <t xml:space="preserve">8. BA Deployment BISILK Gen 2 </t>
    </r>
    <r>
      <rPr>
        <b/>
        <sz val="12"/>
        <color rgb="FF000000"/>
        <rFont val="Aptos Narrow"/>
        <family val="2"/>
        <scheme val="minor"/>
      </rPr>
      <t xml:space="preserve">(done)
</t>
    </r>
    <r>
      <rPr>
        <sz val="12"/>
        <color rgb="FF000000"/>
        <rFont val="Aptos Narrow"/>
        <family val="2"/>
        <scheme val="minor"/>
      </rPr>
      <t xml:space="preserve">9. Softlauncing 31 Oktober 2025 </t>
    </r>
    <r>
      <rPr>
        <b/>
        <sz val="12"/>
        <color rgb="FF000000"/>
        <rFont val="Aptos Narrow"/>
        <family val="2"/>
        <scheme val="minor"/>
      </rPr>
      <t xml:space="preserve">(done)
</t>
    </r>
    <r>
      <rPr>
        <b/>
        <sz val="12"/>
        <color rgb="FF156082"/>
        <rFont val="Aptos Narrow"/>
        <family val="2"/>
        <scheme val="minor"/>
      </rPr>
      <t xml:space="preserve">10. launching transaksi  potensial 5 Desember 2025 (done)
</t>
    </r>
    <r>
      <rPr>
        <sz val="12"/>
        <color rgb="FF000000"/>
        <rFont val="Aptos Narrow"/>
        <family val="2"/>
        <scheme val="minor"/>
      </rPr>
      <t>11. BA Testing DRC</t>
    </r>
    <r>
      <rPr>
        <b/>
        <sz val="12"/>
        <color rgb="FF000000"/>
        <rFont val="Aptos Narrow"/>
        <family val="2"/>
        <scheme val="minor"/>
      </rPr>
      <t xml:space="preserve"> (canceled)</t>
    </r>
  </si>
  <si>
    <t xml:space="preserve">1. menggunakan teknologi terbaru openshift untuk meningkatkat security dan performance aplikasi
2. Berdasarkan point 1 sempat timbul kendala perlu request pengadaan baru kebutuhan openshift pada server production ke KPIPIT yang berpotensi keterlambatan kesiapan pada waktu implementasi
3. saat ini sedang sangat diupayakan server development untuk bisa terpasang aplikasi bisilk sebagai persiapan unit test dan SIT di sisi BI
4. potensi perlu persiapan awal apabila mengenai interkoneksi perlu prepare kesiapan dari surrounding untuk bisa dilakukan antar sistem BIISLKGen 2 per 29 April 2025 dari Mas Mukti)
5. Pembahasan temuan demo UAT (tidak dibahas lanjutan karena diluar cakupan saat ini)
</t>
  </si>
  <si>
    <t>1. Pengujian unit test masih cukup banyak dengan 1518 skenario, beriringan penyelesaian koding dan interkoneksi dengan ALK+EDW
2. Pembahasan skenairo UAT concern user agar dapat dibahsan di tahapan pemrogramman agar dapat align dengan aplikasi yang sedang dikembangkan
3. Perlu kesediaan aplikasi bisilk yang running di server dev agar dapat berjalan dengan baik, karena masih ada temuan error yang di test oleh KPPA
4. Mulai</t>
  </si>
  <si>
    <t>Penyampaian kebutuhan fungsi switching pada tahapan UAT</t>
  </si>
  <si>
    <t>memorandum penyampaian kebutuhan switching</t>
  </si>
  <si>
    <t>koordinasi rapat teknis pembahsan timeline bisilk terdampak switchiing</t>
  </si>
  <si>
    <t>D yang diupdate</t>
  </si>
  <si>
    <t>1. Diperlukan daily monitoirng unit test dan target cekpoint UT dengan Jira
2. Akan dilaksanakan konsinyering pembahasan pegujian
3. update patch aplikasi bisilk secara berkala</t>
  </si>
  <si>
    <t>RIVIBI-PPA-P9-1-DLDS</t>
  </si>
  <si>
    <t>P-52</t>
  </si>
  <si>
    <t>GMMP</t>
  </si>
  <si>
    <t>DCP GMMP</t>
  </si>
  <si>
    <t>Implementasi Kewajiban Pemenuhan Giro RPIM pada GMMP</t>
  </si>
  <si>
    <t>DKMP</t>
  </si>
  <si>
    <t>SSK</t>
  </si>
  <si>
    <r>
      <t xml:space="preserve">- </t>
    </r>
    <r>
      <rPr>
        <b/>
        <sz val="12"/>
        <rFont val="Aptos Narrow"/>
        <family val="2"/>
        <scheme val="minor"/>
      </rPr>
      <t>Go Live 26 Maret 2025</t>
    </r>
  </si>
  <si>
    <t>dikarenakan adendum kontrak lama selesainya yang tadinya proyek GMMP ini timelinenya dibuat 1 tahap perngerjaan menjadi 2 tahapan pengerjaan yang mana untuk tahap 1 dikerjaan yang scope yang urgensi dahulu untuk digunakan user pada awal april 2025.</t>
  </si>
  <si>
    <t>masih ada sisa temuan :
1. Logo semua output
2. Output KLM per bank dan seluruh bank (periode KLM masih ditulis maret)
3. Ouput IMP per bank dan seluruh, kewajiban giro bank 405 syariah masih kosong (harusnya ada nilainya) -&gt; DONE (on check lagi)
4. Output pemenuhan RPIM kolom RPIM, pencapaian RPIM dan target RPIM tdk dalam %</t>
  </si>
  <si>
    <t>PT Mede</t>
  </si>
  <si>
    <t>Irpan (TKO)</t>
  </si>
  <si>
    <t>d</t>
  </si>
  <si>
    <t>Implementasi Kewajiban Pemenuhan Giro RPIM pada GMMP-surrounding BI-SSS</t>
  </si>
  <si>
    <r>
      <t xml:space="preserve"> </t>
    </r>
    <r>
      <rPr>
        <b/>
        <sz val="12"/>
        <rFont val="Aptos Narrow"/>
        <family val="2"/>
        <scheme val="minor"/>
      </rPr>
      <t xml:space="preserve">- Go Live 25 Maret 2025
</t>
    </r>
    <r>
      <rPr>
        <sz val="12"/>
        <rFont val="Aptos Narrow"/>
        <family val="2"/>
        <scheme val="minor"/>
      </rPr>
      <t xml:space="preserve">
</t>
    </r>
  </si>
  <si>
    <t xml:space="preserve">masih terdapat kendala pada pengadaan. </t>
  </si>
  <si>
    <t>RIVIBI-PPA-P9-3-DLDS</t>
  </si>
  <si>
    <t>Pemenuhan Sumber Data Komponen Perhitungan RIM dari LBUT pada GMMP</t>
  </si>
  <si>
    <t xml:space="preserve">1. Rifka Saskia
2. Agieta
</t>
  </si>
  <si>
    <t>1. Alamsyah
2. Muhammad Arif sucipto</t>
  </si>
  <si>
    <t>RIVIBI-PPA-P9-4-DLDS</t>
  </si>
  <si>
    <t>Penyesuaian Formula Pengenaan Sanksi GWM, untuk BUK dan BUS pada GMMP</t>
  </si>
  <si>
    <t>DKEM, DKMP, DEKS, DPKL, DIDD</t>
  </si>
  <si>
    <t>RIVIBI-PPA-P9-5-DLDS</t>
  </si>
  <si>
    <t>Rekonsiliasi data DPK dan Penyesuaian Perhitungan GWM Averaging d.r. Aksi Korporasi ditengah MP</t>
  </si>
  <si>
    <t>DKEM, DKMP,  DPKL</t>
  </si>
  <si>
    <t>GMMP, IEA</t>
  </si>
  <si>
    <t>Not Started</t>
  </si>
  <si>
    <t>Implementasi Kewajiban Pemenuhan Giro RPIM pada GMMP Tahap 2</t>
  </si>
  <si>
    <r>
      <rPr>
        <b/>
        <sz val="12"/>
        <rFont val="Aptos Narrow"/>
        <family val="2"/>
        <scheme val="minor"/>
      </rPr>
      <t xml:space="preserve">- GO Live 28 Mei 2025
</t>
    </r>
  </si>
  <si>
    <t>Penyesuaian Formula Pengenaan Sanksi GWM, untuk BUK dan BUS pada GMMP - Surrounding ANTASENA</t>
  </si>
  <si>
    <t>Moneter, SSK</t>
  </si>
  <si>
    <t>- Telah deploy pada 30 Agustus 2025
- Saat ini menu belum ditampilkan dan job belum dapat dijalankan menunggu implementasi yang akan dilakukan setelah penerbitan ketentuan
- Terkait adanya perubahan jadwal implementasi, akan dilakukan revisi RPP</t>
  </si>
  <si>
    <t>KLM Forward Looking Tahap 1</t>
  </si>
  <si>
    <r>
      <rPr>
        <sz val="12"/>
        <color rgb="FF000000"/>
        <rFont val="Aptos Narrow"/>
        <family val="2"/>
        <scheme val="minor"/>
      </rPr>
      <t xml:space="preserve"> </t>
    </r>
    <r>
      <rPr>
        <b/>
        <sz val="12"/>
        <color rgb="FF000000"/>
        <rFont val="Aptos Narrow"/>
        <family val="2"/>
        <scheme val="minor"/>
      </rPr>
      <t>Go Live 27 November 2025</t>
    </r>
  </si>
  <si>
    <t>Rifka Saskia</t>
  </si>
  <si>
    <t>KLM Forward Looking Tahap 2</t>
  </si>
  <si>
    <t>TD-02-2024</t>
  </si>
  <si>
    <t>P-53</t>
  </si>
  <si>
    <t>SISMONTAVAR</t>
  </si>
  <si>
    <t>Capturing Transaksi Valas dan Rupiah</t>
  </si>
  <si>
    <t>Modernize Custom Report SISMONTAVAR</t>
  </si>
  <si>
    <t xml:space="preserve">Golive Tanggal 12 Desember 2024
</t>
  </si>
  <si>
    <t>LSEG</t>
  </si>
  <si>
    <t>Fitri
Risma
Ardiansyah</t>
  </si>
  <si>
    <t>RIVIBI-PPA-P10-2-DLDS</t>
  </si>
  <si>
    <t>P-54</t>
  </si>
  <si>
    <t>Pengelolaan Uang BI pada Modul INV - WMS di ERPHRIS</t>
  </si>
  <si>
    <t>DPU, DPPT</t>
  </si>
  <si>
    <t xml:space="preserve">1. Yoe One Ariestya Niovitta (PKWT)
2. Hafidz Risqiadi
</t>
  </si>
  <si>
    <t xml:space="preserve">1. Rendi Budiman
2. Erica Maulidina
3. Hafizh Haritsa
</t>
  </si>
  <si>
    <t>RIVIBI-PPA-P10-3-DLDS</t>
  </si>
  <si>
    <t>Pengelolaan Keuangan BI (Prioritas 1) pada ERPHRIS</t>
  </si>
  <si>
    <t>DKeu</t>
  </si>
  <si>
    <t>1. Rendi Budiman
2. Erica Maulidina</t>
  </si>
  <si>
    <t>Santi. Nindy</t>
  </si>
  <si>
    <t>RIVIBI-PPA-P10-4-DLDS</t>
  </si>
  <si>
    <t>Pengelolaan Keuangan BI (Prioritas 2) pada ERPHRIS</t>
  </si>
  <si>
    <t>RIVIBI-PPA-P10-5-DLDS</t>
  </si>
  <si>
    <t>Pengelolaan Keuangan BI (Prioritas 3) pada ERPHRIS</t>
  </si>
  <si>
    <t>RIVIBI-PPA-P10-6-DLDS</t>
  </si>
  <si>
    <t>Pengelolaan Remunerasi (Prioritas 1) pada ERPHRIS</t>
  </si>
  <si>
    <t>DSDM, DKeu</t>
  </si>
  <si>
    <t xml:space="preserve">1. Rendi Budiman
2. Erica Maulidina
3. Kevin Tjahjadi
</t>
  </si>
  <si>
    <t>RIVIBI-PPA-P10-7-DLDS</t>
  </si>
  <si>
    <t>Pengelolaan Remunerasi (Prioritas 2) pada ERPHRIS</t>
  </si>
  <si>
    <t>RIVIBI-PPA-P10-8-DLDS</t>
  </si>
  <si>
    <t>Pengelolaan Remunerasi (Prioritas 3) pada ERPHRIS</t>
  </si>
  <si>
    <t>RIVIBI-PPA-P10-9-DLDS</t>
  </si>
  <si>
    <t xml:space="preserve">Enhancement ERPHRIS Prioritas </t>
  </si>
  <si>
    <t>Dkeu, DSDM, DPU</t>
  </si>
  <si>
    <t xml:space="preserve">Sudah GOLIVE Semua CR WO4 pada 16 Mei 2025
* CRERPHRIS Darmasiswa, Sudah Golive 14 Feb 2025
* CRERPHRIS Bukti Advis Rekanan, Sudah Golive 28 Feb 2025
* CRERPHRIS Laporan Pemantauan Accrual Expense, Sudah Golive 21 Maret 2025
* CRERPHRIS Laporan Pemantauan Travel, Sudah Golive 10 Maret 2025
* CRERPHRSI Laporan Notifikasi Keuangan, Sudah  Golive 21 Maret 2025
*Mitigasi kesalahan penentuan asset category dan asset description, Sudah Golive 02 Mei 2025 
* CRERPHRIS Laporan pemantauan data fixed asset (FA) dan General Ledger (GL), Sudah Golive 16 Mei 2025
*CRERPHRIS Penambahan / Modifikasi Laporan CR Penambahan laporan Persediaan Stok Nasional (tidak per IO), KDK dan Per Satker, Sudah Golive 09 Mei 2025
* CRERPHRIS Tunjangan Transportasi, Sudah Golive 16 Mei 2025
*CRERPHRIS Elemen PKWT, Sudah Golive 16 Mei 2025
</t>
  </si>
  <si>
    <t>RIVIBI-PPA-P10-10-DLDS</t>
  </si>
  <si>
    <t>Penyesuaian Tarif PPN 12%</t>
  </si>
  <si>
    <t xml:space="preserve">Sudah Go live 26 Maret 2025
</t>
  </si>
  <si>
    <t>RIVIBI-PPA-P11-1-DLDS</t>
  </si>
  <si>
    <t>P-55</t>
  </si>
  <si>
    <t>BI-SSS</t>
  </si>
  <si>
    <t>Surveilance Supervision System</t>
  </si>
  <si>
    <t>Enh. sistem surveillance BI pada BI-SSS</t>
  </si>
  <si>
    <t>DSMM</t>
  </si>
  <si>
    <r>
      <rPr>
        <b/>
        <sz val="12"/>
        <color rgb="FF000000"/>
        <rFont val="Aptos Narrow"/>
        <family val="2"/>
        <scheme val="minor"/>
      </rPr>
      <t xml:space="preserve">Go Live 1 November 2025
</t>
    </r>
    <r>
      <rPr>
        <sz val="12"/>
        <color rgb="FF000000"/>
        <rFont val="Aptos Narrow"/>
        <family val="2"/>
        <scheme val="minor"/>
      </rPr>
      <t xml:space="preserve">
</t>
    </r>
  </si>
  <si>
    <t>Rifka Saskia Nurunnisa</t>
  </si>
  <si>
    <t>RIVIBI-PPA-P11-2-DLDS</t>
  </si>
  <si>
    <t>Digitalisasi Asesmen TIKMI</t>
  </si>
  <si>
    <t>RIVIBI-PPA-P11-3-DLDS</t>
  </si>
  <si>
    <t xml:space="preserve">Pemrosesan PLJP/PLJPS v1.2 </t>
  </si>
  <si>
    <t>RIVIBI-PPA-P11-4-DLDS</t>
  </si>
  <si>
    <t>Modernize BI-SSS</t>
  </si>
  <si>
    <t>1. Ufaira
2. Dian</t>
  </si>
  <si>
    <t xml:space="preserve">Digitalisasi TIKMI - Key Survey </t>
  </si>
  <si>
    <t xml:space="preserve">Key Survey </t>
  </si>
  <si>
    <t>RIVIBI-PPA-P13-1-DLDS</t>
  </si>
  <si>
    <t>P-57</t>
  </si>
  <si>
    <t>CRM BICARA</t>
  </si>
  <si>
    <t>Customer Relationship Management (BICARA)</t>
  </si>
  <si>
    <t>Penyesuaian aplikasi CRM Bicara untuk mendukung Implementas Lembaga Alternatif Penyelesaian Sengketa di Sektor Keuangan (LAPS-SK) Tahap 1</t>
  </si>
  <si>
    <t>DSPK, DKOM</t>
  </si>
  <si>
    <t>BICARA</t>
  </si>
  <si>
    <t>1. Rendi Budiman
2. Ahlan Hadian</t>
  </si>
  <si>
    <t>PT MSI</t>
  </si>
  <si>
    <t>RIVIBI-PPA-P14-1-DLDS</t>
  </si>
  <si>
    <t>P-58</t>
  </si>
  <si>
    <t>Integrasi Survei</t>
  </si>
  <si>
    <t>Modernize Integrasi Survei Tahap 1</t>
  </si>
  <si>
    <t>DSta</t>
  </si>
  <si>
    <t xml:space="preserve">Titik Rahayu </t>
  </si>
  <si>
    <t>Jajang (KPPA)
Risda (KPPA)
Diah (KMBD)</t>
  </si>
  <si>
    <t>Modernize Integrasi Survei Tahap 2</t>
  </si>
  <si>
    <t>Modernize Integrasi Survei Tahap 3</t>
  </si>
  <si>
    <t>Dsta</t>
  </si>
  <si>
    <t>RIVIBI-PPA-P15-1-DLDS</t>
  </si>
  <si>
    <t>P-59</t>
  </si>
  <si>
    <t>SI BI-SSSS</t>
  </si>
  <si>
    <t>Reporting BI-SSSS</t>
  </si>
  <si>
    <t>Modernize (rewrite) SI BI-SSSS</t>
  </si>
  <si>
    <t>DPSP, DLDS</t>
  </si>
  <si>
    <t xml:space="preserve">1. Faradilla Anggun S.
2. Muhammad Daffa Alfarizqi
</t>
  </si>
  <si>
    <t>1. Alfadho Khasroh
2. M. Naufal Prasetyo
3. Tony Liston
4. Yudhistira
5. Elsameinar</t>
  </si>
  <si>
    <t>1. R. Erfa Febrimalia Abdullah
2. Dian Indriani</t>
  </si>
  <si>
    <t>RIVIBI-PPA-P16-1-DLDS</t>
  </si>
  <si>
    <t>P-60</t>
  </si>
  <si>
    <t>CBS</t>
  </si>
  <si>
    <t>Core Banking System Gen II</t>
  </si>
  <si>
    <t>Modernize Core Banking System (CBS)</t>
  </si>
  <si>
    <t>RDG</t>
  </si>
  <si>
    <t>DPPT, DPU</t>
  </si>
  <si>
    <t>Update 17 November 2025
Penyusunan PN:
1. Draft IN telah selesai disusun, akan tetapi perlu dilakukan penyesuaian berdasarkan update terakhir akan menggunakan PN disebabkan ada dampak terhadap ketentuan
2. Selanjutnya IN akan diconvert ke dalam PN untuk selanjutnya dipaparkan kepada pimpinan DLDS.
3. Due date penyusunan PN adalah TW 1  2026
Penyusunan RBT:
1.  Adapun target penyelesaian RBT adalah akhir Desember 2025 (revisit RIVIBI, target RBT adalah TW 1 2026)
2. Akan terdapat format RBT baru untuk DMP RDG atau ADG yaitu melalui format PPT. Hal ini disebabkan untuk mengurangi naik turunnya dokumen dalam hal terdapat penyesuaian level teknis pada RBT</t>
  </si>
  <si>
    <t xml:space="preserve">1. Faradilla Anggun S.
2. Dona Kartika 
</t>
  </si>
  <si>
    <t>Erfa
Dian</t>
  </si>
  <si>
    <t>Akbar
Aji
Yaumil
Delya</t>
  </si>
  <si>
    <t>RIVIBI-PPA-P17-1-DLDS</t>
  </si>
  <si>
    <t>P-61</t>
  </si>
  <si>
    <t>Learning Management System (LMS)</t>
  </si>
  <si>
    <t>Learning Management System</t>
  </si>
  <si>
    <t>Enh. aplikasi Learning Management System (LMS) Tahap 1</t>
  </si>
  <si>
    <t>LMS-BI</t>
  </si>
  <si>
    <r>
      <rPr>
        <b/>
        <sz val="12"/>
        <rFont val="Aptos Narrow"/>
        <family val="2"/>
        <scheme val="minor"/>
      </rPr>
      <t xml:space="preserve">Update Terkini:
</t>
    </r>
    <r>
      <rPr>
        <sz val="12"/>
        <rFont val="Aptos Narrow"/>
        <family val="2"/>
        <scheme val="minor"/>
      </rPr>
      <t xml:space="preserve">Telah berhasil deployment pada 31 Juli 2025 
</t>
    </r>
    <r>
      <rPr>
        <b/>
        <sz val="12"/>
        <rFont val="Aptos Narrow"/>
        <family val="2"/>
        <scheme val="minor"/>
      </rPr>
      <t>Progres Proyek:
a</t>
    </r>
    <r>
      <rPr>
        <sz val="12"/>
        <rFont val="Aptos Narrow"/>
        <family val="2"/>
        <scheme val="minor"/>
      </rPr>
      <t>. On progres UAT (94/96 sudah selesai di eksekusi). Terdapat 48 temuan dengan detail 45 sudah closed dan 3 masih in progress fixing
b.Telah dilakukan kick off SIT pada Selasa, 1 Juli 2025 dan pada 2 Juli sudah dinyatakan lolos pra SIT. 
c. Hasil kesepakatan dengan PKLD, dan BINS terkait UAT kick off akan mundur 1 hari menjadi Rabu, 16 Juli 2025 disebabkan SIT mundur 1 hari. namun Kick off UAT tetap bisa dilakukan Selasa, 15 Juli 2025, dengan catatan JIRA terkait UAT belum bisa diksekusi
d. Per Jumat, 4 Juli 2025 52/119 skenario telah di executed(
Pass=34; Fail=18
e. 15 Mei finalisasi SRS WO 1 yang akan dilanjutkan pada 21 Mei penyelesaiannya beserta dengan timeline
f. WO-1 LMS 2025 terbit per 17 Mei 2025 
g. 6 Mei 2025 telah dilakukan pembahasan mengenai tampilan UI UX untuk 9 fitur dari BRD LMS 2.0 yang dikembangkan pada LMS 2025 yang akan digunakan sebagai lampiran SRS. Tampilan UI UX akan difinalkan oleh vendor Jumat, 9 Mei 2025. Draft SRS sudah tersedia
BINS perlu melengkapi RBT HR Super Apps untuk integrasi dengan LMS BI, khususnya terkait data yang akan diterima oleh HR Super Apps dari LMS.
h. Pada RBT LMS BI, dituliskan data apa yang akan dikirim ke HR SuperApps dan HRIS.
i. Perlu ada RBT pengembangan HRIS yang melibatkan DSDM.
j. BINS perlu mengassess jika enrolment dipindahkan dari HRIS ke LMS BI (sekarang) dan mensosialisasikan perubahan proses enrollment dari HRIS ke LMS BI kepada DSDM dan line manager.
k. DSDM, BINS, DIDD, dan DLDS akan mengadakan pertemuan lanjutan untuk membahas detail integrasi LMS BI dengan HRIS dan HR Super Apps.</t>
    </r>
  </si>
  <si>
    <t xml:space="preserve">Yoe One Ariestya Niovitta (PKWT)
</t>
  </si>
  <si>
    <t xml:space="preserve">1. Rendi Budiman
2. Erica Maulidina
3. Hafizh HAritsa
</t>
  </si>
  <si>
    <t>Integrasi LMS-BI dan HRIS</t>
  </si>
  <si>
    <r>
      <rPr>
        <b/>
        <sz val="12"/>
        <rFont val="Aptos Narrow"/>
        <family val="2"/>
        <scheme val="minor"/>
      </rPr>
      <t xml:space="preserve">Progres Terkini:
</t>
    </r>
    <r>
      <rPr>
        <sz val="12"/>
        <rFont val="Aptos Narrow"/>
        <family val="2"/>
        <scheme val="minor"/>
      </rPr>
      <t xml:space="preserve">Selesai deployment HRIS Kamis, 11 Desember 2025. 
Selesai deployment LMS Jumat, 19 Desember 2025 
Pada saat deployment sempat terkendala yaitu OS DC1LMSWEB04 rusak tidak terkoneksi ke internet dan servicenya tidak bisa digunakan, sehingga update windows gagal dan restart lama. 
Mitigasi: Deployment tetap dilanjutkan di satu server DC1LMSWEB03
Tindak lanjut: rekonfigurasi DC1LMSWEB04, re-deploy di M2 Januari berbarengan dengan LMS-HR SuperApps
</t>
    </r>
    <r>
      <rPr>
        <b/>
        <sz val="12"/>
        <rFont val="Aptos Narrow"/>
        <family val="2"/>
        <scheme val="minor"/>
      </rPr>
      <t>Progres sebelumnya:</t>
    </r>
    <r>
      <rPr>
        <sz val="12"/>
        <rFont val="Aptos Narrow"/>
        <family val="2"/>
        <scheme val="minor"/>
      </rPr>
      <t xml:space="preserve">
1. UT integrasi dengan HRSI 100% (124/124 skenario)  
Kick off SIT sudah dilaksanakan pada 13 Okt 2025
2. SIT -&gt; seluruh skenario telah selesai di execute dengan masih terdapat 1 temuan terkait pemenuhan dokumen </t>
    </r>
  </si>
  <si>
    <t>1. Yoe One Ariestya Niovitta (PKWT)
2. Erica Maulidina</t>
  </si>
  <si>
    <t>Integrasi LMS-BI dan HR Super Apps</t>
  </si>
  <si>
    <t>1. Yoe One Ariestya Niovitta (PKWT)
2. Muhammad Daffa Alfarizqi</t>
  </si>
  <si>
    <t>Enh. aplikasi Learning Management System (LMS) Tahap 3</t>
  </si>
  <si>
    <t>Menyelesaikan 57 subfitur pada BRD 2.0 yang dikerjakan setelah Integrasi LMS-BI dan HRIS selesai implementasi</t>
  </si>
  <si>
    <t>Enh. aplikasi Learning Management System (LMS) Tahap 4</t>
  </si>
  <si>
    <t>PR-10C-2023</t>
  </si>
  <si>
    <t>P-62</t>
  </si>
  <si>
    <t>EASE</t>
  </si>
  <si>
    <t>Sistem Perizinan Bank Indonesia</t>
  </si>
  <si>
    <t xml:space="preserve">Modernize Sistem Perizinan (E-Licensing) </t>
  </si>
  <si>
    <r>
      <rPr>
        <b/>
        <sz val="12"/>
        <rFont val="Aptos Narrow"/>
        <family val="2"/>
        <scheme val="minor"/>
      </rPr>
      <t xml:space="preserve">Go-Live pada 28 februari 2025 (Done)
</t>
    </r>
    <r>
      <rPr>
        <sz val="12"/>
        <rFont val="Aptos Narrow"/>
        <family val="2"/>
        <scheme val="minor"/>
      </rPr>
      <t xml:space="preserve">5. sudah disampaikan di maret 2025 </t>
    </r>
    <r>
      <rPr>
        <b/>
        <sz val="12"/>
        <rFont val="Aptos Narrow"/>
        <family val="2"/>
        <scheme val="minor"/>
      </rPr>
      <t xml:space="preserve">(done)
</t>
    </r>
    <r>
      <rPr>
        <sz val="12"/>
        <rFont val="Aptos Narrow"/>
        <family val="2"/>
        <scheme val="minor"/>
      </rPr>
      <t xml:space="preserve">     - Berita Acara Siap Implementasi ( 31 Des 2024).
     - BA Implementasi (live di 28 Feb 2025)
6. T.5.2, T.5.3, T.5.4 ke KaDep (</t>
    </r>
    <r>
      <rPr>
        <b/>
        <sz val="12"/>
        <rFont val="Aptos Narrow"/>
        <family val="2"/>
        <scheme val="minor"/>
      </rPr>
      <t>done</t>
    </r>
    <r>
      <rPr>
        <sz val="12"/>
        <rFont val="Aptos Narrow"/>
        <family val="2"/>
        <scheme val="minor"/>
      </rPr>
      <t>)
7. Soft launching  telah dilakukan pada 13 Maret 2025
8. aplikasi Elic lama sudah dideploy 28 Feb 2025, untuk penutupan fitur tambah izin (</t>
    </r>
    <r>
      <rPr>
        <b/>
        <sz val="12"/>
        <rFont val="Aptos Narrow"/>
        <family val="2"/>
        <scheme val="minor"/>
      </rPr>
      <t>Done</t>
    </r>
    <r>
      <rPr>
        <sz val="12"/>
        <rFont val="Aptos Narrow"/>
        <family val="2"/>
        <scheme val="minor"/>
      </rPr>
      <t>)</t>
    </r>
  </si>
  <si>
    <t>1. koordinasi dengan user sangat baik dan dari sisi user sangat paham kebutuhan teknis data dan aplikasi</t>
  </si>
  <si>
    <t>1. Keterbatasan waktu untuk retest ke banyak user
2. Materi jukins sosialisasi yang perlu diselesaikan diminggu ke-3 Januari 2025
3. Keterbatasan waktu sosialsiasi</t>
  </si>
  <si>
    <t>1. Perlu merincikan jadwal masih masih satker untuk retest
2. Materi perlu meeting bersama untuk dibantu dorong oleh pimpinan DPPT
3. Perlu konfirmasi peserta yang perlu diundang dan waktu sosialisasinya</t>
  </si>
  <si>
    <t>RIVIBI-PPA-P18-1-DLDS</t>
  </si>
  <si>
    <t>Enhacement Otomasi dan Optimalisasi Perizinan</t>
  </si>
  <si>
    <t>1. Erfa
2. Ufaira</t>
  </si>
  <si>
    <t>Pengembangan Perizinan KUPVA BB</t>
  </si>
  <si>
    <t>PR-10-2024</t>
  </si>
  <si>
    <t>P-63</t>
  </si>
  <si>
    <t>ANTASENA LBUT</t>
  </si>
  <si>
    <t>ANTASENA - LBUT</t>
  </si>
  <si>
    <t xml:space="preserve">Enhancement Antasena LBUT Tahap 1 </t>
  </si>
  <si>
    <t>DIDD, DSta</t>
  </si>
  <si>
    <t xml:space="preserve">ANTASENA </t>
  </si>
  <si>
    <r>
      <t xml:space="preserve">Pengembangan Tahap 1 Go Live 22 februari 2025
</t>
    </r>
    <r>
      <rPr>
        <sz val="12"/>
        <rFont val="Aptos Narrow"/>
        <family val="2"/>
        <scheme val="minor"/>
      </rPr>
      <t xml:space="preserve">
</t>
    </r>
  </si>
  <si>
    <t>Perlu koordinasi yg lebih intensif pada saat penyusunan SRS, sehingga SRS tidak menajadi blocker tahapan selanjutnya. Hal ini seharusnya  dapat dihindari pada pengembangan-pengembangan di masa yang akan datang karena semua akan dibahas secara lengkap pada penyusunan RBT.</t>
  </si>
  <si>
    <t>Hingga 14 Januari, SRS masih belum difinalisasi</t>
  </si>
  <si>
    <t>Telah dilakukan finalisasi SRS pada 16 Januari, sehingga sudah bisa dilanjutkan ke tahap SIT dan saat ini proyek berjalan on schedule</t>
  </si>
  <si>
    <t>1. Erfa
2. Dian
3. Adam
4. Ajeng
5. Gumilar</t>
  </si>
  <si>
    <t>Optus Solution</t>
  </si>
  <si>
    <t>Fajri (KPPA)
Timo (KPPA)
Risda (KPPA)
Diah (KMBD)</t>
  </si>
  <si>
    <t>RIVIBI-PPA-P19-1-DLDS</t>
  </si>
  <si>
    <t>Pengiriman data LBUT ke OJK dan LPS</t>
  </si>
  <si>
    <t>DKMP, DIDD</t>
  </si>
  <si>
    <t>ANTASENA, IEA</t>
  </si>
  <si>
    <t>1. Haryani Diah
2. Alamsyah
3. Muhammad Arif Sucipto
4. Luluk Mukarromah</t>
  </si>
  <si>
    <t>1. Erfa
2. Rifqi Husain</t>
  </si>
  <si>
    <t>RIVIBI-PPA-P19-2-DLDS</t>
  </si>
  <si>
    <t>Penguatan LBUT untuk STP Tahap 1</t>
  </si>
  <si>
    <t>Dsta, DPKL, DIDD</t>
  </si>
  <si>
    <t>- Sesuai dengan reprioritisasi proyek mon, penguatan LBUT untuk STP akan dipecah menjadi 2 tahap
- RBT fullsign per M1 Oktober 2025, dan dilanjutkan dengan penyusunan RPP dan pengajuan penerbitan WO (menunggu WO retensi data LBUT dan adendum kontrak) ditargetkan pada Des - Jan 2026</t>
  </si>
  <si>
    <t>RIVIBI-PPA-P19-3-DLDS</t>
  </si>
  <si>
    <t>Digitalisasi Laporan Offline (LBUT - RPIM &amp; PJP/PIP)</t>
  </si>
  <si>
    <t>DSta, DIDD, _x000B_DSPK, DSMM</t>
  </si>
  <si>
    <t>Enhancement Antasena LBUT Tahap 2</t>
  </si>
  <si>
    <t>- Pengembangan Tahap 2a telah deploy pada 22 maret 2025 di DRC 
- Pengembangan tahap 2b telah selesai dilakukan deployment pada 10 Juni 2025 di DRC
- Secara keseluruhan telah live pada 21 Juni 2025 bersamaan dengan kegiatan DRP opda</t>
  </si>
  <si>
    <t>1. Erfa
2. Dian
3. Adam
4. Ajeng</t>
  </si>
  <si>
    <t>Enhancement Antasena LBUT Tahap 3</t>
  </si>
  <si>
    <t>- Pengembangan tahap 3 ini berfokus pada konfigurasi sistem seperti pada tahap 1 dan 2, untuk kemudian dapat switch back ke DC dengan target dilakukan pada M3 November 2025
- Tahapan desain telah dilakukan pada tahap 1 dan 2.
- Proses antasena tahap 3 saat ini menunggu pelaksanaan industrial test dengan Bank/Pelapor</t>
  </si>
  <si>
    <t>Enhancement Antasena LBUT : Fleksibilitas Metadata</t>
  </si>
  <si>
    <t>31 apr 25</t>
  </si>
  <si>
    <t>Go Live 20 - 21 September 2025</t>
  </si>
  <si>
    <t>1. Erfa
2. Agung
3. Ajeng
4. Joko</t>
  </si>
  <si>
    <t>Enhancement Antasena LBUT : Retensi Data</t>
  </si>
  <si>
    <t>DLDS, DIDD, DSta, DPKL</t>
  </si>
  <si>
    <t>Proyek ini masih berdasarkan BRD Enhancement Antasena LBUT 2024 eksisting, dan akan dilanjutkan dengan penerbitan WO pada Desember 2025.</t>
  </si>
  <si>
    <t>Penguatan LBUT untuk STP Tahap 2</t>
  </si>
  <si>
    <t>Pengembangan  capturing LBUT dan LLD Terintegrasi</t>
  </si>
  <si>
    <t>DSta,DIDD</t>
  </si>
  <si>
    <t>PR-18C-2023</t>
  </si>
  <si>
    <t>P-64</t>
  </si>
  <si>
    <t>Enhancement SIUMBI</t>
  </si>
  <si>
    <t>Sistem UMKM</t>
  </si>
  <si>
    <t>SIUMBI:  Pengelolaan Informasi Ketahanan Pangan pada SIKEPANG (Sistem Informasi Ketahanan Pangan)</t>
  </si>
  <si>
    <t xml:space="preserve">K3 </t>
  </si>
  <si>
    <t>DEIH</t>
  </si>
  <si>
    <t>SIKEPANG</t>
  </si>
  <si>
    <r>
      <rPr>
        <b/>
        <sz val="12"/>
        <rFont val="Aptos Narrow"/>
        <family val="2"/>
        <scheme val="minor"/>
      </rPr>
      <t>- Go Live 27 Februari 2025</t>
    </r>
  </si>
  <si>
    <t>diakarenakan user untuk siumbi-sikepang ini baru sign di proyek ini yang mana user sebelumnya DUPK dan yang sekarang DEIHjadi pada saat UAT yang mana suernya belum terlalu paham sisi bisnisnya dan usernya ang baru banyak usulan banyak perubahan2 di luar BRD ,jadi formnya banyak nyenggol sana sini sama validasi existing jadi banyak temuannya maka dari itu saat proses UAT kemarin masih mengundang user yang lama untuk peoyek siumbi-sikepang ini terkait proses bisnisnya.</t>
  </si>
  <si>
    <t>Enhancement SIUMBI Modul SIAPIK</t>
  </si>
  <si>
    <t>SIUMBI</t>
  </si>
  <si>
    <t>RIVIBI-PPA-P20-1-DLDS</t>
  </si>
  <si>
    <t>P-65</t>
  </si>
  <si>
    <t xml:space="preserve">Modernize BI Counterfeit Analysis Center </t>
  </si>
  <si>
    <t>Reporting Pengelolaan Layanan Kas</t>
  </si>
  <si>
    <t>BI CAC Gen 2</t>
  </si>
  <si>
    <t>Not started</t>
  </si>
  <si>
    <t>RIVIBI-PPA-P21-1-DLDS</t>
  </si>
  <si>
    <t>P-66</t>
  </si>
  <si>
    <t>Legal Information Management System (LIMS)</t>
  </si>
  <si>
    <t>Legal Information Management System</t>
  </si>
  <si>
    <t>Enh. Legal Information Management System (LIMS)</t>
  </si>
  <si>
    <t>1. Rendi Budiman
2. Aryo Suryo Nugroho</t>
  </si>
  <si>
    <t>MJT</t>
  </si>
  <si>
    <t>RIVIBI-PPA-P22-1-DLDS</t>
  </si>
  <si>
    <t>P-67</t>
  </si>
  <si>
    <t>WBS</t>
  </si>
  <si>
    <t>Whisle Blowing System</t>
  </si>
  <si>
    <t>Modernize WBS</t>
  </si>
  <si>
    <t>DAI, DLDS</t>
  </si>
  <si>
    <t>not started</t>
  </si>
  <si>
    <t>1. Rendi Budiman
2.Ahlan Hadian</t>
  </si>
  <si>
    <t>-</t>
  </si>
  <si>
    <t>Santi
Nindy 
Eddry 
Genda</t>
  </si>
  <si>
    <t>RIVIBI-PPA-P23-1-DLDS</t>
  </si>
  <si>
    <t>P-68</t>
  </si>
  <si>
    <t>BI-RMS</t>
  </si>
  <si>
    <t>Record Management System</t>
  </si>
  <si>
    <t>Modernize BI-RMS</t>
  </si>
  <si>
    <t>DLAF, DLDS</t>
  </si>
  <si>
    <r>
      <rPr>
        <b/>
        <sz val="12"/>
        <rFont val="Aptos Narrow"/>
        <family val="2"/>
        <scheme val="minor"/>
      </rPr>
      <t xml:space="preserve">Update Terkini:
</t>
    </r>
    <r>
      <rPr>
        <sz val="12"/>
        <rFont val="Aptos Narrow"/>
        <family val="2"/>
        <scheme val="minor"/>
      </rPr>
      <t xml:space="preserve">1. Telah dilaksanakan pembahasan dengan DLAF terkait kondisi BI-RMS saat ini:
- Yang awalnya akan selesai implementasi 2028, diharapkan pengembangan dimulai lebih awal melihat kebutuhan user akan penggunaan BI-RMS sehingga diusulkan untuk dimajukan ke 2025. Terkait hal ini dari DLDS perlu melakukan asesmen terlebih dahulu  </t>
    </r>
  </si>
  <si>
    <t>1. Rendi Budiman
2. Kevin Tjahjadi</t>
  </si>
  <si>
    <t>RIVIBI-PPA-P24-1-DLDS</t>
  </si>
  <si>
    <t>P-69</t>
  </si>
  <si>
    <t xml:space="preserve">BI-SIAP </t>
  </si>
  <si>
    <t>Sistem Presensi Pegawai</t>
  </si>
  <si>
    <t xml:space="preserve">Modernize dan Enhancement BI-SIAP </t>
  </si>
  <si>
    <t>DSDM, DLDS</t>
  </si>
  <si>
    <t>BI-SIAP</t>
  </si>
  <si>
    <t>PR-11C-2024</t>
  </si>
  <si>
    <t>P-70</t>
  </si>
  <si>
    <t>Legacy ISO 20022</t>
  </si>
  <si>
    <t>Implementasi ISO 20022</t>
  </si>
  <si>
    <t>Legacy ISO 20022: CBS</t>
  </si>
  <si>
    <r>
      <rPr>
        <sz val="12"/>
        <color rgb="FF000000"/>
        <rFont val="Aptos Narrow"/>
        <family val="2"/>
        <scheme val="minor"/>
      </rPr>
      <t xml:space="preserve">Saat ini :
1. </t>
    </r>
    <r>
      <rPr>
        <b/>
        <sz val="12"/>
        <color rgb="FF000000"/>
        <rFont val="Aptos Narrow"/>
        <family val="2"/>
        <scheme val="minor"/>
      </rPr>
      <t xml:space="preserve">P3SI
      </t>
    </r>
    <r>
      <rPr>
        <sz val="12"/>
        <color rgb="FF000000"/>
        <rFont val="Aptos Narrow"/>
        <family val="2"/>
        <scheme val="minor"/>
      </rPr>
      <t>a.</t>
    </r>
    <r>
      <rPr>
        <b/>
        <sz val="12"/>
        <color rgb="FF000000"/>
        <rFont val="Aptos Narrow"/>
        <family val="2"/>
        <scheme val="minor"/>
      </rPr>
      <t xml:space="preserve"> </t>
    </r>
    <r>
      <rPr>
        <sz val="12"/>
        <color rgb="FF000000"/>
        <rFont val="Aptos Narrow"/>
        <family val="2"/>
        <scheme val="minor"/>
      </rPr>
      <t xml:space="preserve">T.5.1 &amp; T.5.5 </t>
    </r>
    <r>
      <rPr>
        <b/>
        <sz val="12"/>
        <color rgb="FF000000"/>
        <rFont val="Aptos Narrow"/>
        <family val="2"/>
        <scheme val="minor"/>
      </rPr>
      <t xml:space="preserve">(done)
</t>
    </r>
    <r>
      <rPr>
        <sz val="12"/>
        <color rgb="FF000000"/>
        <rFont val="Aptos Narrow"/>
        <family val="2"/>
        <scheme val="minor"/>
      </rPr>
      <t xml:space="preserve">      b. T.5.2, T.5.3, T.5.4 </t>
    </r>
    <r>
      <rPr>
        <b/>
        <sz val="12"/>
        <color rgb="FF000000"/>
        <rFont val="Aptos Narrow"/>
        <family val="2"/>
        <scheme val="minor"/>
      </rPr>
      <t>(done)
2. Deployment 26-27 September 2025 (done)
3. Go-live 30 September 2025 (done)
4. November changes (done)</t>
    </r>
  </si>
  <si>
    <t>Perlu Pembahasan mulai proyek lebih awal sebelum jadwal mulai yang ada pada kertas kerja untuk memastikan  inventaris kebutuhan timeline yang disepakati dalam draft project charter, kebutuhan desain dan kebutuhan teknis
2. kebutuha tailorig UT, SIT, UAT
3. perlu F5 jadi perlu request VS baru pada pembahasan diskusi persiapan SIT 20 Mei 2025</t>
  </si>
  <si>
    <t>1. Perlu disepakati timeline internal yang bisa disepakati dalam project charter
2. Pembahasan respon message dan alur proses bisnis pada SRS ke user
3. Mock up perlu persiapan dengan tim UI untuk pemenuhan SRS</t>
  </si>
  <si>
    <t xml:space="preserve">1. finalisasi project charter dan SRS dengan user DPPT
2. Kick off proyek
Note:  MT akan berakhir digunakan di november 2025 format message (MT ke MX[dari 2021]) 
</t>
  </si>
  <si>
    <t xml:space="preserve">1. Faradilla Anggun Suryaningsih
</t>
  </si>
  <si>
    <t>PR-11D-2024</t>
  </si>
  <si>
    <t>Legacy ISO 20022: ERPHRIS</t>
  </si>
  <si>
    <t>DKeu DLDS</t>
  </si>
  <si>
    <t xml:space="preserve">Sudah GOLIVE 16 Mei 2025
</t>
  </si>
  <si>
    <t>DM-16B-2023</t>
  </si>
  <si>
    <t>P-71</t>
  </si>
  <si>
    <t>NCP</t>
  </si>
  <si>
    <t>Sistem Treasuri Bank Indonesia - NCP</t>
  </si>
  <si>
    <t xml:space="preserve">Enhancement NCP Laporan Perhitungan Valas </t>
  </si>
  <si>
    <t>BI-NCP</t>
  </si>
  <si>
    <t>Sudah deploy di tanggal 23 Mei dan Golive di 26 Mei</t>
  </si>
  <si>
    <t xml:space="preserve">Proses pengadaan berjalan 4 bulan </t>
  </si>
  <si>
    <t>1. Sigma</t>
  </si>
  <si>
    <t>Enhancement NCP fungsi rekalkulasi 
atas reversal incremental</t>
  </si>
  <si>
    <t>Deployy di tanggal 1 November dan Golive di 3 November 2025</t>
  </si>
  <si>
    <t>1. Galih Andana
2. Ahmad Maimunif
3. Veni kertayu
4. Ahmad Muhajir
5. Lie Tung Kiam
6. Anton Sucipto</t>
  </si>
  <si>
    <t>1. Erfa
2. Dian
3. Ajeng
4. Noval</t>
  </si>
  <si>
    <t>PR-05-2024</t>
  </si>
  <si>
    <t>P-72</t>
  </si>
  <si>
    <t xml:space="preserve">BI-ALK </t>
  </si>
  <si>
    <t>Pengelolaan Layanan Kas - Antrian</t>
  </si>
  <si>
    <t xml:space="preserve">Pengelolaan Layanan Antrian Kas pada BI-ALK </t>
  </si>
  <si>
    <t>BI-ALK</t>
  </si>
  <si>
    <r>
      <rPr>
        <sz val="12"/>
        <color rgb="FF000000"/>
        <rFont val="Aptos Narrow"/>
        <family val="2"/>
        <scheme val="minor"/>
      </rPr>
      <t>Saat ini:
1. P3SI
    a. T.1.4 Project charter</t>
    </r>
    <r>
      <rPr>
        <b/>
        <sz val="12"/>
        <color rgb="FF000000"/>
        <rFont val="Aptos Narrow"/>
        <family val="2"/>
        <scheme val="minor"/>
      </rPr>
      <t xml:space="preserve"> (done)
   </t>
    </r>
    <r>
      <rPr>
        <sz val="12"/>
        <color rgb="FF000000"/>
        <rFont val="Aptos Narrow"/>
        <family val="2"/>
        <scheme val="minor"/>
      </rPr>
      <t xml:space="preserve"> b. T.5.2, T.5.3, T.5.4</t>
    </r>
    <r>
      <rPr>
        <b/>
        <sz val="12"/>
        <color rgb="FF000000"/>
        <rFont val="Aptos Narrow"/>
        <family val="2"/>
        <scheme val="minor"/>
      </rPr>
      <t xml:space="preserve"> (done)
</t>
    </r>
    <r>
      <rPr>
        <sz val="12"/>
        <color rgb="FF000000"/>
        <rFont val="Aptos Narrow"/>
        <family val="2"/>
        <scheme val="minor"/>
      </rPr>
      <t xml:space="preserve">    c. T.5.1 dan T.5.5 </t>
    </r>
    <r>
      <rPr>
        <b/>
        <sz val="12"/>
        <color rgb="FF000000"/>
        <rFont val="Aptos Narrow"/>
        <family val="2"/>
        <scheme val="minor"/>
      </rPr>
      <t xml:space="preserve"> (done)
</t>
    </r>
    <r>
      <rPr>
        <sz val="12"/>
        <color rgb="FF000000"/>
        <rFont val="Aptos Narrow"/>
        <family val="2"/>
        <scheme val="minor"/>
      </rPr>
      <t xml:space="preserve">2.  Deployment dan GoLive  Tahap 2 (6 fitur) di  4 september 2025 - </t>
    </r>
    <r>
      <rPr>
        <b/>
        <sz val="12"/>
        <color rgb="FF000000"/>
        <rFont val="Aptos Narrow"/>
        <family val="2"/>
        <scheme val="minor"/>
      </rPr>
      <t xml:space="preserve">Done
</t>
    </r>
    <r>
      <rPr>
        <sz val="12"/>
        <color rgb="FF000000"/>
        <rFont val="Aptos Narrow"/>
        <family val="2"/>
        <scheme val="minor"/>
      </rPr>
      <t xml:space="preserve">3. Persiapan pembayaran tahap 1 dan 2 </t>
    </r>
    <r>
      <rPr>
        <b/>
        <sz val="12"/>
        <color rgb="FF000000"/>
        <rFont val="Aptos Narrow"/>
        <family val="2"/>
        <scheme val="minor"/>
      </rPr>
      <t xml:space="preserve">(on progres)
</t>
    </r>
    <r>
      <rPr>
        <b/>
        <sz val="12"/>
        <color rgb="FF156082"/>
        <rFont val="Aptos Narrow"/>
        <family val="2"/>
        <scheme val="minor"/>
      </rPr>
      <t xml:space="preserve">4. Deployment tahap 1 (KIOS)  (DONE 26 Nov 2025)
</t>
    </r>
  </si>
  <si>
    <t>2 Januari 2025</t>
  </si>
  <si>
    <t>1. Dikarenakan jadwal pengadaan dari DMAP, berdampak jadwal desain menjadi mundur ke Januari 2025
2. Pekerjaan dibagi menjadi 2 tahap karena concern perlu penyesuaian cakupan BISILK perlu deployment lebih dulu dan cakupan lain nya menyusul sesuai durasi timeline kontrak
3. kick off proyek sudah dilaksanakan pada 2 Januari 2025</t>
  </si>
  <si>
    <t>1. Pembahasan SRS perlu diskusi finalisasi untuk disepakati
2. Review Project charter 23/1/25 oleh user
3. Perlu lanjutan koordinasi kebutuhan data integrasi ke EDW</t>
  </si>
  <si>
    <t>1. Finalisasi SRS untuk cakupan Tahap 1 dan Tahap 2 ke user
2. Finalisasi Project charter
3. Persiapan Coding dan Jira Unit Test (karena waktu development tahap 1 hanya 1 Bulan di Februari 2025) dan dilanjanjut development tahap 2
4. Persiapan SIT (karena waktu development tahap 1 hanya 1 Bulan di Februari 2025, dan mulai SIT di Maret 2025)
5. Persiapan UAT (karena waktu pengujian di Maret 2025, M3-M4 Maret 2025)</t>
  </si>
  <si>
    <t>PR-04A-2023</t>
  </si>
  <si>
    <t>P-73</t>
  </si>
  <si>
    <t>JDIH</t>
  </si>
  <si>
    <t>Portal Jaringan Dokumentasi dan Informasi Hukum (JDIH)</t>
  </si>
  <si>
    <t>Layanan Informasi Dokumen Hukum berbasis Web pada JDIH</t>
  </si>
  <si>
    <r>
      <t>Update Terkini:
1. Jumat, 20 Juni 2025 aplikasi telah deploy ke production
2. Jumat, 4 Juli 2025 aplikasi telah berhasil publiash internet JDIH dengan link internet jdih.bi.go.id dan link intranet jdih.corp.bi.go.id</t>
    </r>
    <r>
      <rPr>
        <sz val="12"/>
        <rFont val="Aptos Narrow"/>
        <family val="2"/>
        <scheme val="minor"/>
      </rPr>
      <t xml:space="preserve">
</t>
    </r>
    <r>
      <rPr>
        <b/>
        <sz val="12"/>
        <rFont val="Aptos Narrow"/>
        <family val="2"/>
        <scheme val="minor"/>
      </rPr>
      <t xml:space="preserve">Progres Proyek (Done):
</t>
    </r>
    <r>
      <rPr>
        <sz val="12"/>
        <rFont val="Aptos Narrow"/>
        <family val="2"/>
        <scheme val="minor"/>
      </rPr>
      <t xml:space="preserve">a. Jumat tanggal 20 Juni 2025 deploy ke production  namun belum bisa publish internet dan ada beberapa hal yang jadi catatan sebelum deploy:
          - Pada saat CAB ada concern dari KPPKS terkait temuan VAPT yang belum ditutup sehingga pada hari Jumat kita perlu mengirimkan M.01 bahwa temuan telah bisa untuk dilakukan retest kembali dan KPPKS mengkonfirmasi temuan telah closed melalui M.01
           -  Concern dari KODIT DBA untuk menambahkan storage, sehingga pada hari Jumat KPPA mengajukan penambahan storage terlebih dahulu. penambahan storage di drive D sebanyak 200GB dari storage eksisting. Penambahan log baru dengan nama Log dan Temp masing-masing 200GB. Sehingga diperlukan CAB lagi untuk publish keinternet dan perlu koordinasi KMLD untuk aturan &amp; prasyarat nya
b. SIT dan UAT telah selesai 100% dilaksanakan, saat ini dalam persiapan implementasi. 
c.  On progress performance test (1/5 sekanario pass, 4 skenario fail), security test (terdapat 1 temuan dan 2 masih on progres). On progress konfigurasi server production
d. M3 Mei, SIT dan UAT behind schedule. 
SIT -&gt; masih terdapat 1 skenario yang belum bisa ditutup terkait temuan di BI-WEB karena data buku dan berita yang tidak sinkron. Solusinya akan menggunakan  file transfer protocol secure (ftps).
e. M1 Mei masih on progres SIT dan UAT yang mengalami kemunduran terkait integrasi dengan JDIHN karena koordinasi dengan Kemenkum yang cukup lama 
f. M4 April Terdapat 2 fungsi yang belum di executed:
g. Integrasi dengan JDIHN -&gt; diperlukan meeting dengan Kemenkum terkait konfirmasi data dari JDIH. Saat ini dari DHk akan mengirimkan surat ke Kemenkum 
6. Integrasi dengan LIMS -&gt; penyesuaian codingan di LIMS 
7. Hasil pertemuan dengan Kemenkum tgl 17 April, aplikasi JDIH telah direview oleh kemenkum dan terdapat beberapa catatan yang berpotensi mengubah SRS sehingga diperlukan penyesuaian SRS  </t>
    </r>
  </si>
  <si>
    <t xml:space="preserve">Pengembangan fungsi integrasi dengan aplikasi surrounding masih on progress </t>
  </si>
  <si>
    <t>Pembahasan dan Finalisasi BRD</t>
  </si>
  <si>
    <t>BRD belum diterima DLDS</t>
  </si>
  <si>
    <t>Dilakukan paralel penyelesaian pengembangan untuk fungsi integrasi dengan unit testing</t>
  </si>
  <si>
    <t>Finalisasi BRD</t>
  </si>
  <si>
    <t>PR-04B-2023</t>
  </si>
  <si>
    <t>Integrasi LIMS dengan JDIH</t>
  </si>
  <si>
    <t>Small Changes</t>
  </si>
  <si>
    <r>
      <rPr>
        <b/>
        <sz val="12"/>
        <rFont val="Aptos Narrow"/>
        <family val="2"/>
        <scheme val="minor"/>
      </rPr>
      <t>Go Live pada Jumat, 20 Juni 2025</t>
    </r>
    <r>
      <rPr>
        <sz val="12"/>
        <rFont val="Aptos Narrow"/>
        <family val="2"/>
        <scheme val="minor"/>
      </rPr>
      <t xml:space="preserve">
3. Persiapan migrasi dr sisi LIMS ke JDIH (sebanyak 1900an peraturan), migrasi akan dilakukan setelah db production JDIH bisa menyimpan data atau selesai instalasi.</t>
    </r>
  </si>
  <si>
    <t>RIVIBI-PPA-P26-1-DLDS</t>
  </si>
  <si>
    <t>P-74</t>
  </si>
  <si>
    <t>Enh BI-ETP Penyediaan Informasi Investor Asing (Tindak Lanjut FORHAR)</t>
  </si>
  <si>
    <t>DPPK, DPMA, DPPT, DPSP</t>
  </si>
  <si>
    <t>TW IV 2027</t>
  </si>
  <si>
    <t>RIVIBI-PPA-P26-2-DLDS</t>
  </si>
  <si>
    <t>Enhancement  Untuk Fitur Pengiriman Hasil Lelang Berbagai Jenis Bids (Termasuk Incoming Non-competitive Bids)</t>
  </si>
  <si>
    <t>DPPK, DPSP, DPMA</t>
  </si>
  <si>
    <t>B-ETP, BI-ETP Alternate</t>
  </si>
  <si>
    <t xml:space="preserve">Deployment  Pada 10 Januari 2025
- Tahap 2 Pengembangan pada ETP Alternatetelah selesai UAT. User akan request untuk proses IMplementasi dilaksanakan pada 13 Juni 2025. dikarenakan 6 Juni Lebaran
- CAB telah dilaksanakan pada 11 Juni 2025
- Deployment Tahap 2 telah dilaksanakan pada hari Jumat 13 Juni 2025
</t>
  </si>
  <si>
    <t>Deployment Mundur dikarenakan concern user terkait Test login oleh bank peserta</t>
  </si>
  <si>
    <t>jadwal Disesuaikan ke 10 Januari 2025</t>
  </si>
  <si>
    <t>RD-10-2024</t>
  </si>
  <si>
    <t>P-75</t>
  </si>
  <si>
    <t xml:space="preserve">ANTASENA Non Bank </t>
  </si>
  <si>
    <t>ANTASENA - Non Bank</t>
  </si>
  <si>
    <t>Enh. Aplikasi Pelaporan Online SK SP - Tahap 2</t>
  </si>
  <si>
    <t>- Go Live pada 29 Agustus 2025</t>
  </si>
  <si>
    <t>Proses pengadaan lebih lama dari target DLDS yakni pada 2 Januari 2025</t>
  </si>
  <si>
    <t>SPPP telah terbit pada 17 Januari 2025, dan timeline pengembangan telah disepakati bersama Satker User</t>
  </si>
  <si>
    <t>1. Regi Wibowo Hudyana
2. Titik Rahayu</t>
  </si>
  <si>
    <t>1. Erfa
2. Ufaira
3. Adam
4. Al Rifky</t>
  </si>
  <si>
    <t>Teo (KPPA)
Risda (KPPA)
Diah (KMBD)</t>
  </si>
  <si>
    <t>RIVIBI-PPA-P27-1-DLDS</t>
  </si>
  <si>
    <t>Enhancement PJPUR</t>
  </si>
  <si>
    <t>PJPUR</t>
  </si>
  <si>
    <t>Sebelumnya diusulkan untuk dapat diabsord pada Penguatan ANTASENA Non Bank untuk STP (PJPUR, UKA, Tresury, SK SP), pada update terakhir pekerjaan ini diusulkan untuk dilakukan secara inhouse oleh DLDS menungggu penyampaian RBB dan RBL dari satker bisnis</t>
  </si>
  <si>
    <t>Fajri (KPPA)
Mumin (KPPA)</t>
  </si>
  <si>
    <t>RIVIBI-PPA-P27-3-DLDS</t>
  </si>
  <si>
    <t>Penguatan ANTASENA Non Bank untuk STP (PJPUR, UKA, Tresury, SK SP)</t>
  </si>
  <si>
    <t>Usulan terakhir dari DSta RBT mundur menjadi TW2 2026</t>
  </si>
  <si>
    <t>RIVIBI-PPA-P33-1-DLDS</t>
  </si>
  <si>
    <t>P-81</t>
  </si>
  <si>
    <t xml:space="preserve">Dashboard Operasional BI-SSSS &amp; BI- RTGS </t>
  </si>
  <si>
    <t>Reporting Operasional BI-SSSS &amp; BI-RTGS</t>
  </si>
  <si>
    <t>Dashboard Operasional BI-SSSS &amp; BI- RTGS Tahap 1</t>
  </si>
  <si>
    <t>DPSP</t>
  </si>
  <si>
    <t xml:space="preserve">Market, SP </t>
  </si>
  <si>
    <t>Progres :
1. SIT dan UAT (done) 
2. deployment tgl 5 des 2025 (done)
3. go live 8 des 2025 (done)
4. Melengkapi dok pembayaran (on progres)
5. BAPP (to do)
Note;
- Timeline Tahap 1 UI (September - Desember 2025)
- Timeline Tahap 2 Fungsi (Februari - Juni 2026) 
- Perlu pengadaan kontrak baru untuk pekerjaan tahap 2 di tahun 2026 (to do)
- M.02 tailoring Pengujian dari mitigai keterbatasan waktu pengujian dan resouce (done)
- Kick Off SIT 3 Nov 2025 (done)
- Kick Off UAT 10 Nov 2025 (done)</t>
  </si>
  <si>
    <t>OM Pro Market disepakati dengan user nya untuk maju terkait semua proyek nya, jadi resourcenya sudah tidak mencukupi untuk pekerjaan dashboard menjadi less priority dimundurkan.
sebagai underlying akan dilakukan pembahasan dengan user dashboard untuk disepakati dimundurkan ke 2026
Hasil diskusi:
1.  Meeting kembali dilevel kepala divisi untuk komunikasi dis sisi user untuk disepakati antara pergeseran jadwal ke januari 2026 atau di drop secara proyek
2.  Akan dilakukan pembahasan  internal DLDS untuk kesiapan pembangunan atau alterntif solusi untuk disampaikan ke user (Januari - Juni 2026)
2. Karena sudah masuk ke list proyek KMPPD maka akan dibuatkan risalah rapat dengan user (pontesial m1 maret 2025) untuk underlying proyek dimundur ke 2026 sebagai dasar laporan proyek triwulan 1 (April) kepada ADG terkait proyek dashboard.
3. Alasan nya dikarenakan ada prioritas yang lebih urgent di OM pro market yang membutuhkan resource lebih banyak sehingga akan bahas dan disepakati dengan user untuk memundurkan dashboard ke 2026
4. proses implementasi RTGS Gen 3 akan dilakukan pada 2028
5. Sedang tahap membuat usulan perubahan schedule bersama dengan KMBD, selanjutnya akan diadakan meeting dengan user untuk menyepakati jadwal baru, target Maret 2025
6. 8 Mei 2025 Diskusi Cakupan Proyek Dashboard BI-SSSS dan BI-RTGS (ada potensi dibagi menjadi 2 tahap, tahap 1 pemenuhan temuan production, sesuai concern Pak Ngadino dari rispat 2022 lalu dan tahap 2 pengembangan sesuai BRD) - (diksui dengan User dan PCI)
7.      - temuan SIT fungsi troughput (konfirm di hapus di SRS ke user)
     - temuan SIT fungsi turn over ratio (analisa issue sejak 2 minggu lalu)
     - pengujian UAT</t>
  </si>
  <si>
    <t>kekuranrang resource dari KPPA</t>
  </si>
  <si>
    <t>akan dilakukan pembahasan di m2 feb 2025 sebagai underlying berupa risalah rapat untuk dasar kesepakatan dengan user bahwa pekerjaan mundur ke  2026</t>
  </si>
  <si>
    <t>1. Alfadho Khasroh
2. Lie Tung Kiam
3. Elsameinar</t>
  </si>
  <si>
    <t>Affifah</t>
  </si>
  <si>
    <t>Dashboard Operasional BI-SSSS &amp; BI- RTGS Tahap 2</t>
  </si>
  <si>
    <t>P-85</t>
  </si>
  <si>
    <t>IPM Superapps</t>
  </si>
  <si>
    <t>IPM Apps</t>
  </si>
  <si>
    <r>
      <t xml:space="preserve">Enhancement Aplikasi Legacy (ERPHRIS) IPM Superapps Quickwins </t>
    </r>
    <r>
      <rPr>
        <sz val="12"/>
        <color rgb="FFFF0000"/>
        <rFont val="Aptos Narrow"/>
        <family val="2"/>
        <scheme val="minor"/>
      </rPr>
      <t>Layer COA</t>
    </r>
    <r>
      <rPr>
        <sz val="12"/>
        <rFont val="Aptos Narrow"/>
        <family val="2"/>
        <scheme val="minor"/>
      </rPr>
      <t xml:space="preserve"> </t>
    </r>
  </si>
  <si>
    <t>DMST, DKeu, DHk, DIDD</t>
  </si>
  <si>
    <t xml:space="preserve">Sudah GOLIVE 31 Des 2025
</t>
  </si>
  <si>
    <r>
      <t xml:space="preserve">Enhancement Aplikasi Legacy (ERPHRIS) IPM Superapps Quickwins </t>
    </r>
    <r>
      <rPr>
        <sz val="12"/>
        <color rgb="FFFF0000"/>
        <rFont val="Aptos Narrow"/>
        <family val="2"/>
        <scheme val="minor"/>
      </rPr>
      <t>Reporting</t>
    </r>
  </si>
  <si>
    <r>
      <rPr>
        <sz val="12"/>
        <color rgb="FF000000"/>
        <rFont val="Aptos Narrow"/>
        <family val="2"/>
        <scheme val="minor"/>
      </rPr>
      <t xml:space="preserve">Enhancement Aplikasi Legacy (ERPHRIS) IPM Superapps Fase I </t>
    </r>
    <r>
      <rPr>
        <sz val="12"/>
        <color rgb="FFFF0000"/>
        <rFont val="Aptos Narrow"/>
        <family val="2"/>
        <scheme val="minor"/>
      </rPr>
      <t>(Enhanecment penyesuaian aplikasi Hyperion)</t>
    </r>
  </si>
  <si>
    <t>ERPHRIS, LIMS</t>
  </si>
  <si>
    <t>P-88</t>
  </si>
  <si>
    <t>PINTAR</t>
  </si>
  <si>
    <t>Pengelolaan Penukaran Uang Tunai</t>
  </si>
  <si>
    <t>Enhancement aplikasi PINTAR</t>
  </si>
  <si>
    <t xml:space="preserve"> </t>
  </si>
  <si>
    <t>1. Welly Ramantika
2. Khoirul Huda PKWT</t>
  </si>
  <si>
    <t>o</t>
  </si>
  <si>
    <t>P-89</t>
  </si>
  <si>
    <t>Framework Pengelolaan Cadev 5.0</t>
  </si>
  <si>
    <t>Enhancement Sistem Treasuri Bank Indonesia mendukung Cadev 5.0</t>
  </si>
  <si>
    <t>Penyesuaian Komposisi Portofolio Hierarchy</t>
  </si>
  <si>
    <t>DPD,DMR, DPPT, DIDD</t>
  </si>
  <si>
    <t>1. Galih Andana
2. Yohana Wida
3. Ahmad Maimunif
4. Veni Kertayu
5. Anton Sucipto</t>
  </si>
  <si>
    <t>P-90</t>
  </si>
  <si>
    <t>KKI</t>
  </si>
  <si>
    <t>Enhancement Sistem Treasuri Bank Indonesia mendukung KKI</t>
  </si>
  <si>
    <t>Kerjasama Keuangan Internasional KKI</t>
  </si>
  <si>
    <t>DPD, DPPT, DInt,  DPMA, DKeu</t>
  </si>
  <si>
    <t>P-91</t>
  </si>
  <si>
    <t>SKNBI</t>
  </si>
  <si>
    <t>Penguatan SKNBI</t>
  </si>
  <si>
    <t>DLDS, DKSP, DPSP</t>
  </si>
  <si>
    <t>P-92</t>
  </si>
  <si>
    <t>Enhancement PAPEDA</t>
  </si>
  <si>
    <t>Enhancement Perolehan dan Pemanfaatan Data</t>
  </si>
  <si>
    <t>PAPEDA</t>
  </si>
  <si>
    <r>
      <rPr>
        <sz val="12"/>
        <color rgb="FF000000"/>
        <rFont val="Aptos Narrow"/>
        <family val="2"/>
        <scheme val="minor"/>
      </rPr>
      <t xml:space="preserve">- </t>
    </r>
    <r>
      <rPr>
        <b/>
        <sz val="12"/>
        <color rgb="FF000000"/>
        <rFont val="Aptos Narrow"/>
        <family val="2"/>
        <scheme val="minor"/>
      </rPr>
      <t>NOT STARTED</t>
    </r>
  </si>
  <si>
    <t>Proyek - Deliverables</t>
  </si>
  <si>
    <t xml:space="preserve">EDP Capturing Pricing - Pricing Calculation &amp; Dissemination: Reference Rate Syariah </t>
  </si>
  <si>
    <t>Arga</t>
  </si>
  <si>
    <t>DPPK.GIVA.KEL ASESMEN &amp; PENGEMBANGAN INFRASTRUKTUR PUVA, 
DPPK.GPVA.KEL ASESMEN &amp; PENGEMBANGAN PRODUCT &amp; PRICING PUVA
DEKS Kelompok Pengembangan dan Pengaturan Pasar Keuangan Syariah</t>
  </si>
  <si>
    <t xml:space="preserve">EDP Capturing Pricing - Pricing Calculation &amp; Dissemination: MM Curve </t>
  </si>
  <si>
    <t>DPPK.GIVA.KEL ASESMEN &amp; PENGEMBANGAN INFRASTRUKTUR PUVA, 
DPPK.GPVA.KEL ASESMEN &amp; PENGEMBANGAN PRODUCT &amp; PRICING PUVA</t>
  </si>
  <si>
    <r>
      <t>DMST</t>
    </r>
    <r>
      <rPr>
        <b/>
        <sz val="10"/>
        <color rgb="FF000000"/>
        <rFont val="Frutiger 55"/>
        <family val="3"/>
      </rPr>
      <t xml:space="preserve">, DKOM </t>
    </r>
  </si>
  <si>
    <t>Dini</t>
  </si>
  <si>
    <t xml:space="preserve">DKom - LIPKD
</t>
  </si>
  <si>
    <r>
      <t>DKeu</t>
    </r>
    <r>
      <rPr>
        <b/>
        <sz val="10"/>
        <color rgb="FF000000"/>
        <rFont val="Frutiger 55"/>
        <family val="3"/>
      </rPr>
      <t>, DMST</t>
    </r>
  </si>
  <si>
    <t>Pahman</t>
  </si>
  <si>
    <t>Dkeu : PSIK
DMST-KPRT / DPRS</t>
  </si>
  <si>
    <r>
      <t>DPMA</t>
    </r>
    <r>
      <rPr>
        <b/>
        <sz val="10"/>
        <color rgb="FF000000"/>
        <rFont val="Frutiger 55"/>
        <family val="3"/>
      </rPr>
      <t>, DPPK,  DPPT,DPSP</t>
    </r>
  </si>
  <si>
    <t>DPMA.GRPM.KEL PENGEMBANGAN OM PRO MARKET &amp; PENGATURAN P MON, 
DPPK.GIVA.KEL ASESMEN &amp; PENGEMBANGAN INFRASTRUKTUR PUVA</t>
  </si>
  <si>
    <t>Rangga</t>
  </si>
  <si>
    <t>DSMM.GRSM.KEL STANDARDISASI METODOLOGI SURVEILANS M M M &amp; SP</t>
  </si>
  <si>
    <t>Dukungan Implementasi Lembaga Alternatif Penyelesaian Sengketa di Sektor Keuangan (LAPS-SK) Tahap 1</t>
  </si>
  <si>
    <r>
      <t>DSPK,</t>
    </r>
    <r>
      <rPr>
        <b/>
        <sz val="10"/>
        <color rgb="FF000000"/>
        <rFont val="Frutiger 55"/>
        <family val="3"/>
      </rPr>
      <t xml:space="preserve"> DKOM</t>
    </r>
  </si>
  <si>
    <t>DKOM.LIPK.TIM KOMUNIKASI DIGITAL</t>
  </si>
  <si>
    <t>DPSP KFMI, OFMI</t>
  </si>
  <si>
    <r>
      <t>DPPT</t>
    </r>
    <r>
      <rPr>
        <b/>
        <sz val="10"/>
        <color rgb="FF000000"/>
        <rFont val="Frutiger 55"/>
        <family val="3"/>
      </rPr>
      <t>, DPU</t>
    </r>
  </si>
  <si>
    <t>Aldo</t>
  </si>
  <si>
    <t>- DPPT.DIV PENGEMBANGAN SISTEM TRESURI &amp; LAYANAN PERBANKAN, 
- DPU.GP2U.KEL DATA &amp; INFORMASI EDUKASI KERJA SAMA &amp; PUP</t>
  </si>
  <si>
    <t>DEIH.GEKI.KEL PENGEMBANGAN EKONOMI KEUANGAN INKLUSIF</t>
  </si>
  <si>
    <r>
      <t>DSta</t>
    </r>
    <r>
      <rPr>
        <b/>
        <sz val="11"/>
        <color rgb="FF000000"/>
        <rFont val="Frutiger 55"/>
        <family val="3"/>
      </rPr>
      <t>, DPKL</t>
    </r>
  </si>
  <si>
    <t>Rifanda</t>
  </si>
  <si>
    <t>- DSTA.DP2S.FUNGSI PENGEMBANGAN &amp; PENGATURAN STATISTIK DOM
- DPKL-GPLB-PLBP</t>
  </si>
  <si>
    <t>Enhancement Aplikasi Legacy (ERPHRIS) IPM Superapps</t>
  </si>
  <si>
    <r>
      <t>DKeu</t>
    </r>
    <r>
      <rPr>
        <b/>
        <sz val="11"/>
        <color rgb="FF000000"/>
        <rFont val="Frutiger 55"/>
        <family val="3"/>
      </rPr>
      <t>, DMST, DIDD</t>
    </r>
  </si>
  <si>
    <t>DKU-PSIK</t>
  </si>
  <si>
    <r>
      <t>DKeu</t>
    </r>
    <r>
      <rPr>
        <b/>
        <sz val="10"/>
        <color rgb="FF000000"/>
        <rFont val="Frutiger 55"/>
        <family val="3"/>
      </rPr>
      <t>, DKSP, DPSP, DPPT, DLDS</t>
    </r>
  </si>
  <si>
    <t>DPU-DEKU, 
DPPT-PSTP</t>
  </si>
  <si>
    <t>DSDM-Kelompok Pengelolaan Kinerja dan Kompetensi Pegawai</t>
  </si>
  <si>
    <t>DBP OpEx 4P: Pengembangan Kompetensi (Integrasi LMS dgn Digital Library)</t>
  </si>
  <si>
    <r>
      <t>BINS</t>
    </r>
    <r>
      <rPr>
        <b/>
        <sz val="10"/>
        <color rgb="FF000000"/>
        <rFont val="Frutiger 55"/>
        <family val="3"/>
      </rPr>
      <t>, DSDM</t>
    </r>
  </si>
  <si>
    <t>BINS.GPA.KEL INOVASI &amp; KEMITRAAN PEMBELAJARAN</t>
  </si>
  <si>
    <r>
      <t>DSta</t>
    </r>
    <r>
      <rPr>
        <b/>
        <sz val="10"/>
        <color rgb="FF000000"/>
        <rFont val="Frutiger 55"/>
        <family val="3"/>
      </rPr>
      <t>, DPKL, DIDD</t>
    </r>
  </si>
  <si>
    <t>- DSTA.DP2S.FUNGSI PENGEMBANGAN &amp; PENGATURAN STATISTIK DOM
- DIDD-GKDD-MB
- DPKL-GPLB-PLBP
- DPKL-GPLB-PLBG</t>
  </si>
  <si>
    <t>DPU.GP2U.KEL DATA &amp; INFORMASI EDUKASI KERJA SAMA &amp; PUP</t>
  </si>
  <si>
    <r>
      <t>DPPT</t>
    </r>
    <r>
      <rPr>
        <b/>
        <sz val="10"/>
        <color rgb="FF000000"/>
        <rFont val="Frutiger 55"/>
        <family val="3"/>
      </rPr>
      <t>, DPD, DInt,  DPMA, DKeu</t>
    </r>
  </si>
  <si>
    <t>Fahmi</t>
  </si>
  <si>
    <t xml:space="preserve">DPPT.DIV PENGEMBANGAN SISTEM TRESURI &amp; LAYANAN PERBANKAN, </t>
  </si>
  <si>
    <t>Nama Proyek</t>
  </si>
  <si>
    <t>KAK 2025</t>
  </si>
  <si>
    <t>Asesmen</t>
  </si>
  <si>
    <t>PLAN-Konfigurasi</t>
  </si>
  <si>
    <t>PLAN-Pengujian</t>
  </si>
  <si>
    <t>PLAN-Implementasi</t>
  </si>
  <si>
    <t>Progres terhadap 2025</t>
  </si>
  <si>
    <t>PIC MB</t>
  </si>
  <si>
    <t>PIC PMO</t>
  </si>
  <si>
    <t>PIC PPA</t>
  </si>
  <si>
    <t>Column24</t>
  </si>
  <si>
    <t xml:space="preserve">Asesmen </t>
  </si>
  <si>
    <t>Coding</t>
  </si>
  <si>
    <t xml:space="preserve">Pengujian </t>
  </si>
  <si>
    <t xml:space="preserve">Implementasi </t>
  </si>
  <si>
    <t>Column138</t>
  </si>
  <si>
    <t>NP-14</t>
  </si>
  <si>
    <t xml:space="preserve">Pemeliharaan Aplikasi </t>
  </si>
  <si>
    <t>NP-15</t>
  </si>
  <si>
    <t xml:space="preserve">Data Subscription </t>
  </si>
  <si>
    <t>NP-16</t>
  </si>
  <si>
    <t>RTGS</t>
  </si>
  <si>
    <t>Upgrade Platform RTGS ke TMSX</t>
  </si>
  <si>
    <t>On Progress</t>
  </si>
  <si>
    <t>Tidak ada BRD dikarenakan proyek berbentuk Upgrade Aplikasi</t>
  </si>
  <si>
    <r>
      <rPr>
        <b/>
        <sz val="11"/>
        <color rgb="FF000000"/>
        <rFont val="Aptos Narrow"/>
        <family val="2"/>
        <scheme val="minor"/>
      </rPr>
      <t xml:space="preserve">On Progres:
</t>
    </r>
    <r>
      <rPr>
        <sz val="11"/>
        <color rgb="FF000000"/>
        <rFont val="Aptos Narrow"/>
        <family val="2"/>
        <scheme val="minor"/>
      </rPr>
      <t xml:space="preserve">1. TMSX Main Regression test </t>
    </r>
    <r>
      <rPr>
        <b/>
        <sz val="11"/>
        <color rgb="FF000000"/>
        <rFont val="Aptos Narrow"/>
        <family val="2"/>
        <scheme val="minor"/>
      </rPr>
      <t xml:space="preserve">(done)
</t>
    </r>
    <r>
      <rPr>
        <sz val="11"/>
        <color rgb="FF000000"/>
        <rFont val="Aptos Narrow"/>
        <family val="2"/>
        <scheme val="minor"/>
      </rPr>
      <t xml:space="preserve">2. TMSX jadwal deployment 28-29 Oktober 2025 </t>
    </r>
    <r>
      <rPr>
        <b/>
        <sz val="11"/>
        <color rgb="FF000000"/>
        <rFont val="Aptos Narrow"/>
        <family val="2"/>
        <scheme val="minor"/>
      </rPr>
      <t xml:space="preserve">(done)
</t>
    </r>
    <r>
      <rPr>
        <sz val="11"/>
        <color rgb="FF000000"/>
        <rFont val="Aptos Narrow"/>
        <family val="2"/>
        <scheme val="minor"/>
      </rPr>
      <t xml:space="preserve">3. juknis review </t>
    </r>
    <r>
      <rPr>
        <b/>
        <sz val="11"/>
        <color rgb="FF000000"/>
        <rFont val="Aptos Narrow"/>
        <family val="2"/>
        <scheme val="minor"/>
      </rPr>
      <t>(</t>
    </r>
    <r>
      <rPr>
        <b/>
        <sz val="11"/>
        <color rgb="FFFF0000"/>
        <rFont val="Aptos Narrow"/>
        <family val="2"/>
        <scheme val="minor"/>
      </rPr>
      <t>finalisasi</t>
    </r>
    <r>
      <rPr>
        <b/>
        <sz val="11"/>
        <color rgb="FF000000"/>
        <rFont val="Aptos Narrow"/>
        <family val="2"/>
        <scheme val="minor"/>
      </rPr>
      <t xml:space="preserve">)
</t>
    </r>
    <r>
      <rPr>
        <sz val="11"/>
        <color rgb="FF000000"/>
        <rFont val="Aptos Narrow"/>
        <family val="2"/>
        <scheme val="minor"/>
      </rPr>
      <t>4. Golive Target persiapan 21 november setting konfig DC DRC untuk digunakan tanggal 28 november</t>
    </r>
    <r>
      <rPr>
        <b/>
        <sz val="11"/>
        <color rgb="FF000000"/>
        <rFont val="Aptos Narrow"/>
        <family val="2"/>
        <scheme val="minor"/>
      </rPr>
      <t xml:space="preserve"> (done)
</t>
    </r>
    <r>
      <rPr>
        <sz val="11"/>
        <color rgb="FF000000"/>
        <rFont val="Aptos Narrow"/>
        <family val="2"/>
        <scheme val="minor"/>
      </rPr>
      <t xml:space="preserve">
Note: 
1. diskusi lanjutan sebelum publish ke-2 dengan peserta
2. perlu penyesuaian role, dan menu</t>
    </r>
  </si>
  <si>
    <t>1. pekerjaan mengguanakan kontrak pemeliharaan
2. project charter awal belum ada, dan cakupan update teknology datang dari vendor
3. tidak ada urgentsy dari sisi user untuk mulai digunakan pada waktu tertentu
4. Pimpinan concern nya untuk segera di deploy sehingga tindak lanjut go live diserahkan kebijakan dari user
5. beberapa cakupan perubahan sering terjadi di setiap tahap pekerjaan
6. Terdapat kendala prioritas seperti migrasi server VM STPG prod, dan server dev dipinjam untuk pengujian ERRC
7. Jira Regression test TMSX Main: https://trackproject.corp.bi.go.id/secure/Dashboard.jspa?selectPageId=19912 regression test TMSX
8. Concern User di akhir tahun 2024 Tutup buku, peraturan PADG (2025)
upgrade ini disesuaikan jadwal pelaksanaannya menjadi TW I 2026 dengan pertimbangan terdapat proyek yang dipercepat sebagai hasil RDG yaitu Repo SVBI SUVBI  dan juga adanya proyek besar yang akan implementasi di TW III 2025 yaitu BI-FRN.</t>
  </si>
  <si>
    <t>Pembahasan estimasi effort dan Timeline</t>
  </si>
  <si>
    <t>1. Faradilla Anggun Suryaningsih
2. Zidni Rahmatika</t>
  </si>
  <si>
    <t>1. Welly Ramantika
2. Elsameinar
3. Tony Liston
4. Afifah
5. Aini</t>
  </si>
  <si>
    <t>NP-17</t>
  </si>
  <si>
    <t>Pengaliran data audit ICOFR dari FOMOBO ke Pusat data</t>
  </si>
  <si>
    <t>DAI</t>
  </si>
  <si>
    <t>DONE</t>
  </si>
  <si>
    <t>Sudah Golive di tanggal 17 Juli 2025</t>
  </si>
  <si>
    <t>Muhamad Fahmi Ridwan</t>
  </si>
  <si>
    <t>NP-18</t>
  </si>
  <si>
    <t>Penggantian Hard Token BI-ETP</t>
  </si>
  <si>
    <r>
      <t xml:space="preserve">On Progres:
</t>
    </r>
    <r>
      <rPr>
        <sz val="11"/>
        <color rgb="FF000000"/>
        <rFont val="Aptos Narrow"/>
        <family val="2"/>
        <scheme val="minor"/>
      </rPr>
      <t xml:space="preserve">
1.	DLDS-SOC menyampaikan bahwa hard token PP BI-RTGS, BI-SSSS, BI-ETP sudah obsolete maka telah dilakukan upgrade.
2.	DLDS-SOC menyampaikan untuk melakukan pengujian hard token baru pada PP BI-RTGS, BI-SSSS, BI-ETP.
3.	DLDS-SOC menyampaikan bahwa hard token tidak dipengaruhi versi Java (dapat berjalan pada versi java berapapun).
4.	PP atau Participant Platform di install pada server di sisi peserta dan diakses dari PC Client di sisi peserta via browser.
5.	Aplikasi Safenet dan Java digunakan untuk membaca hard token saat login connected user pada PP (Participant Platform).
6.	Asumsi DLDS-SOC, hard token harus dipasangkan dengan java 8u321 karena Satker User sudah terlanjur menginformasikan ke Peserta. 
7.	DLDS-KPPA telah melakukan pengujian dengan hasil berikut: 
1.	</t>
    </r>
    <r>
      <rPr>
        <b/>
        <sz val="11"/>
        <color rgb="FF000000"/>
        <rFont val="Aptos Narrow"/>
        <family val="2"/>
        <scheme val="minor"/>
      </rPr>
      <t xml:space="preserve">PP BI-ETP hanya dapat berjalan maksimal versi java 8u261 di PC Client.
Untuk sisi server telah dilakukan instalasi java 8u391 dan hasilnya OK.
2.	PP BI-RTGS dapat berjalan menggunakan java 8u321 di PC Client dan java 8u391 di sisi server.
3.	PP BI-SSSS dapat berjalan menggunakan java 8u321 di PC Client dan java 8u391 di sisi server.
</t>
    </r>
    <r>
      <rPr>
        <sz val="11"/>
        <color rgb="FF000000"/>
        <rFont val="Aptos Narrow"/>
        <family val="2"/>
        <scheme val="minor"/>
      </rPr>
      <t xml:space="preserve">8.	DLDS-KPPA menyampaikan PP BI-ETP harus menggunakan java 8u321 ke CMA.
9.	CMA merekomendasikan upgrade PP BI-ETP dan menggunakan java 17.
10.	DLDS-KPPA melakukan pengecekan hard token baru dengan java 17 apakah bisa berjalan, dan hasilnya OK.
</t>
    </r>
    <r>
      <rPr>
        <b/>
        <sz val="11"/>
        <color rgb="FF000000"/>
        <rFont val="Aptos Narrow"/>
        <family val="2"/>
        <scheme val="minor"/>
      </rPr>
      <t>Dari hasil diatas,  terkait hard token bisa kita state selesai, bukan di drop, 
Proses nya adalah menunggu LDP yang akan dibuat dan dikirimkan kepada pak Arifin dimana menyatakan bahwa Pengujian yang dilakukan oleh KPPA telah dilaksanakan dan dapat dikirimkan Memo kepada SOC terkait hal tersebut.</t>
    </r>
  </si>
  <si>
    <t>NP-19</t>
  </si>
  <si>
    <t>Enhancement CBS Penyediaan Report ALBI (Tindak lanjut Forum Harmonisasi)</t>
  </si>
  <si>
    <r>
      <t xml:space="preserve">1. Persiapan UAT pada m4 september 2025 - </t>
    </r>
    <r>
      <rPr>
        <b/>
        <sz val="11"/>
        <color rgb="FF000000"/>
        <rFont val="Aptos Narrow"/>
        <family val="2"/>
        <scheme val="minor"/>
      </rPr>
      <t xml:space="preserve">Done
</t>
    </r>
    <r>
      <rPr>
        <sz val="11"/>
        <color rgb="FF000000"/>
        <rFont val="Aptos Narrow"/>
        <family val="2"/>
        <scheme val="minor"/>
      </rPr>
      <t xml:space="preserve">2. Bug fixing sebelum UAT M1 okt 2025 - </t>
    </r>
    <r>
      <rPr>
        <b/>
        <sz val="11"/>
        <color rgb="FF000000"/>
        <rFont val="Aptos Narrow"/>
        <family val="2"/>
        <scheme val="minor"/>
      </rPr>
      <t>Done</t>
    </r>
    <r>
      <rPr>
        <sz val="11"/>
        <color rgb="FF000000"/>
        <rFont val="Aptos Narrow"/>
        <family val="2"/>
        <scheme val="minor"/>
      </rPr>
      <t xml:space="preserve"> 
3. UAT M2-M3 Okt 2025 - </t>
    </r>
    <r>
      <rPr>
        <b/>
        <sz val="11"/>
        <color rgb="FF000000"/>
        <rFont val="Aptos Narrow"/>
        <family val="2"/>
        <scheme val="minor"/>
      </rPr>
      <t xml:space="preserve">done
</t>
    </r>
    <r>
      <rPr>
        <sz val="11"/>
        <color rgb="FF000000"/>
        <rFont val="Aptos Narrow"/>
        <family val="2"/>
        <scheme val="minor"/>
      </rPr>
      <t>4. update token -</t>
    </r>
    <r>
      <rPr>
        <b/>
        <sz val="11"/>
        <color rgb="FF000000"/>
        <rFont val="Aptos Narrow"/>
        <family val="2"/>
        <scheme val="minor"/>
      </rPr>
      <t xml:space="preserve"> done
5. laporan UAT - (perlu tang
</t>
    </r>
    <r>
      <rPr>
        <sz val="11"/>
        <color rgb="FF000000"/>
        <rFont val="Aptos Narrow"/>
        <family val="2"/>
        <scheme val="minor"/>
      </rPr>
      <t xml:space="preserve">5. Persiapan implementasi potensial m4 Okt 2025 -  </t>
    </r>
    <r>
      <rPr>
        <b/>
        <sz val="11"/>
        <color rgb="FF000000"/>
        <rFont val="Aptos Narrow"/>
        <family val="2"/>
        <scheme val="minor"/>
      </rPr>
      <t>to do</t>
    </r>
  </si>
  <si>
    <t>NP-20</t>
  </si>
  <si>
    <t>Rekonfigurasi Pemenuhan DC 2</t>
  </si>
  <si>
    <t>Rekonfigurasi BI-SILK</t>
  </si>
  <si>
    <t>Concern:
1.  dari KPIPIT meeting CAPLAN BISILK kalau server ready di TW 1 2026 maka concern untuk DC 2 potensial baru bisa dilakukan di TW2 2026
2. perlu update timeline berikut diskusi / underlying dari KPIPIT terkait ketersediaan server
perlu 2 kali tahap 
DRC di perlu di 2025
DC 2 container 
Note:
1. Mulai rekonfiguasi bisilk setelah selesai bisilk gen 2,
2. potensial mulai M3 Agustus 2025 - M3 Desemeber 2025
3. di sisi BI perlu form fulfillment dan hasil UAT
4. selesai di desember 2025
5. perlu Waktu buat wo baru
tujuan : untuk stratifikasi kritikal</t>
  </si>
  <si>
    <t xml:space="preserve">Rekonfigurasi En Reporting SWIFT </t>
  </si>
  <si>
    <t>En Reporting</t>
  </si>
  <si>
    <t>Rekonfigurasi SIMP</t>
  </si>
  <si>
    <t>SIMP</t>
  </si>
  <si>
    <t>Rekonfigurasi BIWEB</t>
  </si>
  <si>
    <t>Rekonfigurasi SISMONTAVAR</t>
  </si>
  <si>
    <t xml:space="preserve">Rekonfigurasi SI-BISSS </t>
  </si>
  <si>
    <t>SI-BISSS</t>
  </si>
  <si>
    <t>Rekonfigurasi GMMP</t>
  </si>
  <si>
    <t xml:space="preserve">Rekonfigurasi ANTASENA LBUT  </t>
  </si>
  <si>
    <t>LBUT</t>
  </si>
  <si>
    <t xml:space="preserve">Rekonfigurasi BI-ETP </t>
  </si>
  <si>
    <t xml:space="preserve">Rekonfigurasi HARTIS </t>
  </si>
  <si>
    <t>HARTIS</t>
  </si>
  <si>
    <t xml:space="preserve">Rekonfigurasi FOMOBO </t>
  </si>
  <si>
    <t xml:space="preserve">Rekonfigurasi NCP </t>
  </si>
  <si>
    <t xml:space="preserve">Rekonfigurasi ERPHRIS </t>
  </si>
  <si>
    <t>DLDS, DKEU</t>
  </si>
  <si>
    <t>Rekonfigurasi Alternate ETP</t>
  </si>
  <si>
    <t>ETP</t>
  </si>
  <si>
    <t xml:space="preserve">Rekonfigurasi LKPBU (ANTASENA Non LBUT) </t>
  </si>
  <si>
    <t>Non LBUT)</t>
  </si>
  <si>
    <t>Rekonfigurasi SIMODIS</t>
  </si>
  <si>
    <t>Rekonfigurasi BI-SSS</t>
  </si>
  <si>
    <t>NP-24</t>
  </si>
  <si>
    <t>Perluasan IEA</t>
  </si>
  <si>
    <t>IEA-KUPVA BB ( Solusi Interim) Untuk Pengawasan di KPwDN WG end to end</t>
  </si>
  <si>
    <t>BB</t>
  </si>
  <si>
    <t>Rifka, Dona</t>
  </si>
  <si>
    <t>Wiwiek</t>
  </si>
  <si>
    <t>Wahid, Fadhil</t>
  </si>
  <si>
    <t>Ada</t>
  </si>
  <si>
    <t>Konfigurasi IEA untuk mendukung Use Case Bansos dan Use Case Internal Pegawai BI / Payment ID &amp; Lanjutan Payment Integrity</t>
  </si>
  <si>
    <t>P</t>
  </si>
  <si>
    <t>Sudah Deploy di tanggal 31 Oktober 2025, proyek lanjutanya akan di list menjadi non proyek baru</t>
  </si>
  <si>
    <t>Perolehan Data PJP/PIP</t>
  </si>
  <si>
    <t>Sudah di Deploy tanggal 29 Agustus 2025,  tangga; 1 September sudah di implementasikan di production dengan catatan email PIC dari pelapor masih on progress dilist satker bisnis</t>
  </si>
  <si>
    <t>IEA-DHE SDA (Sub Registry 16 Pelapor)</t>
  </si>
  <si>
    <t>IEA</t>
  </si>
  <si>
    <t>Sudah Golive di tanggal 30 April 2025</t>
  </si>
  <si>
    <t>Konfigurasi IEA otomasi Data SBN  - OJK ke pusat Data</t>
  </si>
  <si>
    <t>Data SBN - OJK ke pusat Data​</t>
  </si>
  <si>
    <t>IEA-BAPPEBTI Dervatif PUVA - (OJK BAPPEBTI)</t>
  </si>
  <si>
    <t>PUVA - (OJK BAPPEBTI)​</t>
  </si>
  <si>
    <t>IEA-DJA Pengaliran suku bunga</t>
  </si>
  <si>
    <t xml:space="preserve">On Progress :
(implementasi 24 februari-28 Februari 2025)
</t>
  </si>
  <si>
    <t>Pengiriman Data Antasena LBUT - Pengiriman Data LBUT ke Otoritas Jasa Keuangan dan Lembaga Penjamin Simpanan</t>
  </si>
  <si>
    <t>Desember 2025</t>
  </si>
  <si>
    <t>Sudah deploy tanggal 12 desember 2025</t>
  </si>
  <si>
    <t>Desembre 2025</t>
  </si>
  <si>
    <t>Pengaliran Data LBBPR/S dari OJK ke BI</t>
  </si>
  <si>
    <t>Sudah deployment di tanggal 28 Februari 2025 dan dinyatakan Go-Live tanggal 3 Maret 2025</t>
  </si>
  <si>
    <t>Penambahan Laporan Pengaliran Data Laporan BPR/S dari Otoritas Jasa Keuangan (OJK) ke Bank Indonesia melalui Information Exchange Architecture (IEA)</t>
  </si>
  <si>
    <t>Pengembangan Sistem Pelaporan CCP ke BI dan TPA melalui Aplikasi IEA</t>
  </si>
  <si>
    <t>Market, MD</t>
  </si>
  <si>
    <t>Sistem</t>
  </si>
  <si>
    <t>Secara Proyek sudah deployment ditanggal 25 September 2025, saat ini masa PEER sampai dengan M1 Oktober</t>
  </si>
  <si>
    <t xml:space="preserve">Pengembangan Portal Sistem Pelaporan CCP - IEA Pertukaran data terkait Payment Integrity Integrasi </t>
  </si>
  <si>
    <t>Perubahan Derivatif PUVA - Perubahan pengaliran dari BAPPEBTI menajdi Pelapor Langsung ke BI (FSR)(120 Pelapor)</t>
  </si>
  <si>
    <t>Februari 2026</t>
  </si>
  <si>
    <t xml:space="preserve">Dona Kartika &amp; </t>
  </si>
  <si>
    <t>Transaksi FX-DNDF via Primary Dealers (PDs)</t>
  </si>
  <si>
    <t>Penguatan transaksi FX-NDF BI pada Bloomberg FX Go</t>
  </si>
  <si>
    <t>DPMA</t>
  </si>
  <si>
    <t>FOMOBO, Bloomberg</t>
  </si>
  <si>
    <t>Deployment Pada 2 Juni 2025
Status Implementasi
1. Config book fxmon dan akses Bloomberg fxgo utk KPW NY &amp; DOMV (Done 28 Mei 2025);
2. Deployment new service SOA &amp; sanity check (Done 29 Mei 2025);
3. Config book access FXMON kepada SDR NY (Done 28 Mei 2025).
4. Implement custom code utk update logic Settlement Currency pada workflow FOMOBO (Done 2 Juni 2025)
Sudah di implementasikan secara penuh pada tanggal 2 Juni 2025.
Dokumentasi 
1. Memo dan M.43 telah disampaikan
2. Dokumen laporan Pengujian (LAporan UAT)  telah disampaikan
3. BAI/Dokumen Implementasi akan segera dikirimkan oleh satker user (DPMA)</t>
  </si>
  <si>
    <t>2 Juni 2025</t>
  </si>
  <si>
    <t>Alfadho</t>
  </si>
  <si>
    <t>NP-34</t>
  </si>
  <si>
    <t>Konfigurasi Sistem Treasury Bank Indonesia</t>
  </si>
  <si>
    <t xml:space="preserve">Otomasi Penarikan Report Portfolio Workstation di FOMOBO </t>
  </si>
  <si>
    <t>secara proyek targetnya di 2026 TW2 (Mei baru mulai), untuk kebutuhan sendiri form kebutuhan nya belum disampaikan satker bisnis</t>
  </si>
  <si>
    <t>FOMOBO Konfigurasi FOMOBO untuk Perbaikan Laporan EDW-ORA</t>
  </si>
  <si>
    <t>DIDD</t>
  </si>
  <si>
    <t>Secara non-proyek sudah selesai dan BA implementasi di ttd di tanggal 5 februari 2025.
​</t>
  </si>
  <si>
    <t>NP-35</t>
  </si>
  <si>
    <t xml:space="preserve">SWIFT </t>
  </si>
  <si>
    <t>SWIFT November Changes 2025</t>
  </si>
  <si>
    <t>z</t>
  </si>
  <si>
    <t>Selesai RBT-RBB</t>
  </si>
  <si>
    <t>Selesai RPP</t>
  </si>
  <si>
    <t>Selesai Desain</t>
  </si>
  <si>
    <r>
      <rPr>
        <sz val="11"/>
        <color rgb="FF000000"/>
        <rFont val="Aptos Narrow"/>
        <family val="2"/>
        <scheme val="minor"/>
      </rPr>
      <t>1. Telah dilakukan Diskusi dengan Satker Bisnis terkait untuk memulai pengerjaan November Changes
2. Hasil diskusi dengan Satker Bisnis akan di dokumentasikan mejadi Risalah Rapat dan menjadi acuan/landasan memulai Proyek November Changes.
3. Draf'ing Dokumen Pengujian November Changes 
4. Dokumen T.4.3 dan T.4.4 sudah FullSign 
5</t>
    </r>
    <r>
      <rPr>
        <b/>
        <sz val="11"/>
        <color rgb="FF000000"/>
        <rFont val="Aptos Narrow"/>
        <family val="2"/>
        <scheme val="minor"/>
      </rPr>
      <t>. Implementasi di lakukan tanggal 21 Nov</t>
    </r>
    <r>
      <rPr>
        <sz val="11"/>
        <color rgb="FF000000"/>
        <rFont val="Aptos Narrow"/>
        <family val="2"/>
        <scheme val="minor"/>
      </rPr>
      <t xml:space="preserve"> di lakukan oleh OPDA dan KPPA
6. Monitoring paska Implemtenasi dari tanggal 24 Nov - 12 Des</t>
    </r>
  </si>
  <si>
    <t xml:space="preserve">1. Diskusi dengan user dan vendor pengembang (FOMOBO, ERPHRIS, CBS) terkait kegiatan untuk november changes.
2. Hasil Deployment SWIFT MT/MX akan menjadi Pre-Requisite pengembangan Swift November Changes </t>
  </si>
  <si>
    <t>SWIFT November Changes 2026</t>
  </si>
  <si>
    <t>SWIFT, CBS, ERP, FOMOBO</t>
  </si>
  <si>
    <t>Upgrade versi SWIFT 7.7</t>
  </si>
  <si>
    <t>SWIFT</t>
  </si>
  <si>
    <t>Sudah deployment pada tanggal 24 Februari 2025</t>
  </si>
  <si>
    <t>Upgrade SWIFT HSM Box</t>
  </si>
  <si>
    <t>Sudah deployment pada tanggal 24 Maret 2025</t>
  </si>
  <si>
    <t>Legacy ISO 20022: SWIFT Tahap II</t>
  </si>
  <si>
    <t>Done</t>
  </si>
  <si>
    <t>19. Rencana Implementasi akan di lakukan di tanggal 15 Agustus
20. Telah di lakukan deployment di 15 Agustus, tp belum di aktifkan. akan dilakukan monitoring sampai CBS melakukan deployment di M4 September 
21. Pendampingan Team CBS untuk melaksankan industrial test, rencana akan di lakukan di M1-M2 September
22. Rencana peng'aktifan konfigurasi SWIFT MT/MX akan di laksanakan 26 Sep berbarengan dengan Team CBS MT/MX melakukan Implementasi 
23. Monitoring paska GO Live SWIFT MT/MX (FOMOBO, ERP dan CBS) 
24. Server SFTP Swift sudah tidak temuan, Proses pembuatan dokumen T.5.5</t>
  </si>
  <si>
    <t>NP-36</t>
  </si>
  <si>
    <t>Peningkatan Kapasitas dan Performance Aplikasi Legacy</t>
  </si>
  <si>
    <t>Peningkatan Performance PINTAR dalam rangka SERAMBI 2026</t>
  </si>
  <si>
    <t>NP-37</t>
  </si>
  <si>
    <t>Upgrade CRM</t>
  </si>
  <si>
    <t>Upgrade versi CRM</t>
  </si>
  <si>
    <t>DLDS, DKOM</t>
  </si>
  <si>
    <t>CRM</t>
  </si>
  <si>
    <t>NP-38</t>
  </si>
  <si>
    <t>Konfigurasi WBS</t>
  </si>
  <si>
    <t>Konfigurasi Penyempurnaan Notifikasi Flow Proses Pemeriksaan pada WBS</t>
  </si>
  <si>
    <t xml:space="preserve">Telah dilaksanakan Kickoff Formulir Permintaan Layanan 
Free Text pada Status Laporan WBS-BI dan Penyesuaian Informasi/ Text pada Aplikasi WBS. Pengembangan ditargetkan selesai M4 November
Pengujian dilakukan paralel M4 Nov - M1 Des 2025
Deploy (17 Des 25) telah 100%. </t>
  </si>
  <si>
    <t>NP-39</t>
  </si>
  <si>
    <t>Piloting Laporan LLD Bank High-Frequency</t>
  </si>
  <si>
    <t>NP-40</t>
  </si>
  <si>
    <t>Dukungan IN-FAST</t>
  </si>
  <si>
    <t>On Boarding IN-FAST pada Infra SP BI</t>
  </si>
  <si>
    <t>NP-29</t>
  </si>
  <si>
    <t>Pengaliran Data Eksyar</t>
  </si>
  <si>
    <t>Middleware</t>
  </si>
  <si>
    <t>Deliverables Proyek</t>
  </si>
  <si>
    <t>ASESMEN</t>
  </si>
  <si>
    <t>EKSPLORASI</t>
  </si>
  <si>
    <t>PENGADAAN-KAK</t>
  </si>
  <si>
    <t>DELIVERY</t>
  </si>
  <si>
    <t>AGS</t>
  </si>
  <si>
    <t>OKT</t>
  </si>
  <si>
    <t>P-30</t>
  </si>
  <si>
    <t>New Technology</t>
  </si>
  <si>
    <t>3-DC</t>
  </si>
  <si>
    <t>Surrounding Security (Network - Security untuk Environment Dev Test)</t>
  </si>
  <si>
    <t>Not started, Belum sempat masuk, karena ada beberapa prioritas RBT  (DLDS maupun Satker lain) yg harus diselesaikan di TW 1 (Update 06 Mar 2025)</t>
  </si>
  <si>
    <t>Proyek jadinya digabung dgn DC-3 di DPID. Sudah dilakukan koordinasi dgn DPID (Pak Rifki) - Update 17 April</t>
  </si>
  <si>
    <t>Proyek  digabung dgn DC-3 di DPID. 
Untuk RBL masih dalam proses finalisasi di DPID, untuk RBTD bagian siber menunggu kelengkapan RBL</t>
  </si>
  <si>
    <t>P-31</t>
  </si>
  <si>
    <t>DC-2 &amp;  TI Kawasan (Karawang &amp; Gresik)</t>
  </si>
  <si>
    <t>Network - Security Pendukung MHE (SPU &amp; DKUT)</t>
  </si>
  <si>
    <t>1. DMAP: Sedang proses untuk izin prinsip pengadaan (Update: 18 Feb 2025)
2. Masih dalam proses review KAK di DMAP karena memang baru disampaikan per 14 Februari 2025. (Update 24 Feb 2025)</t>
  </si>
  <si>
    <t>1. DMAP: Sedang proses untuk izin prinsip pengadaan (Update: 18 Feb 2025)
2. Masih dalam proses review KAK di DMAP karena memang baru disampaikan per 14 Februari 2025. (Update 24 Feb 2025)
3. Masih dalam proses review KAK di DMAP karena memang baru disampaikan per 14 Februari 2025. (Update 5 Mar 2025)</t>
  </si>
  <si>
    <t>Sedang proses RFI (update 10 April 2025)</t>
  </si>
  <si>
    <t>retargeting SPPP ke 31 Juni 2025</t>
  </si>
  <si>
    <t>P-34</t>
  </si>
  <si>
    <t>Cloud</t>
  </si>
  <si>
    <t>Network - Cloud Network Security Tahap 1</t>
  </si>
  <si>
    <t>saat ini sedang pembuatan RBT. Akan dilakukan best effort untuk kejar sampai dgn akhir TW 1</t>
  </si>
  <si>
    <r>
      <rPr>
        <sz val="11"/>
        <color rgb="FF000000"/>
        <rFont val="Aptos Narrow"/>
        <family val="2"/>
        <scheme val="minor"/>
      </rPr>
      <t xml:space="preserve">On Progress pembuatan RBT (40%) - Penyusunan masih di dok PPT
1. RBT: On Progress pembuatan RBT (40%) - saat ini sedang lengkapi dokumen tayangan terlebih dahulu, paralel dok word sudah mulai dilengkapi </t>
    </r>
    <r>
      <rPr>
        <b/>
        <sz val="11"/>
        <color rgb="FF000000"/>
        <rFont val="Aptos Narrow"/>
        <family val="2"/>
        <scheme val="minor"/>
      </rPr>
      <t xml:space="preserve">(Update 10 Maret 2025)
</t>
    </r>
    <r>
      <rPr>
        <sz val="11"/>
        <color rgb="FF000000"/>
        <rFont val="Aptos Narrow"/>
        <family val="2"/>
        <scheme val="minor"/>
      </rPr>
      <t xml:space="preserve">2. RPP: Akan dilengkapi kembali setelah RBT sudah di finalisasi </t>
    </r>
    <r>
      <rPr>
        <b/>
        <sz val="11"/>
        <color rgb="FF000000"/>
        <rFont val="Aptos Narrow"/>
        <family val="2"/>
        <scheme val="minor"/>
      </rPr>
      <t xml:space="preserve">(Update 10 Maret 2025)
3. Retimelining, </t>
    </r>
    <r>
      <rPr>
        <sz val="11"/>
        <color rgb="FF000000"/>
        <rFont val="Aptos Narrow"/>
        <family val="2"/>
        <scheme val="minor"/>
      </rPr>
      <t>karena baiknya policy nya jadi terlebih dahulu, baru dibuatkan guidance. Target akan menyesuaikan dari RBT Cloud DPID</t>
    </r>
  </si>
  <si>
    <t>- Retimelining, sedang di konfirmasi lebih lanjut terkait jadwal fix retimelining
- Kemungkinan geser ke TW 2,info dari mas Gio DIDD (update 09 April 2025)</t>
  </si>
  <si>
    <t>RBT digabung dgn proyek P-34 Cloud yg ada di DPID
Next Action:
1. Akan monitoring RBT yg saat ini disusun termasuk RBTD yg disusun oleh tim KPPKE
2. Akan disiapkan drafting RPP Cloud Network Security</t>
  </si>
  <si>
    <t>Network - Cloud Network Security Tahap 2</t>
  </si>
  <si>
    <t>P-35</t>
  </si>
  <si>
    <t>Integrated Security</t>
  </si>
  <si>
    <t>Network - Security Service Edge</t>
  </si>
  <si>
    <t>Threat DR - Cyber Security Rating​</t>
  </si>
  <si>
    <t>31-Des-25</t>
  </si>
  <si>
    <t>Finalisasi RBTD di akhir M4 februari 2025 - Update 24 Feb 2025</t>
  </si>
  <si>
    <t>Progress penyususnan sisa lampiran &amp; signing. Sedang dibuatkan draft slide untuk present ke bu retno
- tgl 12 maret akan ada meeting dgn pak yoyo untuk bahas RBT</t>
  </si>
  <si>
    <t>- RBT &amp; M02 persetujuan sudah di submit per tgl 26 Maret 2025, belum di ttd. Dari Bu Retno minta di agendakan meeting terlebih dahulu
- RBT sudah Signing Bu Retno. 
- Untuk RPP akan dibuatkan untuk versi terbarunya (Estimasi selesai M4 April)</t>
  </si>
  <si>
    <r>
      <rPr>
        <sz val="11"/>
        <color rgb="FF000000"/>
        <rFont val="Aptos Narrow"/>
        <family val="2"/>
        <scheme val="minor"/>
      </rPr>
      <t xml:space="preserve">
</t>
    </r>
    <r>
      <rPr>
        <sz val="11"/>
        <color rgb="FF8ED973"/>
        <rFont val="Aptos Narrow"/>
        <family val="2"/>
        <scheme val="minor"/>
      </rPr>
      <t xml:space="preserve">- RBT sudah di ttd Bu Retno
- RPP sudah di ttd Bu Retno
- KAK CSR proses review di KAK
</t>
    </r>
    <r>
      <rPr>
        <sz val="11"/>
        <color rgb="FF000000"/>
        <rFont val="Aptos Narrow"/>
        <family val="2"/>
        <scheme val="minor"/>
      </rPr>
      <t>Next Action:
- FU MKA apakah sudah di kirim ke DMAP untuk KAK CSR</t>
    </r>
  </si>
  <si>
    <t>New Tech - Infrastruktur Security - Threat DR</t>
  </si>
  <si>
    <t>Threat DR - Human Risk Management​</t>
  </si>
  <si>
    <r>
      <rPr>
        <b/>
        <sz val="11"/>
        <color rgb="FF000000"/>
        <rFont val="Aptos Narrow"/>
        <family val="2"/>
        <scheme val="minor"/>
      </rPr>
      <t>Status:</t>
    </r>
    <r>
      <rPr>
        <sz val="11"/>
        <color rgb="FF000000"/>
        <rFont val="Aptos Narrow"/>
        <family val="2"/>
        <scheme val="minor"/>
      </rPr>
      <t xml:space="preserve"> 
1. Proses Pengadaan: Dari prinsipal sudah kirim Invoice. selanjutnya akan dilakukan proses pembayaran via MKA </t>
    </r>
    <r>
      <rPr>
        <b/>
        <sz val="11"/>
        <color rgb="FF000000"/>
        <rFont val="Aptos Narrow"/>
        <family val="2"/>
        <scheme val="minor"/>
      </rPr>
      <t xml:space="preserve">(DONE)
</t>
    </r>
    <r>
      <rPr>
        <sz val="11"/>
        <color rgb="FF000000"/>
        <rFont val="Aptos Narrow"/>
        <family val="2"/>
        <scheme val="minor"/>
      </rPr>
      <t xml:space="preserve">2. sudah dilakukan kickoff meeting dengan KPPKE dan Living security di tgl 16 Juli 2025 </t>
    </r>
    <r>
      <rPr>
        <b/>
        <sz val="11"/>
        <color rgb="FF000000"/>
        <rFont val="Aptos Narrow"/>
        <family val="2"/>
        <scheme val="minor"/>
      </rPr>
      <t xml:space="preserve">(DONE)
</t>
    </r>
    <r>
      <rPr>
        <sz val="11"/>
        <color rgb="FF000000"/>
        <rFont val="Aptos Narrow"/>
        <family val="2"/>
        <scheme val="minor"/>
      </rPr>
      <t xml:space="preserve">3.   Sudah dilakukan technical meeting dengan Living Security tgl 23 Juli 2025, melibatkan tim KPPIS dan SOC </t>
    </r>
    <r>
      <rPr>
        <b/>
        <sz val="11"/>
        <color rgb="FF000000"/>
        <rFont val="Aptos Narrow"/>
        <family val="2"/>
        <scheme val="minor"/>
      </rPr>
      <t xml:space="preserve">(DONE)
</t>
    </r>
    <r>
      <rPr>
        <sz val="11"/>
        <color rgb="FF000000"/>
        <rFont val="Aptos Narrow"/>
        <family val="2"/>
        <scheme val="minor"/>
      </rPr>
      <t xml:space="preserve">4. konfigurasi integrasi dgn Microsoft dan pembuatan campaigns - 30 Juli 2025 </t>
    </r>
    <r>
      <rPr>
        <b/>
        <sz val="11"/>
        <color rgb="FF000000"/>
        <rFont val="Aptos Narrow"/>
        <family val="2"/>
        <scheme val="minor"/>
      </rPr>
      <t xml:space="preserve">(DONE)
</t>
    </r>
    <r>
      <rPr>
        <sz val="11"/>
        <color rgb="FF000000"/>
        <rFont val="Aptos Narrow"/>
        <family val="2"/>
        <scheme val="minor"/>
      </rPr>
      <t>5. Pembuatan workflow</t>
    </r>
    <r>
      <rPr>
        <b/>
        <sz val="11"/>
        <color rgb="FF000000"/>
        <rFont val="Aptos Narrow"/>
        <family val="2"/>
        <scheme val="minor"/>
      </rPr>
      <t xml:space="preserve"> (DONE)
</t>
    </r>
    <r>
      <rPr>
        <sz val="11"/>
        <color rgb="FF000000"/>
        <rFont val="Aptos Narrow"/>
        <family val="2"/>
        <scheme val="minor"/>
      </rPr>
      <t>6. Pembayaran subscription tahun pertama</t>
    </r>
    <r>
      <rPr>
        <b/>
        <sz val="11"/>
        <color rgb="FF000000"/>
        <rFont val="Aptos Narrow"/>
        <family val="2"/>
        <scheme val="minor"/>
      </rPr>
      <t xml:space="preserve">(DONE)
</t>
    </r>
    <r>
      <rPr>
        <sz val="11"/>
        <color rgb="FF000000"/>
        <rFont val="Aptos Narrow"/>
        <family val="2"/>
        <scheme val="minor"/>
      </rPr>
      <t xml:space="preserve">7. Training dan sharing knowledge </t>
    </r>
    <r>
      <rPr>
        <b/>
        <sz val="11"/>
        <color rgb="FF000000"/>
        <rFont val="Aptos Narrow"/>
        <family val="2"/>
        <scheme val="minor"/>
      </rPr>
      <t xml:space="preserve">(DONE)
</t>
    </r>
    <r>
      <rPr>
        <sz val="11"/>
        <color rgb="FF000000"/>
        <rFont val="Aptos Narrow"/>
        <family val="2"/>
        <scheme val="minor"/>
      </rPr>
      <t xml:space="preserve">8. Pengetesan aplikasi di internal GKKS </t>
    </r>
    <r>
      <rPr>
        <b/>
        <sz val="11"/>
        <color rgb="FF000000"/>
        <rFont val="Aptos Narrow"/>
        <family val="2"/>
        <scheme val="minor"/>
      </rPr>
      <t xml:space="preserve">(DONE)
</t>
    </r>
    <r>
      <rPr>
        <sz val="11"/>
        <color rgb="FF000000"/>
        <rFont val="Aptos Narrow"/>
        <family val="2"/>
        <scheme val="minor"/>
      </rPr>
      <t xml:space="preserve">9. Transfer knowledge Bersama principal dan PPKE - 29 Sep 2025 </t>
    </r>
    <r>
      <rPr>
        <b/>
        <sz val="11"/>
        <color rgb="FF000000"/>
        <rFont val="Aptos Narrow"/>
        <family val="2"/>
        <scheme val="minor"/>
      </rPr>
      <t xml:space="preserve">(DONE)
Next Action:
</t>
    </r>
    <r>
      <rPr>
        <sz val="11"/>
        <color rgb="FF000000"/>
        <rFont val="Aptos Narrow"/>
        <family val="2"/>
        <scheme val="minor"/>
      </rPr>
      <t>2. Pembuatan M.01 serah terima operasional
Note:
Berdasarkan kontrak, tahap konfigurasi selama 60 Hari sejak kontrak diterbitkan (30 Juni 2025), maka masa konfigurasi, training dan sharing knowledge sampai dgn 29 Agustus 2025</t>
    </r>
  </si>
  <si>
    <t>Progress penyusunan RBT &amp; RPP</t>
  </si>
  <si>
    <t>1. Progress penyusunan RBT &amp; RPP
2. Sedang disiapkan slide untuk present ke Pak Yoyo. RBT akan segera di finalisasi setelah selesai di presentasikan ke Pak Yoyo 07/03/25)
3. Sudah di present ke Pak JA. Next Action: segera dibuakan M02, RPP &amp; UPP</t>
  </si>
  <si>
    <t>RBT sudah di ttd  oleh Pak JA. 
Next Action:  Untuk RPP sedang dibuatkan untuk versi terbarunya. Estimasi penyelesaian M3 April</t>
  </si>
  <si>
    <r>
      <rPr>
        <sz val="11"/>
        <color rgb="FF000000"/>
        <rFont val="Aptos Narrow"/>
        <family val="2"/>
        <scheme val="minor"/>
      </rPr>
      <t xml:space="preserve">Progress RBT:
</t>
    </r>
    <r>
      <rPr>
        <sz val="11"/>
        <color rgb="FF8ED973"/>
        <rFont val="Aptos Narrow"/>
        <family val="2"/>
        <scheme val="minor"/>
      </rPr>
      <t xml:space="preserve">- RBT ttd Pak Yoyok
- RBT ttd Bu Retno
</t>
    </r>
    <r>
      <rPr>
        <sz val="11"/>
        <color rgb="FF000000"/>
        <rFont val="Aptos Narrow"/>
        <family val="2"/>
        <scheme val="minor"/>
      </rPr>
      <t>- RBT ttd Pak JA
Progress RPP:
- ttd Pak Yoyok
- ttd Bu Retno
- ttd Pak JA
Progress KAK
- Pembuatan KAK
Next Action:
- fu Mba Antiq terkait ttd RBT oleh Pak JA
- fu MKA terkait KAK apakah sudah dikirim ke DMAP atau belum</t>
    </r>
  </si>
  <si>
    <t>Orches &amp; Automate - Hybrid SIEM​</t>
  </si>
  <si>
    <t>Gen AI For Cybersecurity</t>
  </si>
  <si>
    <t>Identity and Access Management (IAM) / Role Based Access Control (RBAC)</t>
  </si>
  <si>
    <t>Security/Infra</t>
  </si>
  <si>
    <t>NP-7</t>
  </si>
  <si>
    <t>Perluasan Infrastruktur Security</t>
  </si>
  <si>
    <t xml:space="preserve"> Passwordless Authentication​</t>
  </si>
  <si>
    <t>Security</t>
  </si>
  <si>
    <t>31-Des-28</t>
  </si>
  <si>
    <t>Network - API Security</t>
  </si>
  <si>
    <t>Security Architecture - Penguatan Arsitektur Siber​</t>
  </si>
  <si>
    <t>Threat DR - Extended Detection &amp; Response​</t>
  </si>
  <si>
    <t>NP-12</t>
  </si>
  <si>
    <t>Penyesuaian Kapasitas Security</t>
  </si>
  <si>
    <t>Penambahan dan Penggantian Kapasitas Perangkat Security</t>
  </si>
  <si>
    <t>Penyediaan Penambahan Lisensi Extended Detection &amp; Response Tahun Anggaran 2026</t>
  </si>
  <si>
    <t>Not Start</t>
  </si>
  <si>
    <t>Penyediaan Penambahan Lisensi Privilege Access Management Tahun Anggaran 2026</t>
  </si>
  <si>
    <t>Penyediaan Secret Management Tahun Anggaran 2026</t>
  </si>
  <si>
    <t>Penyediaan Container Security Tahun Anggaran 2026</t>
  </si>
  <si>
    <t>Penyediaan solusi Zero Trust Network Access (ZTNA) di Bank Indonesia</t>
  </si>
  <si>
    <t>TbC</t>
  </si>
  <si>
    <t>Penyediaan Penambahan Lisensi Application Security Testing Tahun Anggaran 2026</t>
  </si>
  <si>
    <t xml:space="preserve">Pengadaan dan Pemeliharaan Perangkat Next-Generation Firewall (NGFW) untuk Data Center 1 (DC1) Bank Indonesia </t>
  </si>
  <si>
    <t xml:space="preserve">Pergantian Application Delivery Controller (ADC) Data Center 1 (DC1) Bank Indonesia 2026 </t>
  </si>
  <si>
    <t>Pergantian Perangkat GPS Time Server Tahun Anggaran 2027</t>
  </si>
  <si>
    <t>Hardware security module untuk new BIFAST</t>
  </si>
  <si>
    <t>Pergantian Perangkat HSM BI-CA Offline</t>
  </si>
  <si>
    <t>Pemenuhan Workload DC-2</t>
  </si>
  <si>
    <t>Kegiatan Penambahan lisensi XDR</t>
  </si>
  <si>
    <t>Pemenuhan Workload DC-3</t>
  </si>
  <si>
    <t>NP-13</t>
  </si>
  <si>
    <t>Pemeliharaan Security</t>
  </si>
  <si>
    <t>Pemeliharaan Infrastruktur Hardware Security Module dan Multi-Factor Authentication untuk Aplikasi Bank Indonesia Fast Payment Tahun Anggaran 2026</t>
  </si>
  <si>
    <t>Lanjut Pemeliharaan</t>
  </si>
  <si>
    <t>Perpanjangan Subscription Mobile Application Protection Tools</t>
  </si>
  <si>
    <t>Pengadaan Perpanjangan Subscription, Warranty serta Pemeliharaan Firewall untuk Disaster Recovery Center (DRC) di Bank Indonesia Tahun Anggaran 2026</t>
  </si>
  <si>
    <t>31/04/2026</t>
  </si>
  <si>
    <t xml:space="preserve">Perpanjangan Support, Warranty dan Pemeliharaan Perangkat Application Delivery Controller (ADC) Disaster Recovery Center (DRC) Bank Indonesia Tahun Anggaran 2026 </t>
  </si>
  <si>
    <t>Pengembangan Perangkat Security Analytics di Bank Indonesia</t>
  </si>
  <si>
    <t>Active Directory Certificate Services</t>
  </si>
  <si>
    <t>Pergantian Perangkat WIPS di Bank Indonesia</t>
  </si>
  <si>
    <t>Perpanjangan Pemeliharaan Infrastruktur Gemalto/Thales Untuk Penggantian Public Key Infrastruktur Bank Indonesia Tahun 2027</t>
  </si>
  <si>
    <t>Perpanjangan Subscription dan Pemeliharaan Perangkat Previlage Identity Management (PIM) di Bank Indonesia Tahun Anggaran 2027</t>
  </si>
  <si>
    <t>Perpanjangan Pemeliharaan Big Data Security Analytic Tools di Bank Indonesia Tahun 2027</t>
  </si>
  <si>
    <t>Pemeliharaan Security​</t>
  </si>
  <si>
    <t>Perpanjangan Annual Technical Support (ATS) dan Pemeliharaan Perangkat Application Security Testing di Bank Indonesia Tahun Anggaran 2025</t>
  </si>
  <si>
    <r>
      <rPr>
        <b/>
        <sz val="11"/>
        <color rgb="FF000000"/>
        <rFont val="Aptos Narrow"/>
        <family val="2"/>
        <scheme val="minor"/>
      </rPr>
      <t xml:space="preserve">Status:
</t>
    </r>
    <r>
      <rPr>
        <sz val="11"/>
        <color rgb="FF000000"/>
        <rFont val="Aptos Narrow"/>
        <family val="2"/>
        <scheme val="minor"/>
      </rPr>
      <t xml:space="preserve">1. KAK berdasarkan data DMAP tanggal 8 Juni 2024 </t>
    </r>
    <r>
      <rPr>
        <b/>
        <sz val="11"/>
        <color rgb="FF000000"/>
        <rFont val="Aptos Narrow"/>
        <family val="2"/>
        <scheme val="minor"/>
      </rPr>
      <t>(</t>
    </r>
    <r>
      <rPr>
        <b/>
        <sz val="11"/>
        <color rgb="FF92D050"/>
        <rFont val="Aptos Narrow"/>
        <family val="2"/>
        <scheme val="minor"/>
      </rPr>
      <t xml:space="preserve">DONE)
</t>
    </r>
    <r>
      <rPr>
        <sz val="11"/>
        <color rgb="FF000000"/>
        <rFont val="Aptos Narrow"/>
        <family val="2"/>
        <scheme val="minor"/>
      </rPr>
      <t xml:space="preserve">2. Submit M01 &amp; BAPB ke MKA </t>
    </r>
    <r>
      <rPr>
        <b/>
        <sz val="11"/>
        <color rgb="FF92D050"/>
        <rFont val="Aptos Narrow"/>
        <family val="2"/>
        <scheme val="minor"/>
      </rPr>
      <t xml:space="preserve">(DONE)
</t>
    </r>
    <r>
      <rPr>
        <sz val="11"/>
        <color rgb="FF000000"/>
        <rFont val="Aptos Narrow"/>
        <family val="2"/>
        <scheme val="minor"/>
      </rPr>
      <t xml:space="preserve">3. Pembayaran ATS Tahun Pertama - Juni 2025 </t>
    </r>
    <r>
      <rPr>
        <b/>
        <sz val="11"/>
        <color rgb="FF92D050"/>
        <rFont val="Aptos Narrow"/>
        <family val="2"/>
        <scheme val="minor"/>
      </rPr>
      <t xml:space="preserve">(DONE)
</t>
    </r>
    <r>
      <rPr>
        <b/>
        <sz val="11"/>
        <color rgb="FF000000"/>
        <rFont val="Aptos Narrow"/>
        <family val="2"/>
        <scheme val="minor"/>
      </rPr>
      <t xml:space="preserve">Next Action:
</t>
    </r>
    <r>
      <rPr>
        <sz val="11"/>
        <color rgb="FF000000"/>
        <rFont val="Aptos Narrow"/>
        <family val="2"/>
        <scheme val="minor"/>
      </rPr>
      <t>1.</t>
    </r>
    <r>
      <rPr>
        <b/>
        <sz val="11"/>
        <color rgb="FF000000"/>
        <rFont val="Aptos Narrow"/>
        <family val="2"/>
        <scheme val="minor"/>
      </rPr>
      <t xml:space="preserve"> </t>
    </r>
    <r>
      <rPr>
        <sz val="11"/>
        <color rgb="FF000000"/>
        <rFont val="Aptos Narrow"/>
        <family val="2"/>
        <scheme val="minor"/>
      </rPr>
      <t xml:space="preserve">Submit M.01 Serah Terima Pekerjaan KPPIS ke KPPKS/KPPA </t>
    </r>
    <r>
      <rPr>
        <b/>
        <sz val="11"/>
        <color rgb="FF000000"/>
        <rFont val="Aptos Narrow"/>
        <family val="2"/>
        <scheme val="minor"/>
      </rPr>
      <t xml:space="preserve"> </t>
    </r>
    <r>
      <rPr>
        <b/>
        <sz val="11"/>
        <color rgb="FFFFC000"/>
        <rFont val="Aptos Narrow"/>
        <family val="2"/>
        <scheme val="minor"/>
      </rPr>
      <t>(On Progress - Review)</t>
    </r>
    <r>
      <rPr>
        <b/>
        <sz val="11"/>
        <color rgb="FF000000"/>
        <rFont val="Aptos Narrow"/>
        <family val="2"/>
        <scheme val="minor"/>
      </rPr>
      <t xml:space="preserve"> - </t>
    </r>
    <r>
      <rPr>
        <sz val="11"/>
        <color rgb="FF000000"/>
        <rFont val="Aptos Narrow"/>
        <family val="2"/>
        <scheme val="minor"/>
      </rPr>
      <t>akan dilakukan diskusi terlebih dahulu dengan KPPA terkait penggunaan aplikasi security tools (Fortify)</t>
    </r>
  </si>
  <si>
    <t>Perpanjangan Subscription, Warranty dan Pemeliharaan Perangkat Intrusion Prevention System (IPS) di Bank Indonesia TA 2025</t>
  </si>
  <si>
    <r>
      <rPr>
        <b/>
        <sz val="11"/>
        <color rgb="FF000000"/>
        <rFont val="Aptos Narrow"/>
        <family val="2"/>
        <scheme val="minor"/>
      </rPr>
      <t xml:space="preserve">Status:
</t>
    </r>
    <r>
      <rPr>
        <sz val="11"/>
        <color rgb="FF000000"/>
        <rFont val="Aptos Narrow"/>
        <family val="2"/>
        <scheme val="minor"/>
      </rPr>
      <t xml:space="preserve">1. KAK: 14 Oktober 2024 </t>
    </r>
    <r>
      <rPr>
        <b/>
        <sz val="11"/>
        <color rgb="FF92D050"/>
        <rFont val="Aptos Narrow"/>
        <family val="2"/>
        <scheme val="minor"/>
      </rPr>
      <t xml:space="preserve">(DONE)
</t>
    </r>
    <r>
      <rPr>
        <sz val="11"/>
        <color rgb="FF000000"/>
        <rFont val="Aptos Narrow"/>
        <family val="2"/>
        <scheme val="minor"/>
      </rPr>
      <t xml:space="preserve">2. SPPP sudah terbit pada tanggal 24 April 2025 </t>
    </r>
    <r>
      <rPr>
        <b/>
        <sz val="11"/>
        <color rgb="FF92D050"/>
        <rFont val="Aptos Narrow"/>
        <family val="2"/>
        <scheme val="minor"/>
      </rPr>
      <t>(DONE)</t>
    </r>
    <r>
      <rPr>
        <sz val="11"/>
        <color rgb="FF92D050"/>
        <rFont val="Aptos Narrow"/>
        <family val="2"/>
        <scheme val="minor"/>
      </rPr>
      <t xml:space="preserve"> 
</t>
    </r>
    <r>
      <rPr>
        <sz val="11"/>
        <color rgb="FF000000"/>
        <rFont val="Aptos Narrow"/>
        <family val="2"/>
        <scheme val="minor"/>
      </rPr>
      <t xml:space="preserve">3. BAP Barang sudah di submit ke MKA - 27 Mei 2025 </t>
    </r>
    <r>
      <rPr>
        <b/>
        <sz val="11"/>
        <color rgb="FF92D050"/>
        <rFont val="Aptos Narrow"/>
        <family val="2"/>
        <scheme val="minor"/>
      </rPr>
      <t xml:space="preserve">(DONE)
</t>
    </r>
    <r>
      <rPr>
        <sz val="11"/>
        <color rgb="FF000000"/>
        <rFont val="Aptos Narrow"/>
        <family val="2"/>
        <scheme val="minor"/>
      </rPr>
      <t xml:space="preserve">4. Penyampaian M.01 serah terima ke SOC (6 Juni 2025) </t>
    </r>
    <r>
      <rPr>
        <b/>
        <sz val="11"/>
        <color rgb="FF92D050"/>
        <rFont val="Aptos Narrow"/>
        <family val="2"/>
        <scheme val="minor"/>
      </rPr>
      <t xml:space="preserve">(DONE) 
</t>
    </r>
    <r>
      <rPr>
        <sz val="11"/>
        <color rgb="FF000000"/>
        <rFont val="Aptos Narrow"/>
        <family val="2"/>
        <scheme val="minor"/>
      </rPr>
      <t xml:space="preserve">5. Status di MKA masih menunggu tagihan dari vendor </t>
    </r>
    <r>
      <rPr>
        <b/>
        <sz val="11"/>
        <color rgb="FF92D050"/>
        <rFont val="Aptos Narrow"/>
        <family val="2"/>
        <scheme val="minor"/>
      </rPr>
      <t xml:space="preserve">(DONE) 
</t>
    </r>
    <r>
      <rPr>
        <sz val="11"/>
        <color rgb="FF000000"/>
        <rFont val="Aptos Narrow"/>
        <family val="2"/>
        <scheme val="minor"/>
      </rPr>
      <t xml:space="preserve">6. Review invoice dari vendor  </t>
    </r>
    <r>
      <rPr>
        <b/>
        <sz val="11"/>
        <color rgb="FF92D050"/>
        <rFont val="Aptos Narrow"/>
        <family val="2"/>
        <scheme val="minor"/>
      </rPr>
      <t xml:space="preserve">(DONE)
</t>
    </r>
    <r>
      <rPr>
        <b/>
        <sz val="11"/>
        <color rgb="FF000000"/>
        <rFont val="Aptos Narrow"/>
        <family val="2"/>
        <scheme val="minor"/>
      </rPr>
      <t xml:space="preserve">Next Action:
</t>
    </r>
    <r>
      <rPr>
        <sz val="11"/>
        <color rgb="FF000000"/>
        <rFont val="Aptos Narrow"/>
        <family val="2"/>
        <scheme val="minor"/>
      </rPr>
      <t xml:space="preserve">Pembayaran Subscription dan Warranty Tahun 1 </t>
    </r>
    <r>
      <rPr>
        <b/>
        <sz val="11"/>
        <color rgb="FF92D050"/>
        <rFont val="Aptos Narrow"/>
        <family val="2"/>
        <scheme val="minor"/>
      </rPr>
      <t>(DONE)</t>
    </r>
    <r>
      <rPr>
        <sz val="11"/>
        <color rgb="FF000000"/>
        <rFont val="Aptos Narrow"/>
        <family val="2"/>
        <scheme val="minor"/>
      </rPr>
      <t xml:space="preserve"> 
</t>
    </r>
    <r>
      <rPr>
        <b/>
        <sz val="11"/>
        <color rgb="FF000000"/>
        <rFont val="Aptos Narrow"/>
        <family val="2"/>
        <scheme val="minor"/>
      </rPr>
      <t xml:space="preserve">
Issue:
</t>
    </r>
    <r>
      <rPr>
        <sz val="11"/>
        <color rgb="FF000000"/>
        <rFont val="Aptos Narrow"/>
        <family val="2"/>
        <scheme val="minor"/>
      </rPr>
      <t xml:space="preserve">Proses pembayaran masih di TMI atau di DKeu. Informasi PIC TMI untuk dokumen LD dikembalikan ke MKA karena masih perlu ada revisi
</t>
    </r>
    <r>
      <rPr>
        <b/>
        <sz val="11"/>
        <color rgb="FF000000"/>
        <rFont val="Aptos Narrow"/>
        <family val="2"/>
        <scheme val="minor"/>
      </rPr>
      <t xml:space="preserve">Note:
</t>
    </r>
    <r>
      <rPr>
        <sz val="11"/>
        <color rgb="FF000000"/>
        <rFont val="Aptos Narrow"/>
        <family val="2"/>
        <scheme val="minor"/>
      </rPr>
      <t>Dari vendor sudah kirim invoice ke MKA per tgl 12 september 2025
Target LD bulan Mei 2025</t>
    </r>
  </si>
  <si>
    <t>Perpanjangan Pemeliharaan Perangkat Infrastruktur Application Delivery Controller di Bank Indonesia Tahun Anggaran 2025</t>
  </si>
  <si>
    <r>
      <rPr>
        <b/>
        <sz val="11"/>
        <color rgb="FFD86DCD"/>
        <rFont val="Aptos Narrow"/>
        <family val="2"/>
        <scheme val="minor"/>
      </rPr>
      <t xml:space="preserve">Status:
</t>
    </r>
    <r>
      <rPr>
        <b/>
        <sz val="11"/>
        <color rgb="FF000000"/>
        <rFont val="Aptos Narrow"/>
        <family val="2"/>
        <scheme val="minor"/>
      </rPr>
      <t xml:space="preserve">Firewall:
</t>
    </r>
    <r>
      <rPr>
        <sz val="11"/>
        <color rgb="FF000000"/>
        <rFont val="Aptos Narrow"/>
        <family val="2"/>
        <scheme val="minor"/>
      </rPr>
      <t>1. Implementasi perangkat Firewall</t>
    </r>
    <r>
      <rPr>
        <b/>
        <sz val="11"/>
        <color rgb="FF000000"/>
        <rFont val="Aptos Narrow"/>
        <family val="2"/>
        <scheme val="minor"/>
      </rPr>
      <t xml:space="preserve"> (22 - 29 Agustus 2025) - </t>
    </r>
    <r>
      <rPr>
        <b/>
        <sz val="11"/>
        <color rgb="FF92D050"/>
        <rFont val="Aptos Narrow"/>
        <family val="2"/>
        <scheme val="minor"/>
      </rPr>
      <t xml:space="preserve">(DONE)
</t>
    </r>
    <r>
      <rPr>
        <sz val="11"/>
        <color rgb="FF000000"/>
        <rFont val="Aptos Narrow"/>
        <family val="2"/>
        <scheme val="minor"/>
      </rPr>
      <t xml:space="preserve">2. BAPB Penyediaan Barang sudah dikirim vendor </t>
    </r>
    <r>
      <rPr>
        <b/>
        <sz val="11"/>
        <color rgb="FF92D050"/>
        <rFont val="Aptos Narrow"/>
        <family val="2"/>
        <scheme val="minor"/>
      </rPr>
      <t xml:space="preserve">(DONE)
</t>
    </r>
    <r>
      <rPr>
        <sz val="11"/>
        <color rgb="FF000000"/>
        <rFont val="Aptos Narrow"/>
        <family val="2"/>
        <scheme val="minor"/>
      </rPr>
      <t>3.</t>
    </r>
    <r>
      <rPr>
        <b/>
        <sz val="11"/>
        <color rgb="FF000000"/>
        <rFont val="Aptos Narrow"/>
        <family val="2"/>
        <scheme val="minor"/>
      </rPr>
      <t xml:space="preserve"> </t>
    </r>
    <r>
      <rPr>
        <sz val="11"/>
        <color rgb="FF000000"/>
        <rFont val="Aptos Narrow"/>
        <family val="2"/>
        <scheme val="minor"/>
      </rPr>
      <t xml:space="preserve">Finalisasi Adendum kontrak - sebelumnya terdapat ketidakcocokan Product Number </t>
    </r>
    <r>
      <rPr>
        <b/>
        <sz val="11"/>
        <color rgb="FF92D050"/>
        <rFont val="Aptos Narrow"/>
        <family val="2"/>
        <scheme val="minor"/>
      </rPr>
      <t xml:space="preserve">(DONE)
</t>
    </r>
    <r>
      <rPr>
        <sz val="11"/>
        <color rgb="FF000000"/>
        <rFont val="Aptos Narrow"/>
        <family val="2"/>
        <scheme val="minor"/>
      </rPr>
      <t xml:space="preserve">4. Sirkular di KPPIS </t>
    </r>
    <r>
      <rPr>
        <b/>
        <sz val="11"/>
        <color rgb="FF92D050"/>
        <rFont val="Aptos Narrow"/>
        <family val="2"/>
        <scheme val="minor"/>
      </rPr>
      <t xml:space="preserve">(DONE)
</t>
    </r>
    <r>
      <rPr>
        <sz val="11"/>
        <color rgb="FF000000"/>
        <rFont val="Aptos Narrow"/>
        <family val="2"/>
        <scheme val="minor"/>
      </rPr>
      <t xml:space="preserve">5. Sirkular oleh Ka. Grup </t>
    </r>
    <r>
      <rPr>
        <b/>
        <sz val="11"/>
        <color rgb="FF92D050"/>
        <rFont val="Aptos Narrow"/>
        <family val="2"/>
        <scheme val="minor"/>
      </rPr>
      <t xml:space="preserve">(DONE)
</t>
    </r>
    <r>
      <rPr>
        <sz val="11"/>
        <color rgb="FF000000"/>
        <rFont val="Aptos Narrow"/>
        <family val="2"/>
        <scheme val="minor"/>
      </rPr>
      <t xml:space="preserve">6. Submit M.01 penyampaian adendum </t>
    </r>
    <r>
      <rPr>
        <b/>
        <sz val="11"/>
        <color rgb="FF92D050"/>
        <rFont val="Aptos Narrow"/>
        <family val="2"/>
        <scheme val="minor"/>
      </rPr>
      <t>(DONE - 3 September 2025</t>
    </r>
    <r>
      <rPr>
        <sz val="11"/>
        <color rgb="FF92D050"/>
        <rFont val="Aptos Narrow"/>
        <family val="2"/>
        <scheme val="minor"/>
      </rPr>
      <t>)</t>
    </r>
    <r>
      <rPr>
        <sz val="11"/>
        <color rgb="FF000000"/>
        <rFont val="Aptos Narrow"/>
        <family val="2"/>
        <scheme val="minor"/>
      </rPr>
      <t xml:space="preserve">. Informasi dari MKA terkait terbit adendum 2 - 3 minggu
7. Pembuatan dokumen UAT, RFC, system implementation, user guide </t>
    </r>
    <r>
      <rPr>
        <b/>
        <sz val="11"/>
        <color rgb="FF92D050"/>
        <rFont val="Aptos Narrow"/>
        <family val="2"/>
        <scheme val="minor"/>
      </rPr>
      <t xml:space="preserve">(DONE)
</t>
    </r>
    <r>
      <rPr>
        <sz val="11"/>
        <color rgb="FF000000"/>
        <rFont val="Aptos Narrow"/>
        <family val="2"/>
        <scheme val="minor"/>
      </rPr>
      <t xml:space="preserve">8. Dari KPPIS sudah mengirimkan tindak lanjut atas rapat per akhir desember sebagai dasar penerbitan addendum - tgl 3 Okt 2025 </t>
    </r>
    <r>
      <rPr>
        <b/>
        <sz val="11"/>
        <color rgb="FF92D050"/>
        <rFont val="Aptos Narrow"/>
        <family val="2"/>
        <scheme val="minor"/>
      </rPr>
      <t xml:space="preserve">(DONE)
</t>
    </r>
    <r>
      <rPr>
        <sz val="11"/>
        <color rgb="FF000000"/>
        <rFont val="Aptos Narrow"/>
        <family val="2"/>
        <scheme val="minor"/>
      </rPr>
      <t xml:space="preserve">9. Penerbitan Adenddum oleh MKA </t>
    </r>
    <r>
      <rPr>
        <b/>
        <sz val="11"/>
        <color rgb="FF92D050"/>
        <rFont val="Aptos Narrow"/>
        <family val="2"/>
        <scheme val="minor"/>
      </rPr>
      <t xml:space="preserve">(DONE)
</t>
    </r>
    <r>
      <rPr>
        <sz val="11"/>
        <color rgb="FF000000"/>
        <rFont val="Aptos Narrow"/>
        <family val="2"/>
        <scheme val="minor"/>
      </rPr>
      <t xml:space="preserve">10. BAPB Final oleh Mastersytem </t>
    </r>
    <r>
      <rPr>
        <b/>
        <sz val="11"/>
        <color rgb="FF92D050"/>
        <rFont val="Aptos Narrow"/>
        <family val="2"/>
        <scheme val="minor"/>
      </rPr>
      <t xml:space="preserve">(DONE)
</t>
    </r>
    <r>
      <rPr>
        <sz val="11"/>
        <color rgb="FF000000"/>
        <rFont val="Aptos Narrow"/>
        <family val="2"/>
        <scheme val="minor"/>
      </rPr>
      <t xml:space="preserve">11. BAI - proses review di KPPIS </t>
    </r>
    <r>
      <rPr>
        <b/>
        <sz val="11"/>
        <color rgb="FF92D050"/>
        <rFont val="Aptos Narrow"/>
        <family val="2"/>
        <scheme val="minor"/>
      </rPr>
      <t xml:space="preserve">(DONE)
</t>
    </r>
    <r>
      <rPr>
        <sz val="11"/>
        <color rgb="FF000000"/>
        <rFont val="Aptos Narrow"/>
        <family val="2"/>
        <scheme val="minor"/>
      </rPr>
      <t xml:space="preserve">12. BAK - MKA </t>
    </r>
    <r>
      <rPr>
        <b/>
        <sz val="11"/>
        <color rgb="FF92D050"/>
        <rFont val="Aptos Narrow"/>
        <family val="2"/>
        <scheme val="minor"/>
      </rPr>
      <t xml:space="preserve">(DONE)
</t>
    </r>
    <r>
      <rPr>
        <sz val="11"/>
        <color rgb="FF000000"/>
        <rFont val="Aptos Narrow"/>
        <family val="2"/>
        <scheme val="minor"/>
      </rPr>
      <t>13. BAST - MKA</t>
    </r>
    <r>
      <rPr>
        <b/>
        <sz val="11"/>
        <color rgb="FF92D050"/>
        <rFont val="Aptos Narrow"/>
        <family val="2"/>
        <scheme val="minor"/>
      </rPr>
      <t xml:space="preserve"> (DONE)
</t>
    </r>
    <r>
      <rPr>
        <sz val="11"/>
        <color rgb="FF000000"/>
        <rFont val="Aptos Narrow"/>
        <family val="2"/>
        <scheme val="minor"/>
      </rPr>
      <t xml:space="preserve">14. Pembayaran Firewall - MKA/TMI </t>
    </r>
    <r>
      <rPr>
        <b/>
        <sz val="11"/>
        <color rgb="FF92D050"/>
        <rFont val="Aptos Narrow"/>
        <family val="2"/>
        <scheme val="minor"/>
      </rPr>
      <t xml:space="preserve">(DONE)
</t>
    </r>
    <r>
      <rPr>
        <b/>
        <sz val="11"/>
        <color rgb="FF000000"/>
        <rFont val="Aptos Narrow"/>
        <family val="2"/>
        <scheme val="minor"/>
      </rPr>
      <t xml:space="preserve">ADC:
</t>
    </r>
    <r>
      <rPr>
        <sz val="11"/>
        <color rgb="FF000000"/>
        <rFont val="Aptos Narrow"/>
        <family val="2"/>
        <scheme val="minor"/>
      </rPr>
      <t>1.</t>
    </r>
    <r>
      <rPr>
        <b/>
        <sz val="11"/>
        <color rgb="FF000000"/>
        <rFont val="Aptos Narrow"/>
        <family val="2"/>
        <scheme val="minor"/>
      </rPr>
      <t xml:space="preserve"> </t>
    </r>
    <r>
      <rPr>
        <sz val="11"/>
        <color rgb="FF000000"/>
        <rFont val="Aptos Narrow"/>
        <family val="2"/>
        <scheme val="minor"/>
      </rPr>
      <t xml:space="preserve">BAPB - Submit per tgl 9 Juli 2025 </t>
    </r>
    <r>
      <rPr>
        <b/>
        <sz val="11"/>
        <color rgb="FF000000"/>
        <rFont val="Aptos Narrow"/>
        <family val="2"/>
        <scheme val="minor"/>
      </rPr>
      <t>(</t>
    </r>
    <r>
      <rPr>
        <b/>
        <sz val="11"/>
        <color rgb="FF92D050"/>
        <rFont val="Aptos Narrow"/>
        <family val="2"/>
        <scheme val="minor"/>
      </rPr>
      <t xml:space="preserve">DONE)
</t>
    </r>
    <r>
      <rPr>
        <sz val="11"/>
        <color rgb="FF000000"/>
        <rFont val="Aptos Narrow"/>
        <family val="2"/>
        <scheme val="minor"/>
      </rPr>
      <t xml:space="preserve">2. Proses Pembayaran - </t>
    </r>
    <r>
      <rPr>
        <b/>
        <sz val="11"/>
        <color rgb="FF000000"/>
        <rFont val="Aptos Narrow"/>
        <family val="2"/>
        <scheme val="minor"/>
      </rPr>
      <t xml:space="preserve"> </t>
    </r>
    <r>
      <rPr>
        <b/>
        <sz val="11"/>
        <color rgb="FF92D050"/>
        <rFont val="Aptos Narrow"/>
        <family val="2"/>
        <scheme val="minor"/>
      </rPr>
      <t xml:space="preserve">(DONE)
</t>
    </r>
    <r>
      <rPr>
        <b/>
        <sz val="11"/>
        <color rgb="FFD86DCD"/>
        <rFont val="Aptos Narrow"/>
        <family val="2"/>
        <scheme val="minor"/>
      </rPr>
      <t xml:space="preserve">Next Action:
</t>
    </r>
    <r>
      <rPr>
        <b/>
        <sz val="11"/>
        <color rgb="FF000000"/>
        <rFont val="Aptos Narrow"/>
        <family val="2"/>
        <scheme val="minor"/>
      </rPr>
      <t>Firewall:</t>
    </r>
    <r>
      <rPr>
        <sz val="11"/>
        <color rgb="FF000000"/>
        <rFont val="Aptos Narrow"/>
        <family val="2"/>
        <scheme val="minor"/>
      </rPr>
      <t xml:space="preserve"> 
Buat M.01 serah terima ke SOC</t>
    </r>
    <r>
      <rPr>
        <sz val="11"/>
        <color rgb="FF00B0F0"/>
        <rFont val="Aptos Narrow"/>
        <family val="2"/>
        <scheme val="minor"/>
      </rPr>
      <t xml:space="preserve"> </t>
    </r>
    <r>
      <rPr>
        <b/>
        <sz val="11"/>
        <color rgb="FF00B0F0"/>
        <rFont val="Aptos Narrow"/>
        <family val="2"/>
        <scheme val="minor"/>
      </rPr>
      <t xml:space="preserve">(To Do)
</t>
    </r>
    <r>
      <rPr>
        <b/>
        <sz val="11"/>
        <color rgb="FF000000"/>
        <rFont val="Aptos Narrow"/>
        <family val="2"/>
        <scheme val="minor"/>
      </rPr>
      <t xml:space="preserve">ADC:
</t>
    </r>
    <r>
      <rPr>
        <sz val="11"/>
        <color rgb="FF000000"/>
        <rFont val="Aptos Narrow"/>
        <family val="2"/>
        <scheme val="minor"/>
      </rPr>
      <t xml:space="preserve">Buat M.01 serah terima ke SOC </t>
    </r>
    <r>
      <rPr>
        <b/>
        <sz val="11"/>
        <color rgb="FF00B0F0"/>
        <rFont val="Aptos Narrow"/>
        <family val="2"/>
        <scheme val="minor"/>
      </rPr>
      <t>(To Do)</t>
    </r>
  </si>
  <si>
    <t>Pemeliharaan Perangkat Wireless Intrusion Prevention System (WIPS) di Bank Indonesia Tahun Anggaran 2025</t>
  </si>
  <si>
    <r>
      <rPr>
        <b/>
        <sz val="11"/>
        <color rgb="FF000000"/>
        <rFont val="Aptos Narrow"/>
        <family val="2"/>
        <scheme val="minor"/>
      </rPr>
      <t xml:space="preserve">Status:
</t>
    </r>
    <r>
      <rPr>
        <sz val="11"/>
        <color rgb="FF000000"/>
        <rFont val="Aptos Narrow"/>
        <family val="2"/>
        <scheme val="minor"/>
      </rPr>
      <t xml:space="preserve">1. Sudah dilakukan Kick off Meeting - 13 Juni 2025 </t>
    </r>
    <r>
      <rPr>
        <sz val="11"/>
        <color rgb="FF92D050"/>
        <rFont val="Aptos Narrow"/>
        <family val="2"/>
        <scheme val="minor"/>
      </rPr>
      <t>(</t>
    </r>
    <r>
      <rPr>
        <b/>
        <sz val="11"/>
        <color rgb="FF92D050"/>
        <rFont val="Aptos Narrow"/>
        <family val="2"/>
        <scheme val="minor"/>
      </rPr>
      <t xml:space="preserve">DONE) 
</t>
    </r>
    <r>
      <rPr>
        <sz val="11"/>
        <color rgb="FF000000"/>
        <rFont val="Aptos Narrow"/>
        <family val="2"/>
        <scheme val="minor"/>
      </rPr>
      <t xml:space="preserve">2. M01 dan  BA  sudah di submit ke MKA </t>
    </r>
    <r>
      <rPr>
        <b/>
        <sz val="11"/>
        <color rgb="FF92D050"/>
        <rFont val="Aptos Narrow"/>
        <family val="2"/>
        <scheme val="minor"/>
      </rPr>
      <t xml:space="preserve">(DONE)
</t>
    </r>
    <r>
      <rPr>
        <sz val="11"/>
        <color rgb="FF000000"/>
        <rFont val="Aptos Narrow"/>
        <family val="2"/>
        <scheme val="minor"/>
      </rPr>
      <t xml:space="preserve">3. submit M.01 serah terima ke SOC </t>
    </r>
    <r>
      <rPr>
        <b/>
        <sz val="11"/>
        <color rgb="FF92D050"/>
        <rFont val="Aptos Narrow"/>
        <family val="2"/>
        <scheme val="minor"/>
      </rPr>
      <t xml:space="preserve">(DONE)
</t>
    </r>
    <r>
      <rPr>
        <sz val="11"/>
        <color rgb="FF000000"/>
        <rFont val="Aptos Narrow"/>
        <family val="2"/>
        <scheme val="minor"/>
      </rPr>
      <t xml:space="preserve">4. Saat ini sedang proses review laporan dan BA </t>
    </r>
    <r>
      <rPr>
        <b/>
        <sz val="11"/>
        <color rgb="FF92D050"/>
        <rFont val="Aptos Narrow"/>
        <family val="2"/>
        <scheme val="minor"/>
      </rPr>
      <t xml:space="preserve">(DONE)
</t>
    </r>
    <r>
      <rPr>
        <sz val="11"/>
        <color rgb="FF000000"/>
        <rFont val="Aptos Narrow"/>
        <family val="2"/>
        <scheme val="minor"/>
      </rPr>
      <t xml:space="preserve">5. Catatan BAK </t>
    </r>
    <r>
      <rPr>
        <b/>
        <sz val="11"/>
        <color rgb="FF92D050"/>
        <rFont val="Aptos Narrow"/>
        <family val="2"/>
        <scheme val="minor"/>
      </rPr>
      <t xml:space="preserve">(DONE)
</t>
    </r>
    <r>
      <rPr>
        <sz val="11"/>
        <color rgb="FF000000"/>
        <rFont val="Aptos Narrow"/>
        <family val="2"/>
        <scheme val="minor"/>
      </rPr>
      <t xml:space="preserve">6. Menunggu invoicing dari vendor - 24 Okt 2025 </t>
    </r>
    <r>
      <rPr>
        <b/>
        <sz val="11"/>
        <color rgb="FF92D050"/>
        <rFont val="Aptos Narrow"/>
        <family val="2"/>
        <scheme val="minor"/>
      </rPr>
      <t xml:space="preserve">(DONE)
</t>
    </r>
    <r>
      <rPr>
        <b/>
        <sz val="11"/>
        <color rgb="FF000000"/>
        <rFont val="Aptos Narrow"/>
        <family val="2"/>
        <scheme val="minor"/>
      </rPr>
      <t xml:space="preserve">Next Action:
</t>
    </r>
    <r>
      <rPr>
        <sz val="11"/>
        <color rgb="FF000000"/>
        <rFont val="Aptos Narrow"/>
        <family val="2"/>
        <scheme val="minor"/>
      </rPr>
      <t xml:space="preserve">Sudah naik ke TMI untuk proses Settlement - 19 Nov 2025 </t>
    </r>
    <r>
      <rPr>
        <b/>
        <sz val="11"/>
        <color rgb="FF92D050"/>
        <rFont val="Aptos Narrow"/>
        <family val="2"/>
        <scheme val="minor"/>
      </rPr>
      <t xml:space="preserve">(DONE)
</t>
    </r>
    <r>
      <rPr>
        <b/>
        <sz val="11"/>
        <color rgb="FF000000"/>
        <rFont val="Aptos Narrow"/>
        <family val="2"/>
        <scheme val="minor"/>
      </rPr>
      <t>Note:</t>
    </r>
    <r>
      <rPr>
        <sz val="11"/>
        <color rgb="FF000000"/>
        <rFont val="Aptos Narrow"/>
        <family val="2"/>
        <scheme val="minor"/>
      </rPr>
      <t xml:space="preserve"> 
Jangka waktu pemeliharaan &amp; warranty 28 Mei 2025 s.d 31 Oktober 2027</t>
    </r>
  </si>
  <si>
    <t>Pemeliharaan Perangkat Hardware Security Module (HSM) untuk BI-CA di Bank Indonesia Tahun Anggaran 2025</t>
  </si>
  <si>
    <r>
      <rPr>
        <b/>
        <sz val="11"/>
        <color rgb="FF000000"/>
        <rFont val="Aptos Narrow"/>
        <family val="2"/>
        <scheme val="minor"/>
      </rPr>
      <t xml:space="preserve">Status:
</t>
    </r>
    <r>
      <rPr>
        <sz val="11"/>
        <color rgb="FF000000"/>
        <rFont val="Aptos Narrow"/>
        <family val="2"/>
        <scheme val="minor"/>
      </rPr>
      <t xml:space="preserve">1. KAK disampaikan 25 Maret 2025 </t>
    </r>
    <r>
      <rPr>
        <b/>
        <sz val="11"/>
        <color rgb="FF92D050"/>
        <rFont val="Aptos Narrow"/>
        <family val="2"/>
        <scheme val="minor"/>
      </rPr>
      <t xml:space="preserve">(DONE)
</t>
    </r>
    <r>
      <rPr>
        <sz val="11"/>
        <color rgb="FF000000"/>
        <rFont val="Aptos Narrow"/>
        <family val="2"/>
        <scheme val="minor"/>
      </rPr>
      <t xml:space="preserve">2. SPPP terbit tgl 27 Mei 2025 </t>
    </r>
    <r>
      <rPr>
        <b/>
        <sz val="11"/>
        <color rgb="FF92D050"/>
        <rFont val="Aptos Narrow"/>
        <family val="2"/>
        <scheme val="minor"/>
      </rPr>
      <t xml:space="preserve">(DONE)
</t>
    </r>
    <r>
      <rPr>
        <sz val="11"/>
        <color rgb="FF000000"/>
        <rFont val="Aptos Narrow"/>
        <family val="2"/>
        <scheme val="minor"/>
      </rPr>
      <t xml:space="preserve">3. Submit M.01 &amp; BAP Barang Pemeliharaan ke MKA - 9 Juli 2025 </t>
    </r>
    <r>
      <rPr>
        <b/>
        <sz val="11"/>
        <color rgb="FF92D050"/>
        <rFont val="Aptos Narrow"/>
        <family val="2"/>
        <scheme val="minor"/>
      </rPr>
      <t xml:space="preserve">(DONE)
</t>
    </r>
    <r>
      <rPr>
        <sz val="11"/>
        <color rgb="FF000000"/>
        <rFont val="Aptos Narrow"/>
        <family val="2"/>
        <scheme val="minor"/>
      </rPr>
      <t>4. Submit M01 serah terima pekerjaan ke SOC</t>
    </r>
    <r>
      <rPr>
        <b/>
        <sz val="11"/>
        <color rgb="FF000000"/>
        <rFont val="Aptos Narrow"/>
        <family val="2"/>
        <scheme val="minor"/>
      </rPr>
      <t xml:space="preserve"> - </t>
    </r>
    <r>
      <rPr>
        <sz val="11"/>
        <color rgb="FF000000"/>
        <rFont val="Aptos Narrow"/>
        <family val="2"/>
        <scheme val="minor"/>
      </rPr>
      <t>28 Juli 2025</t>
    </r>
    <r>
      <rPr>
        <b/>
        <sz val="11"/>
        <color rgb="FF000000"/>
        <rFont val="Aptos Narrow"/>
        <family val="2"/>
        <scheme val="minor"/>
      </rPr>
      <t xml:space="preserve"> </t>
    </r>
    <r>
      <rPr>
        <b/>
        <sz val="11"/>
        <color rgb="FF92D050"/>
        <rFont val="Aptos Narrow"/>
        <family val="2"/>
        <scheme val="minor"/>
      </rPr>
      <t xml:space="preserve">(DONE)
</t>
    </r>
    <r>
      <rPr>
        <sz val="11"/>
        <color rgb="FF000000"/>
        <rFont val="Aptos Narrow"/>
        <family val="2"/>
        <scheme val="minor"/>
      </rPr>
      <t>5. Saat ini sedang proses M02 persetujuan untuk pembayaran di MKA</t>
    </r>
    <r>
      <rPr>
        <b/>
        <sz val="11"/>
        <color rgb="FF000000"/>
        <rFont val="Aptos Narrow"/>
        <family val="2"/>
        <scheme val="minor"/>
      </rPr>
      <t xml:space="preserve"> </t>
    </r>
    <r>
      <rPr>
        <b/>
        <sz val="11"/>
        <color rgb="FF92D050"/>
        <rFont val="Aptos Narrow"/>
        <family val="2"/>
        <scheme val="minor"/>
      </rPr>
      <t xml:space="preserve">(DONE)
</t>
    </r>
    <r>
      <rPr>
        <sz val="11"/>
        <color rgb="FF000000"/>
        <rFont val="Aptos Narrow"/>
        <family val="2"/>
        <scheme val="minor"/>
      </rPr>
      <t xml:space="preserve">6. Sudah naik BAK ke pimpinan  </t>
    </r>
    <r>
      <rPr>
        <b/>
        <sz val="11"/>
        <color rgb="FF92D050"/>
        <rFont val="Aptos Narrow"/>
        <family val="2"/>
        <scheme val="minor"/>
      </rPr>
      <t xml:space="preserve">(DONE)
</t>
    </r>
    <r>
      <rPr>
        <sz val="11"/>
        <color rgb="FF000000"/>
        <rFont val="Aptos Narrow"/>
        <family val="2"/>
        <scheme val="minor"/>
      </rPr>
      <t xml:space="preserve">7. Pembayaran oleh TMI </t>
    </r>
    <r>
      <rPr>
        <b/>
        <sz val="11"/>
        <color rgb="FF92D050"/>
        <rFont val="Aptos Narrow"/>
        <family val="2"/>
        <scheme val="minor"/>
      </rPr>
      <t xml:space="preserve">(DONE)
</t>
    </r>
  </si>
  <si>
    <t>Pemeliharaan Perangkat USB Token Untuk Aplikasi Core Banking System (CBS) Bank Indonesia Tahun Anggaran 2025</t>
  </si>
  <si>
    <t>Perpanjangan Subscription Threat Intelligence Platform di Bank Indonesia Tahun Anggaran 2026</t>
  </si>
  <si>
    <t>NP-10</t>
  </si>
  <si>
    <t>Penyesuaian Kapasitas Infrastruktur</t>
  </si>
  <si>
    <t>Penambahan dan Penggantian
Perangkat (Server, Network, Storage and
Backup, EUD, Software, DC Facilities)</t>
  </si>
  <si>
    <t>Infrastruktur</t>
  </si>
  <si>
    <t>Perluasan Infrastruktur Infrastruktur</t>
  </si>
  <si>
    <t>Pemenuhan
Workload DC-2
(Stratifikasi aktifaktif)</t>
  </si>
  <si>
    <t>Pemenuhan
Workload DC-3</t>
  </si>
  <si>
    <t>Infra IKN Tahap 2</t>
  </si>
  <si>
    <t>NP-11</t>
  </si>
  <si>
    <t>Pemeliharaan Infrastruktur</t>
  </si>
  <si>
    <t>Sewa JKD</t>
  </si>
  <si>
    <t>Lisensi Microsoft</t>
  </si>
  <si>
    <t>Lisensi Oracle</t>
  </si>
  <si>
    <t>Pemeliharaan Hardware</t>
  </si>
  <si>
    <t>Pemeliharaan Software</t>
  </si>
  <si>
    <t>Surrounding Security</t>
  </si>
  <si>
    <t>DC-2 &amp; TI Kawasan (Karawang &amp; Gresik)</t>
  </si>
  <si>
    <t>Security Pendukung MHE</t>
  </si>
  <si>
    <t>Cloud Security</t>
  </si>
  <si>
    <t>NEED TO DISCUSS</t>
  </si>
  <si>
    <t>Kode Proyek</t>
  </si>
  <si>
    <t xml:space="preserve">Proyek (Sub Proyek) </t>
  </si>
  <si>
    <t>Fungsi DPPT/DPU/DKEU-DSDM</t>
  </si>
  <si>
    <t>WO</t>
  </si>
  <si>
    <t>Size Proyek</t>
  </si>
  <si>
    <t>% Penyelesaian Per Tahap</t>
  </si>
  <si>
    <t xml:space="preserve">PIC </t>
  </si>
  <si>
    <t>PLAN-SOLUSI SI</t>
  </si>
  <si>
    <t xml:space="preserve">PLAN-DESAIN </t>
  </si>
  <si>
    <t>PLAN-PENGEMBANGAN</t>
  </si>
  <si>
    <t>PLAN-PENGUJIAN SIT</t>
  </si>
  <si>
    <t>PLAN-PENGUJIAN UAT</t>
  </si>
  <si>
    <t>PLAN-IMPLEMENTASI</t>
  </si>
  <si>
    <t>PIC USER</t>
  </si>
  <si>
    <t>Pengeloaan Uang BI INV WMS</t>
  </si>
  <si>
    <t>Fungsi DPPT</t>
  </si>
  <si>
    <t>WO-6</t>
  </si>
  <si>
    <t>PPA</t>
  </si>
  <si>
    <t>05-Des-25</t>
  </si>
  <si>
    <t>Trees</t>
  </si>
  <si>
    <t>24-Okt-25</t>
  </si>
  <si>
    <t>27-Okt-25</t>
  </si>
  <si>
    <t>Herry Prabowo DPU, Mutia Salsabila DPPT, Iip Latipudin DPU</t>
  </si>
  <si>
    <t>Fungsi DPU</t>
  </si>
  <si>
    <t>19-Des-25</t>
  </si>
  <si>
    <t>Penonaktifan Fitur Transact</t>
  </si>
  <si>
    <t>Proses Penyimpanan 
Uang Rupiah dan/atau Barang Titipan Ke Khazanah Bank Indonesia</t>
  </si>
  <si>
    <t>Fungsi Laporan Pada Proses Pengelolaan 
Uang Rupiah Di Khazanah Bank Indonesia yang menggunakan Sistem Informasi ASRS</t>
  </si>
  <si>
    <t>Proses Pengambilan atau Penyimpanan Uang dan/atau Barang Titipan Dalam Rangka Stok Opname</t>
  </si>
  <si>
    <t>Pengelolaan Keuangan BI  (Prioritas 1 Tahap 1)</t>
  </si>
  <si>
    <t>Skema Import Pelaporan XML (FUNC.01.001)</t>
  </si>
  <si>
    <t>Fungsi DKEU (Fungsi DSDM)</t>
  </si>
  <si>
    <t>Diona DKEU</t>
  </si>
  <si>
    <t>Penyesuaian Laporan anlias Akun dan Penyesuaian WEB ADI (FUNC.01.003)</t>
  </si>
  <si>
    <t>Fungsi DKEU</t>
  </si>
  <si>
    <t>Laporan Monitoring Rekening Antara – Laporan Pemantauan Detail Transaksi Utang kepada Pegawai/Non Pegawai 441202 (FUNC.01.004)</t>
  </si>
  <si>
    <t>Laporan Natura (FUNC.01.005)</t>
  </si>
  <si>
    <t xml:space="preserve">Validasi Reclass Modul FA (FUNC.01.006) </t>
  </si>
  <si>
    <t>Fungsi DKEU (Fungsi DPRN)</t>
  </si>
  <si>
    <t>Fungsi DSDM</t>
  </si>
  <si>
    <t>05 Des 25</t>
  </si>
  <si>
    <t>01 Des 25</t>
  </si>
  <si>
    <t>Jihan DSDM</t>
  </si>
  <si>
    <t>Penyesuaian Pembayaran Travel dan Gaji Melalui BI-FAST dan RTGS (FUNC.FAST.001)</t>
  </si>
  <si>
    <t>Penyesuaian Perhitungan Pajak Penghasilan (PPh 21) Pegawai dan BSBI (FUNC.TAX.001, FUNC.TAX.002, FUNC.TAX.004)</t>
  </si>
  <si>
    <t>Integrasi LMS</t>
  </si>
  <si>
    <t>Integrasi LMS dengan ERPHRIS</t>
  </si>
  <si>
    <t>Pengelolaan Keuangan BI  (Prioritas 1 Tahap 2)</t>
  </si>
  <si>
    <t>Pertanggungjawaban Uang Muka</t>
  </si>
  <si>
    <t xml:space="preserve">TBC </t>
  </si>
  <si>
    <t>Penyesuaian Laporan Detail Kesesuaian Natural Akun Penyusutan</t>
  </si>
  <si>
    <t>Laporan Rekapitulasi Bulanan Aktiva Tetap yang Belum Dilakukan Penyusutan</t>
  </si>
  <si>
    <t>Laporan monitoring Status Receipt</t>
  </si>
  <si>
    <t>Laporan monitoring Account Receivable</t>
  </si>
  <si>
    <t>Pengelolaan Keuangan BI  (Prioritas 2)</t>
  </si>
  <si>
    <t xml:space="preserve">Pop Up Message untuk BI-FAST saat Pendaftaran Vendor </t>
  </si>
  <si>
    <t xml:space="preserve">Upload PPN atas transaksi RTGS, BI-SSSS, BI-ETP, SKNBI dan BI-FAST </t>
  </si>
  <si>
    <t xml:space="preserve">Laporan Pemantauan Pembukuan Jurnal Manual/Web ADI </t>
  </si>
  <si>
    <t xml:space="preserve">Enhancement Jurnal Recurring  </t>
  </si>
  <si>
    <t>Enhancement Penyelesaian Transaksi Keuangan Terkait Validasi Debit Memo</t>
  </si>
  <si>
    <t xml:space="preserve">Laporan Monitoring Detail Cadangan Tujuan dan Laporan Tidak Membuku </t>
  </si>
  <si>
    <t>Filtering, Sorting, dan Searching Worklist untuk Perintah Bayar pada user approval</t>
  </si>
  <si>
    <t>Laporan Realisasi Anggaran BI-Wide dan LRA Detail per Satker</t>
  </si>
  <si>
    <t>Laporan Progres Penyelesaian Aset</t>
  </si>
  <si>
    <t>Pemenuhan Internal (Func 3-4)</t>
  </si>
  <si>
    <t>Kompetensi (Func 2-3)</t>
  </si>
  <si>
    <t>Uang Muka Travel</t>
  </si>
  <si>
    <t>Pajak BSBI (Func 3 dan 5-7)</t>
  </si>
  <si>
    <t>Payslip PHDP</t>
  </si>
  <si>
    <t>Pengelolaan Keuangan BI  (Prioritas 3)</t>
  </si>
  <si>
    <t>Laporan Face RPCT dan Mutasi CT</t>
  </si>
  <si>
    <t>Enhancement Laporan Status Pembayaran</t>
  </si>
  <si>
    <t>Laporan Pemantauan Penyelesaian Transaksi Keuangan - Detil</t>
  </si>
  <si>
    <t>Laporan Pemantauan Penyelesaian Transaksi Keuangan - Summary</t>
  </si>
  <si>
    <t>Laporan Monitoring Invoice</t>
  </si>
  <si>
    <t>Cetak Perintah Bayar</t>
  </si>
  <si>
    <t xml:space="preserve">Pendaftaran Akun Anggaran oleh Satker Pemilik Akun Anggaran </t>
  </si>
  <si>
    <t>Enhancement Bukti Advis Rekanan</t>
  </si>
  <si>
    <t>Penguncian Postur ATBI PCTBI</t>
  </si>
  <si>
    <t>Kompetensi (Func 1, 4, dan 5)</t>
  </si>
  <si>
    <t>Uang Perpisahan PKWT</t>
  </si>
  <si>
    <t>Tunjangan Kacamata</t>
  </si>
  <si>
    <t>Time Management (WFH WFO)</t>
  </si>
  <si>
    <t>Hak dan Kewajiban</t>
  </si>
  <si>
    <t>CV</t>
  </si>
  <si>
    <t>Demosi</t>
  </si>
  <si>
    <t>Alter Date Cuti</t>
  </si>
  <si>
    <t>Non Proyek</t>
  </si>
  <si>
    <t>Proyek</t>
  </si>
  <si>
    <t>(blank)</t>
  </si>
  <si>
    <t>(Multiple Items)</t>
  </si>
  <si>
    <t>Row Labels</t>
  </si>
  <si>
    <t>Count of PIC PM</t>
  </si>
  <si>
    <t>Count of PM</t>
  </si>
  <si>
    <t>Grand Total</t>
  </si>
  <si>
    <t>Column Labels</t>
  </si>
  <si>
    <t>Nama PM</t>
  </si>
  <si>
    <t>Proyek Mulai 2024/2025 End 2025</t>
  </si>
  <si>
    <t>Proyek Mulai 2024/2025 End Multiyears</t>
  </si>
  <si>
    <t>Proyek Mulai 2026</t>
  </si>
  <si>
    <t>Total 2026</t>
  </si>
  <si>
    <t>No Proyek</t>
  </si>
  <si>
    <t>Proyek/Non Proyek</t>
  </si>
  <si>
    <t>Deliverables</t>
  </si>
  <si>
    <t>Stream</t>
  </si>
  <si>
    <t>Status</t>
  </si>
  <si>
    <t>RBT telah selesai disusun per M4 Desember 2025, namun untuk final ds di M1 Januari 2026</t>
  </si>
  <si>
    <r>
      <rPr>
        <sz val="12"/>
        <color rgb="FF000000"/>
        <rFont val="Aptos Narrow"/>
        <family val="2"/>
        <scheme val="minor"/>
      </rPr>
      <t>tindaklanjut:
1. perlu konfirmasi ke User DPSP dan DPPT terkait jadwal pembahasan RBT</t>
    </r>
    <r>
      <rPr>
        <b/>
        <sz val="12"/>
        <color rgb="FF000000"/>
        <rFont val="Aptos Narrow"/>
        <family val="2"/>
        <scheme val="minor"/>
      </rPr>
      <t xml:space="preserve"> (to do)
</t>
    </r>
    <r>
      <rPr>
        <sz val="12"/>
        <color rgb="FF000000"/>
        <rFont val="Aptos Narrow"/>
        <family val="2"/>
        <scheme val="minor"/>
      </rPr>
      <t xml:space="preserve">
Note:
pembahasan konsinyering Bandung 1-2 Des 2025
1. pembahasan RBT baru akan dilanjutkan kembali dari sisi user karena sebelum nya sempat pending dikarenakan prioritas proyek lainnya
2. terdapat konfirmasi dari sisi User ke DLDS untuk pengembangan RMB pada RTGS Gen 2 namun hambatan nya pada kesediaan aplikasi surrounding, waktu persiapan dan masa pakai sampai Gen 3 mulai beroperasi
3. konfirmasi dampak RTGS Gen 3 ke surrounding seperti TMSX, CBS dan timeline surrounding dengan RTGS Gen 3
</t>
    </r>
  </si>
  <si>
    <t>tindak lanjut:
1. konfirmasi koordinasi persiapan RBT tech. driven
2. konfirmasi assesment teknis terkait hardware maintenance agreement (penyocokan dengan penguatan berikut)
dari IBM base ke Intel base</t>
  </si>
  <si>
    <r>
      <rPr>
        <strike/>
        <sz val="12"/>
        <color rgb="FF000000"/>
        <rFont val="Aptos Narrow"/>
        <family val="2"/>
        <scheme val="minor"/>
      </rPr>
      <t xml:space="preserve">1. 1 July Telah dilakukan diskusi untuk pengembang TEKNIS project CRM BICARA - LAPSK dengan KPPA , DSPK dan DKOM. Dari hasil diskusi tersebut perlu di lakukan simulasi sistem existing untuk menjelaskan system CRM yang sekarang. 
</t>
    </r>
    <r>
      <rPr>
        <sz val="12"/>
        <color rgb="FF000000"/>
        <rFont val="Aptos Narrow"/>
        <family val="2"/>
        <scheme val="minor"/>
      </rPr>
      <t>2. Tahap Pembuatan Dok RBT dengan target M4 Jan 2026</t>
    </r>
  </si>
  <si>
    <t>1. RBT (In Progress)</t>
  </si>
  <si>
    <r>
      <t xml:space="preserve">Update Progrees
23-12-2025
</t>
    </r>
    <r>
      <rPr>
        <b/>
        <sz val="12"/>
        <color rgb="FF000000"/>
        <rFont val="Aptos Narrow"/>
        <family val="2"/>
        <scheme val="minor"/>
      </rPr>
      <t xml:space="preserve">1. Sudah Golive  secara keseluruhan pada 11 Des 2025
</t>
    </r>
    <r>
      <rPr>
        <sz val="12"/>
        <color rgb="FF000000"/>
        <rFont val="Aptos Narrow"/>
        <family val="2"/>
        <scheme val="minor"/>
      </rPr>
      <t xml:space="preserve">
</t>
    </r>
    <r>
      <rPr>
        <b/>
        <sz val="12"/>
        <color rgb="FF000000"/>
        <rFont val="Aptos Narrow"/>
        <family val="2"/>
        <scheme val="minor"/>
      </rPr>
      <t xml:space="preserve">1. Pemenuhan Internal (Sudah Golive 01 Des 2025)
</t>
    </r>
    <r>
      <rPr>
        <sz val="12"/>
        <color rgb="FF000000"/>
        <rFont val="Aptos Narrow"/>
        <family val="2"/>
        <scheme val="minor"/>
      </rPr>
      <t xml:space="preserve">- Desain : 100%
- Pemrograman : 100%
- SIT :100%
- UAT :100% 
- Implementasi : 100%
</t>
    </r>
    <r>
      <rPr>
        <b/>
        <sz val="12"/>
        <color rgb="FF000000"/>
        <rFont val="Aptos Narrow"/>
        <family val="2"/>
        <scheme val="minor"/>
      </rPr>
      <t xml:space="preserve">
2. Penyesuaian Pembayaran Travel dan Gaji Melalui BI-FAST dan RTGS (Sudah diimplementasikan pada tanggal 24 Okt 2025)
</t>
    </r>
    <r>
      <rPr>
        <sz val="12"/>
        <color rgb="FF000000"/>
        <rFont val="Aptos Narrow"/>
        <family val="2"/>
        <scheme val="minor"/>
      </rPr>
      <t xml:space="preserve">- Desain : 100%
- Pemrograman : 100%
- SIT :100% 
- UAT :100%
- Implementasi : 100%
</t>
    </r>
    <r>
      <rPr>
        <b/>
        <sz val="12"/>
        <color rgb="FF000000"/>
        <rFont val="Aptos Narrow"/>
        <family val="2"/>
        <scheme val="minor"/>
      </rPr>
      <t xml:space="preserve">3. Penyesuaian Perhitungan Pajak Penghasilan (PPh 21) Pegawai dan BSBI (Sudah Golive 05 Des 2025)
</t>
    </r>
    <r>
      <rPr>
        <sz val="12"/>
        <color rgb="FF000000"/>
        <rFont val="Aptos Narrow"/>
        <family val="2"/>
        <scheme val="minor"/>
      </rPr>
      <t xml:space="preserve">- Desain : 100%
- Pemrograman : 100%
- SIT :100%
- UAT : 100%
- Implementasi : 100%
</t>
    </r>
    <r>
      <rPr>
        <b/>
        <sz val="12"/>
        <color rgb="FF000000"/>
        <rFont val="Aptos Narrow"/>
        <family val="2"/>
        <scheme val="minor"/>
      </rPr>
      <t xml:space="preserve">4. Integrasi LMS dengan ERPHRIS (Sudah Golive 11 Des 2025)
</t>
    </r>
    <r>
      <rPr>
        <sz val="12"/>
        <color rgb="FF000000"/>
        <rFont val="Aptos Narrow"/>
        <family val="2"/>
        <scheme val="minor"/>
      </rPr>
      <t xml:space="preserve">- Desain : 100%
- Pemrograman : 100%
- SIT : 100%
- UAT :100%
- Implementasi :100%
</t>
    </r>
  </si>
  <si>
    <t>DMST, DKOM, DKMP</t>
  </si>
  <si>
    <t>- Dalam penyusunan RBT, paralel menunggu terbitnya PP DHE SDA
- KPPA done adendum kontrak, penerbitan WO menunggu RBT fullsign</t>
  </si>
  <si>
    <t>- Pada tahap 1 akan mengakomodir pengembangan pada modul KPPK melalui kontrak lumsum yang saat ini telah dilakukan kickoff project pada 11 Agustus 2025 dan akan dilanjutkan penyusunan SRS pada 20-22 Agustus 2025
- SRS sudah fullsign, namun desain SI masih pending sirkulasi ttd. Paralel saat ini sedang memasuki fase pemrograman dengan target Maret 2026
- Kemudian akan dilanjutkan dengan SIT dengan target mulai pada M5 Maret
- Masih terdapat pending metadata dari iGov, yang sebelumnya disepakati dapat disampaikan pada Desember 2025</t>
  </si>
  <si>
    <t>- Go Live pada 20 Desember 2025
- Parallel run selama 3 bulan pasca deployment, akan dilead oleh DIDD dan DKMP Focal Point</t>
  </si>
  <si>
    <r>
      <t xml:space="preserve">Update Progrees
23-12-2025
1. Pada Prio 1 terdapat 5 CR-ERPHRIS yang masuk ke WO6 yaitu:
</t>
    </r>
    <r>
      <rPr>
        <b/>
        <sz val="12"/>
        <color rgb="FF000000"/>
        <rFont val="Aptos Narrow"/>
        <family val="2"/>
        <scheme val="minor"/>
      </rPr>
      <t xml:space="preserve">
1. Skema Import (Sudah Golive pada 27 Nov 2025)
</t>
    </r>
    <r>
      <rPr>
        <sz val="12"/>
        <color rgb="FF000000"/>
        <rFont val="Aptos Narrow"/>
        <family val="2"/>
        <scheme val="minor"/>
      </rPr>
      <t xml:space="preserve">- Desain : 100%
- Pemrograman : 100%
- SIT :100% 
- UAT :100%
- Implementasi : 100%
</t>
    </r>
    <r>
      <rPr>
        <b/>
        <sz val="12"/>
        <color rgb="FF000000"/>
        <rFont val="Aptos Narrow"/>
        <family val="2"/>
        <scheme val="minor"/>
      </rPr>
      <t xml:space="preserve">2. Laporan Analisa Akun dan WEBADI (Sudah Golive 10 Des 2025)
</t>
    </r>
    <r>
      <rPr>
        <sz val="12"/>
        <color rgb="FF000000"/>
        <rFont val="Aptos Narrow"/>
        <family val="2"/>
        <scheme val="minor"/>
      </rPr>
      <t xml:space="preserve">- Desain : 100%
- Pemrograman : 100%
- SIT :100% 
- UAT :100%
- Implementasi : 100%
</t>
    </r>
    <r>
      <rPr>
        <b/>
        <sz val="12"/>
        <color rgb="FF000000"/>
        <rFont val="Aptos Narrow"/>
        <family val="2"/>
        <scheme val="minor"/>
      </rPr>
      <t xml:space="preserve">3. Laporan Monitring akun antara  (Sudah Golive 10 Des 2025 )
</t>
    </r>
    <r>
      <rPr>
        <sz val="12"/>
        <color rgb="FF000000"/>
        <rFont val="Aptos Narrow"/>
        <family val="2"/>
        <scheme val="minor"/>
      </rPr>
      <t xml:space="preserve">- Desain : 100%
- Pemrograman : 100%
- SIT :100% 
- UAT :100%
- Implementasi : 100%
</t>
    </r>
    <r>
      <rPr>
        <b/>
        <sz val="12"/>
        <color rgb="FF000000"/>
        <rFont val="Aptos Narrow"/>
        <family val="2"/>
        <scheme val="minor"/>
      </rPr>
      <t xml:space="preserve">4. Laporan Natura (Sudah Golive 22 Des  2025)
</t>
    </r>
    <r>
      <rPr>
        <sz val="12"/>
        <color rgb="FF000000"/>
        <rFont val="Aptos Narrow"/>
        <family val="2"/>
        <scheme val="minor"/>
      </rPr>
      <t xml:space="preserve">- Desain : 100%
- Pemrograman : 100%
- SIT :100%
- UAT  : 100% 
- Implementasi : 100%
</t>
    </r>
    <r>
      <rPr>
        <b/>
        <sz val="12"/>
        <color rgb="FF000000"/>
        <rFont val="Aptos Narrow"/>
        <family val="2"/>
        <scheme val="minor"/>
      </rPr>
      <t xml:space="preserve">5. Validasi Reclass Modul FA  (Sudah Golive 26 Nov 2025)
</t>
    </r>
    <r>
      <rPr>
        <sz val="12"/>
        <color rgb="FF000000"/>
        <rFont val="Aptos Narrow"/>
        <family val="2"/>
        <scheme val="minor"/>
      </rPr>
      <t xml:space="preserve">- Desain : 100%
- Pemrograman : 100%
- SIT :100% 
- UAT :100%
- Implementasi : 100%
</t>
    </r>
  </si>
  <si>
    <t>Pemberian Remunerasi Excess Reserves Tahap 1</t>
  </si>
  <si>
    <t>GGMP</t>
  </si>
  <si>
    <t>Telah go live pada 29 dec 25.</t>
  </si>
  <si>
    <r>
      <rPr>
        <b/>
        <sz val="12"/>
        <color rgb="FF000000"/>
        <rFont val="Aptos Narrow"/>
        <family val="2"/>
        <scheme val="minor"/>
      </rPr>
      <t xml:space="preserve">On Progress :
</t>
    </r>
    <r>
      <rPr>
        <sz val="12"/>
        <color rgb="FF000000"/>
        <rFont val="Aptos Narrow"/>
        <family val="2"/>
        <scheme val="minor"/>
      </rPr>
      <t xml:space="preserve">- Dok RPP Full Sign
- Coding 
- SIT
- UAT
- DEployment (30 Agustus 2025)
On Progress:
</t>
    </r>
    <r>
      <rPr>
        <b/>
        <sz val="12"/>
        <color rgb="FF000000"/>
        <rFont val="Aptos Narrow"/>
        <family val="2"/>
        <scheme val="minor"/>
      </rPr>
      <t xml:space="preserve">- Implementasi (Januari 2026)
</t>
    </r>
    <r>
      <rPr>
        <sz val="12"/>
        <color rgb="FF000000"/>
        <rFont val="Aptos Narrow"/>
        <family val="2"/>
        <scheme val="minor"/>
      </rPr>
      <t>-Issue:
untuk kegiatan implementasi/Go Live tidak bisa dilakukan di akhir agustus sesuai timeline yg sedang berjalan dikarenakan adanya ketentuan baru terkait perhitungan sanksi GWM Syariah, RIM Syariah, dan PLM Syariah terlebih dahulu harus terbit.
Update :
-Akan dilakukan testing kembali sebelum Implementasi pada M3 Januari 2026
-sedang dilakukan pengujian kembali tgl 19-21 Januari 2026</t>
    </r>
  </si>
  <si>
    <t xml:space="preserve">Target selesai RBT Maret 2025 
On Progress :
- Desain (m1-m4 januari 2026)
Done Progress:
- Dok RBT sudah Full Sign
-SPPP terbit 5 Januari 2026
 </t>
  </si>
  <si>
    <t>Not Started
Done Progress
- KAK/ WO (Done)
-SPPP terbit 5 Januari 2026
-awal desain April 2026</t>
  </si>
  <si>
    <t>Done Progress:
-RBT telah fullsigned
- RPP
- Desain
-Coding
On Progress:
- SIT (M1 Januari -M4 Januari 2026) 
  *Total Skenario 295 (pass 85, fail 120, unexecute 90)</t>
  </si>
  <si>
    <r>
      <rPr>
        <sz val="12"/>
        <color rgb="FF000000"/>
        <rFont val="Aptos Narrow"/>
        <family val="2"/>
        <scheme val="minor"/>
      </rPr>
      <t xml:space="preserve">- </t>
    </r>
    <r>
      <rPr>
        <b/>
        <sz val="12"/>
        <color rgb="FF000000"/>
        <rFont val="Aptos Narrow"/>
        <family val="2"/>
        <scheme val="minor"/>
      </rPr>
      <t xml:space="preserve">NOT STARTED
</t>
    </r>
    <r>
      <rPr>
        <sz val="12"/>
        <color rgb="FF000000"/>
        <rFont val="Aptos Narrow"/>
        <family val="2"/>
        <scheme val="minor"/>
      </rPr>
      <t xml:space="preserve">
*Rencana RBT di April 2026
 dan cakupan terkait dengan integrasi BI OJK dan BI BKPM</t>
    </r>
  </si>
  <si>
    <t>"1. Alamsyah
2. Muhammad Arif sucipto"</t>
  </si>
  <si>
    <t>Suprianto (TKO)</t>
  </si>
  <si>
    <r>
      <t xml:space="preserve">Update Progrees
23-12-2025
</t>
    </r>
    <r>
      <rPr>
        <b/>
        <sz val="12"/>
        <color rgb="FF000000"/>
        <rFont val="Aptos Narrow"/>
        <family val="2"/>
        <scheme val="minor"/>
      </rPr>
      <t xml:space="preserve">Sudah Golive Secara keseluruhan pada 19 Des 2025
</t>
    </r>
    <r>
      <rPr>
        <sz val="12"/>
        <color rgb="FF000000"/>
        <rFont val="Aptos Narrow"/>
        <family val="2"/>
        <scheme val="minor"/>
      </rPr>
      <t xml:space="preserve">
</t>
    </r>
    <r>
      <rPr>
        <b/>
        <sz val="12"/>
        <color rgb="FF000000"/>
        <rFont val="Aptos Narrow"/>
        <family val="2"/>
        <scheme val="minor"/>
      </rPr>
      <t xml:space="preserve">1. Pengiriman Data Inventory Kas Harian dan Kas Titipan ke BI-SILK secara periodik (Sudah Golive M1 Nov 2025)
</t>
    </r>
    <r>
      <rPr>
        <sz val="12"/>
        <color rgb="FF000000"/>
        <rFont val="Aptos Narrow"/>
        <family val="2"/>
        <scheme val="minor"/>
      </rPr>
      <t xml:space="preserve">- Desain : 100%
- Pemrograman : 100%
- SIT : 100%
- UAT :100% 
- Implementasi : 100% 
</t>
    </r>
    <r>
      <rPr>
        <b/>
        <sz val="12"/>
        <color rgb="FF000000"/>
        <rFont val="Aptos Narrow"/>
        <family val="2"/>
        <scheme val="minor"/>
      </rPr>
      <t xml:space="preserve">2. Penyesuaian Fungsi Laporan Emas (Sudah Golive 03 Des 2025)
</t>
    </r>
    <r>
      <rPr>
        <sz val="12"/>
        <color rgb="FF000000"/>
        <rFont val="Aptos Narrow"/>
        <family val="2"/>
        <scheme val="minor"/>
      </rPr>
      <t xml:space="preserve">- Desain : 100%
- Pemrograman : 100%
- SIT : 100%
- UAT :100%
- Implementasi : 100%
</t>
    </r>
    <r>
      <rPr>
        <b/>
        <sz val="12"/>
        <color rgb="FF000000"/>
        <rFont val="Aptos Narrow"/>
        <family val="2"/>
        <scheme val="minor"/>
      </rPr>
      <t xml:space="preserve">3. Laporan Kapasitas Khazanah (Sudah Golive 19 Des  2025)
</t>
    </r>
    <r>
      <rPr>
        <sz val="12"/>
        <color rgb="FF000000"/>
        <rFont val="Aptos Narrow"/>
        <family val="2"/>
        <scheme val="minor"/>
      </rPr>
      <t xml:space="preserve">- Desain : 100%
- Pemrograman : 100%
- SIT : 100% 
- UAT :80% -&gt;  sedang UAT sampai 18 Des 2025
- Implementasi : Akan diimplementasika pada 19 Des 2025
4. Untuk 6 CR lainnya belum dimulai proyeknya , akan dimulai tahun depan yakni :
- Penambahan Tipe Transaksi Data emas batangan
- Verifikasi Data Emas Batangan
- Penonaktifan fitur Transact
- Proses Penyimpanan 
Uang Rupiah dan/atau Barang Titipan Ke Khazanah Bank Indonesia
- Fungsi Laporan Pada Proses Pengelolaan 
Uang Rupiah Di Khazanah Bank Indonesia yang menggunakan Sistem Informasi ASRS
- Proses Pengambilan atau Penyimpanan Uang dan/atau Barang Titipan Dalam Rangka Stok Opname
</t>
    </r>
  </si>
  <si>
    <t>RIzky Arga</t>
  </si>
  <si>
    <r>
      <rPr>
        <b/>
        <sz val="12"/>
        <color rgb="FF000000"/>
        <rFont val="Aptos Narrow"/>
        <family val="2"/>
        <scheme val="minor"/>
      </rPr>
      <t xml:space="preserve">Telah Go Live Pada 11 November 2025.
</t>
    </r>
    <r>
      <rPr>
        <sz val="12"/>
        <color rgb="FF000000"/>
        <rFont val="Aptos Narrow"/>
        <family val="2"/>
        <scheme val="minor"/>
      </rPr>
      <t>1. Dokumen Deliverables akan segera dikirimkan ke MKA untuk proses Pembayaran</t>
    </r>
  </si>
  <si>
    <r>
      <t xml:space="preserve">Updated Progress
23-12-2025
</t>
    </r>
    <r>
      <rPr>
        <b/>
        <sz val="12"/>
        <color rgb="FF000000"/>
        <rFont val="Aptos Narrow"/>
        <family val="2"/>
        <scheme val="minor"/>
      </rPr>
      <t>1. Sudah Golive pada 19 Des 2025</t>
    </r>
  </si>
  <si>
    <t>Update Progress  
20-01-2026
1. Untuk WO ini sudah diterbitkan pada WO-7
3. Timeline Desain baru dimulai dari M2 Jan tahun 2026 sampai dengan April 2026, tetepi sudah include di pembahasan SRS DKU karena dokumen SRS digabung dengan SPU dan status penyusunan dokumen SRS sudah final minggu kemaren tinggal sirkulasi.</t>
  </si>
  <si>
    <t xml:space="preserve">Update Progress 
20-01-2026
1. Untuk WO-7 sudah terbit dari KPPA untuk MHE IS ERP SPU
2. Pembahasan  SRS sudah selesai minggu kemaren termasuk cakupan SPU dan DKU, akan disirkulasikan oleh KMBD
</t>
  </si>
  <si>
    <t xml:space="preserve">Update Progrees
20-01-2026
1. Untuk penyusunan RBT sudah selesai
2. Kordinasi RPP dengan satker bisnis sudah selesai
3. untuk Prio 3 akan di kerjakan setelah Prio 2 selesai
</t>
  </si>
  <si>
    <t>Update Progress
20-01-2026
1. Sedang proses development sampai M1 Feb 2026
2. Akan diimplementasikan pada tanggal 27 Februari 2026
3. WO-8 sudah terbit</t>
  </si>
  <si>
    <t>Update Progress
20-01-2026
Penyusunan RBT sudah selesai, sudah fullsigned</t>
  </si>
  <si>
    <t xml:space="preserve">Target selesai RBT Maret 2025 
Done Progress:
- Dok RBT sudah Full Sign
-SPPP terbit 5 Januari 2026
Next Progress:
- Tahapan Desain dimulai  Juni  2026 </t>
  </si>
  <si>
    <t xml:space="preserve"> On progress :
- RBT (RBB dan RBL sedang dilengkapi oleh user,blm ke bagian RBTD)</t>
  </si>
  <si>
    <t>Belum dimulai</t>
  </si>
  <si>
    <r>
      <rPr>
        <b/>
        <sz val="12"/>
        <color rgb="FF000000"/>
        <rFont val="Aptos Narrow"/>
        <family val="2"/>
        <scheme val="minor"/>
      </rPr>
      <t xml:space="preserve">On-Progress.
</t>
    </r>
    <r>
      <rPr>
        <sz val="12"/>
        <color rgb="FF000000"/>
        <rFont val="Aptos Narrow"/>
        <family val="2"/>
        <scheme val="minor"/>
      </rPr>
      <t xml:space="preserve">1. Diskusi antara KMBD dan User bisnis(DPPT/DPPK) terkait proses penyusunan RBT </t>
    </r>
    <r>
      <rPr>
        <b/>
        <sz val="12"/>
        <color rgb="FF92D050"/>
        <rFont val="Aptos Narrow"/>
        <family val="2"/>
        <scheme val="minor"/>
      </rPr>
      <t xml:space="preserve">(DONE)
</t>
    </r>
    <r>
      <rPr>
        <sz val="12"/>
        <color rgb="FF000000"/>
        <rFont val="Aptos Narrow"/>
        <family val="2"/>
        <scheme val="minor"/>
      </rPr>
      <t xml:space="preserve">2. RBT </t>
    </r>
    <r>
      <rPr>
        <b/>
        <sz val="12"/>
        <color rgb="FF92D050"/>
        <rFont val="Aptos Narrow"/>
        <family val="2"/>
        <scheme val="minor"/>
      </rPr>
      <t xml:space="preserve">(DONE)
</t>
    </r>
    <r>
      <rPr>
        <b/>
        <sz val="12"/>
        <color rgb="FF000000"/>
        <rFont val="Aptos Narrow"/>
        <family val="2"/>
        <scheme val="minor"/>
      </rPr>
      <t>3. Proses Sirkulasi RBT (</t>
    </r>
    <r>
      <rPr>
        <b/>
        <sz val="12"/>
        <color rgb="FFFFC000"/>
        <rFont val="Aptos Narrow"/>
        <family val="2"/>
        <scheme val="minor"/>
      </rPr>
      <t>In Progress</t>
    </r>
    <r>
      <rPr>
        <b/>
        <sz val="12"/>
        <color rgb="FF000000"/>
        <rFont val="Aptos Narrow"/>
        <family val="2"/>
        <scheme val="minor"/>
      </rPr>
      <t>)
4. Penyesuaian timeline, Jadwal Golive 30 Maret 2026 (</t>
    </r>
    <r>
      <rPr>
        <b/>
        <sz val="12"/>
        <color rgb="FF92D050"/>
        <rFont val="Aptos Narrow"/>
        <family val="2"/>
        <scheme val="minor"/>
      </rPr>
      <t>DONE</t>
    </r>
    <r>
      <rPr>
        <b/>
        <sz val="12"/>
        <color rgb="FF000000"/>
        <rFont val="Aptos Narrow"/>
        <family val="2"/>
        <scheme val="minor"/>
      </rPr>
      <t>)
5. Penyusunan RPP (</t>
    </r>
    <r>
      <rPr>
        <b/>
        <sz val="12"/>
        <color rgb="FFFFC000"/>
        <rFont val="Aptos Narrow"/>
        <family val="2"/>
        <scheme val="minor"/>
      </rPr>
      <t>In Progress</t>
    </r>
    <r>
      <rPr>
        <b/>
        <sz val="12"/>
        <color rgb="FF000000"/>
        <rFont val="Aptos Narrow"/>
        <family val="2"/>
        <scheme val="minor"/>
      </rPr>
      <t>)
6. KAK telah disampaikan ke MKA 3 November 2025 (</t>
    </r>
    <r>
      <rPr>
        <b/>
        <sz val="12"/>
        <color rgb="FF92D050"/>
        <rFont val="Aptos Narrow"/>
        <family val="2"/>
        <scheme val="minor"/>
      </rPr>
      <t>DONE</t>
    </r>
    <r>
      <rPr>
        <b/>
        <sz val="12"/>
        <color rgb="FF000000"/>
        <rFont val="Aptos Narrow"/>
        <family val="2"/>
        <scheme val="minor"/>
      </rPr>
      <t>)
7. SP3 Estimasi 26-27 Januari  (</t>
    </r>
    <r>
      <rPr>
        <b/>
        <sz val="12"/>
        <color rgb="FFFFC000"/>
        <rFont val="Aptos Narrow"/>
        <family val="2"/>
        <scheme val="minor"/>
      </rPr>
      <t>In Progress</t>
    </r>
    <r>
      <rPr>
        <b/>
        <sz val="12"/>
        <color rgb="FF000000"/>
        <rFont val="Aptos Narrow"/>
        <family val="2"/>
        <scheme val="minor"/>
      </rPr>
      <t xml:space="preserve"> )</t>
    </r>
  </si>
  <si>
    <t>Belum ada pembahasan</t>
  </si>
  <si>
    <t>Februari2026</t>
  </si>
  <si>
    <t xml:space="preserve">Proyek sementara dihold
</t>
  </si>
  <si>
    <t xml:space="preserve">Updated Progress;
20-01-2026
1. Untuk WO-10 proses penerbitan sehingga nanti pengembangan  s/d implementasi  dilakukan dari Jan 2026 s/d Nov 2026 sesuai dengan timeline RPP.
2. Info dari KPPA untuk Surat penawaran di followup saja ke Trees, namun dari trees perlu diskusi dulu ke pimpinan mereka. sudah followup ke trees nya belum ada jawaban. dan sudah followup KPPA agar nge Fu ke treesnya.
</t>
  </si>
  <si>
    <r>
      <rPr>
        <b/>
        <sz val="12"/>
        <rFont val="Aptos Narrow"/>
        <family val="2"/>
        <scheme val="minor"/>
      </rPr>
      <t xml:space="preserve">Update Terkini: 
</t>
    </r>
    <r>
      <rPr>
        <sz val="12"/>
        <rFont val="Aptos Narrow"/>
        <family val="2"/>
        <scheme val="minor"/>
      </rPr>
      <t xml:space="preserve">On Progress pengerjaan SRS &amp; Desain SI. Target selesai tahapan desain di M1 Maret 2026. Telah dilakukan pemaparan Kickoff Pengembangan/RPP di 8 Januari 2026 
</t>
    </r>
    <r>
      <rPr>
        <b/>
        <sz val="12"/>
        <rFont val="Aptos Narrow"/>
        <family val="2"/>
        <scheme val="minor"/>
      </rPr>
      <t xml:space="preserve">Progres Proyek: </t>
    </r>
    <r>
      <rPr>
        <sz val="12"/>
        <rFont val="Aptos Narrow"/>
        <family val="2"/>
        <scheme val="minor"/>
      </rPr>
      <t xml:space="preserve">
a. M4 Des Tahapan pengadaan di DMAP, untuk SPPP diperkirakan terbit di Desember 2025 dimana target awal selesai di September 2025 (behind schedle). 
Pemasukan dokumen Pengadaan Digital Library: s.d. 25 November 2025 pukul 12.00 WIB
Presentasi Teknis dan Wawancara Tenaga Ahli: 26 - 27 November 2025
b.M2 Oktober 2025  Terdapat revisi dokumen pengadaan (RAB) sampai saat ini belum ada vendor yang menawarkan harga di bawah RAB Satker dan terdapat revisi terkait form penilaian teknis 
c.Senin, 30 Juni 2025 DMAP meminta kepada vendor untuk mengirimkan pengajuan penawaran harga terkini, bukti pajak, surat pernyataan, dengan deadline 4 Juli 2025
d. Jumat 23 Mei 2025 KAK dikirimkan dari MKA menuju DMAP
e. KAK telah dikirimkan ke MKA pada 16 Mei 2025. RPP masih berbentuk draft 
f. RFI untuk pengadaan proyek dengan beberapa calon vendor, terakhir dengan Datacaraka pada 10 April 2025  
g. Review KAK oleh DMAP 
h. KAK 100% M2 Feb 2025 
i. Draft Estimation Effort telah selesai disusun pada M2 Jan 2025</t>
    </r>
  </si>
  <si>
    <r>
      <rPr>
        <b/>
        <sz val="12"/>
        <color rgb="FF000000"/>
        <rFont val="Aptos Narrow"/>
        <family val="2"/>
        <scheme val="minor"/>
      </rPr>
      <t xml:space="preserve">Go Live Pada 17 November 2025
Notes:
</t>
    </r>
    <r>
      <rPr>
        <sz val="12"/>
        <color rgb="FF000000"/>
        <rFont val="Aptos Narrow"/>
        <family val="2"/>
        <scheme val="minor"/>
      </rPr>
      <t>1. Proses Adendum WO, Namun pembayaran akan dilakukan tahun 2026
2. Perbaikan RPP (</t>
    </r>
    <r>
      <rPr>
        <b/>
        <sz val="12"/>
        <color rgb="FF000000"/>
        <rFont val="Aptos Narrow"/>
        <family val="2"/>
        <scheme val="minor"/>
      </rPr>
      <t>Inprogress</t>
    </r>
    <r>
      <rPr>
        <sz val="12"/>
        <color rgb="FF000000"/>
        <rFont val="Aptos Narrow"/>
        <family val="2"/>
        <scheme val="minor"/>
      </rPr>
      <t xml:space="preserve">)
</t>
    </r>
    <r>
      <rPr>
        <b/>
        <sz val="12"/>
        <color rgb="FF000000"/>
        <rFont val="Aptos Narrow"/>
        <family val="2"/>
        <scheme val="minor"/>
      </rPr>
      <t>3. BAI (In Progress) tersisa DSMM dan DKMP (90%)
4.</t>
    </r>
    <r>
      <rPr>
        <b/>
        <sz val="12"/>
        <color rgb="FF00B050"/>
        <rFont val="Aptos Narrow"/>
        <family val="2"/>
        <scheme val="minor"/>
      </rPr>
      <t xml:space="preserve"> Implementasi SEKI DONE</t>
    </r>
    <r>
      <rPr>
        <b/>
        <sz val="12"/>
        <color rgb="FF000000"/>
        <rFont val="Aptos Narrow"/>
        <family val="2"/>
        <scheme val="minor"/>
      </rPr>
      <t xml:space="preserve"> (11 Desember 2025)</t>
    </r>
  </si>
  <si>
    <t>Update Progress:
20-01-2026
1. Penyusunan RBT akan dimulai dari awal Jan-26 s.d Mar-26
2. minggu ini rencanananya akan dikoordinasikan KMBD
3. Sudah dikordinasikan dengan user, untuk RBB dan RBL sedang disusun oleh DKMP</t>
  </si>
  <si>
    <t xml:space="preserve">Update Progrees
20-01-2026
1. Untuk penyusunan RBT sudah selesai
2. Kordinasi RPP dengan satker bisnis sudah selesai
3. untuk Prio 2 sedang tahap penerbitan WO dan versioning
List Versioning ;
*Penyesuaian WEB ADI
*Pertanggungjawaban Uang Muka (tambahan laporan dan jurnal cancel)
*Upload PPN atas transaksi RTGS, BI-SSSS, BI-ETP, SKNBI, dan BI-FAST
*LRA BI-Wide dan LRA Detail per Satker
</t>
  </si>
  <si>
    <t xml:space="preserve">Update Progrees
20-01-2026
1. Untuk penyusunan RBT sudah selesai
2. Kordinasi RPP dengan satker bisnis sudah selesai
3. untuk Prio 2 sedang tahap penerbitan WO dan versioning
Ada tambahan 3 use case baru,
*CR terkait validasi darmasiswa, formula rounding BPJS ketenagakerjaan, dan perubahan ketentuan DAPENBI IP.
</t>
  </si>
  <si>
    <t>Update Progress:
20-01-2026
1. Untuk RBB dan RBL sudah disusun oleh satker Bisnis, sudah assesment RBTD oleh Trees 
2. untuk Target RBT s.d akhir  Jan 26
3. RBTD akan dilakukan pembahasan lebih lanjut dengan trees
4. Ada konsen dari DKEU, untuk cakupun ERPHRIS agar dibahasa dengan DPID, DIDD, dan DMST terkait solusi ERPHRIS pada cakupan DBP BKK (dari 23 fungsi).
5. Ada penyesuaian Timeline baru dari DPID, target penyusunan RBT di akhir Feb 2026</t>
  </si>
  <si>
    <r>
      <rPr>
        <b/>
        <sz val="12"/>
        <rFont val="Aptos Narrow"/>
        <family val="2"/>
        <scheme val="minor"/>
      </rPr>
      <t xml:space="preserve">Update Terkini:
</t>
    </r>
    <r>
      <rPr>
        <sz val="12"/>
        <rFont val="Aptos Narrow"/>
        <family val="2"/>
        <scheme val="minor"/>
      </rPr>
      <t xml:space="preserve">On progress Coding &amp; UT, target selesai M2 Mar 2026:Skenario UT berjumlah 63 skenario. 30 skenario done.13 failed. 
-List sharepoint 100%
-Create mock up HTML 100%
-Func 01 Optimalisasi fungsi pencarian 100%
- Func 02 Optimalisasi Fungsi SEO 100%
- FUNC BIWEB .003 Optimalisasi Pengelolaan dan Penyajian Konten 100%
- FUNC BIWEB .004 Optimalisasi Desain UI/UX 100%
</t>
    </r>
    <r>
      <rPr>
        <b/>
        <sz val="12"/>
        <rFont val="Aptos Narrow"/>
        <family val="2"/>
        <scheme val="minor"/>
      </rPr>
      <t xml:space="preserve">
Progres Proyek: 
</t>
    </r>
    <r>
      <rPr>
        <sz val="12"/>
        <rFont val="Aptos Narrow"/>
        <family val="2"/>
        <scheme val="minor"/>
      </rPr>
      <t xml:space="preserve">a. M2 Sept - On progress desain 95% (penyusunan dokumen desain SI  dan SRS ). Saat ini untuk SRS sedang on progres finalisasi dokumen oleh vendor setelah pada 19-20 Agustus  dilakukan pembahasan offline bersama DKom. 
b. Saat ini pengembangan masih on track di tahapan desain (30%) berdasarkan biweekly progres pada 4 Juli 2025. Poin-poin yang perlu dikonfirmasi pada saat kick off, telah dijawab oleh DKom, namun masih terdapat beberapa hal yang perlu dikonfirmasi terkait objek seperti icon sehingga akan mulai dilakukan pembahasan intensif dengan DKom untuk penguatan desain.
c. Telah dilakukan kick off pada 19 Juni 2025 dengan DKom. 
d.SP3 Terbit 2 Juni 2025 
e. 8 Mei 2025 telah dilakukan presentasi oleh calon vendor Mede &amp; Praweda
f.Berdasarkan meeting dengan DMAP pada M2 April, pengadaan baru akan selesai pada M2 Juni 2025, terdapat kemunduran untuk penyelesaian pengadaan karena saat ini masih proses RFI  karena terdapat penyesuaian SLA pada PADG baru di DMAP dari lelang ke pemilihan langsung  (pengadaan di &lt;10M pemilihan langsung)
g.  Estimasi pengadaan s.d. Maret 2025 
KPPA telah menyampaikan KAK ke DMAP, menyelesaikan review KAK, dan menjadi narasumber dalam penyusunan RFI kepada vendor potensial.​
h. On progres penyusunan RKS oleh DMAP 
i. KAK telah dinaikkan pada 25 Juli 2024
</t>
    </r>
  </si>
  <si>
    <r>
      <rPr>
        <b/>
        <sz val="12"/>
        <rFont val="Aptos Narrow"/>
        <family val="2"/>
        <scheme val="minor"/>
      </rPr>
      <t xml:space="preserve">Update Terkini:
</t>
    </r>
    <r>
      <rPr>
        <sz val="12"/>
        <rFont val="Aptos Narrow"/>
        <family val="2"/>
        <scheme val="minor"/>
      </rPr>
      <t xml:space="preserve">On progress Coding &amp; UT, target selesai M2 Mar 2026 Jumlah skenario 173. 15 skenario done, 9 skenario failed, 
-Coding HTML 100%
-HTML sharepoint 100%
-Func.01 landing page 100%
-Func.02 pegawai profilku 100%
- Func.03 Modul Direktori Pegawai dan Pihak Pendukung 100%
- Func.04 Modul Minisite Satuan Kerja 100%
- Func.05 Modul Komunitas &amp; Forum 100%
-Fun.06 Modul Blog 20%
</t>
    </r>
    <r>
      <rPr>
        <b/>
        <sz val="12"/>
        <rFont val="Aptos Narrow"/>
        <family val="2"/>
        <scheme val="minor"/>
      </rPr>
      <t xml:space="preserve">Progres Proyek: 
</t>
    </r>
    <r>
      <rPr>
        <sz val="12"/>
        <rFont val="Aptos Narrow"/>
        <family val="2"/>
        <scheme val="minor"/>
      </rPr>
      <t xml:space="preserve">a.Telah dilakukan kick off pada 19 Juni 2025 dengan DKom, terdapat beberapa hal yang menjadi perhatian terkait migrasi data yang akan dilakukan nantinya, bentuk notifikasi dan cakupan integrasi dengan HRIS yang akan dilakukan
b. SP3 Terbit 2 Juni 2025 
c. 8 Mei 2025 telah dilakukan presentasi oleh calon vendor Mede &amp; Praweda
d.Berdasarkan meeting dengan DMAP pada M2 April, pengadaan baru akan selesai pada M2 Juni 2025, terdapat kemunduran untuk penyelesaian pengadaan karena saat ini masih proses RFI  karena terdapat penyesuaian SLA pada PADG baru di DMAP dari lelang ke pemilihan langsung  (pengadaan di &lt;10M pemilihan langsung)
e.  Estimasi pengadaan s.d. Maret 2025 
KPPA telah menyampaikan KAK ke DMAP, menyelesaikan review KAK, dan menjadi narasumber dalam penyusunan RFI kepada vendor potensial.​
f. On progres penyusunan RKS oleh DMAP 
g. KAK telah dinaikkan pada 25 Juli 2024
</t>
    </r>
  </si>
  <si>
    <t>TAKOUT BECAUSE MHE IS</t>
  </si>
  <si>
    <t>Fungsi Penyesuaian Laporan Posisi Emas [DPPT]</t>
  </si>
  <si>
    <t>Sudah GOLIVE 03 Desember 2025</t>
  </si>
  <si>
    <t>Di Setting oleh DLDS untuk tipe setup an (Tidak masuk WO)</t>
  </si>
  <si>
    <t>WO-9</t>
  </si>
  <si>
    <t>Melihat kondisi ketersediaan perangkat</t>
  </si>
  <si>
    <t>Laporan Kapasitas Khazanah [DPU]</t>
  </si>
  <si>
    <t>100`%</t>
  </si>
  <si>
    <t>Sudah GOLIVE 19 Des 2025</t>
  </si>
  <si>
    <t>Pengiriman Data Inventory</t>
  </si>
  <si>
    <t>Kas Harian dan Kas Titipan Ke BISILK Secara Periodik [DPU]</t>
  </si>
  <si>
    <t>07-Okt-25</t>
  </si>
  <si>
    <t>13-Okt-25</t>
  </si>
  <si>
    <t>Plan 1: 17-Okt-25</t>
  </si>
  <si>
    <t>Realisasi : 31-Okt-25</t>
  </si>
  <si>
    <t>Plan 1: 20-Okt-25</t>
  </si>
  <si>
    <t>Plan 2: 13-Okt-25</t>
  </si>
  <si>
    <t>Realisasi :</t>
  </si>
  <si>
    <t>Plan 1 : 07/11/2025</t>
  </si>
  <si>
    <t xml:space="preserve">Realisasi : </t>
  </si>
  <si>
    <t>Sudah GOLIVE M1 Nov 2025</t>
  </si>
  <si>
    <t>Sudah GOLIVE 27 Nov 2025</t>
  </si>
  <si>
    <t>Sudah GOLIVE 10 Des 2025</t>
  </si>
  <si>
    <t>Sudah GOLIVE 30 Des 2025</t>
  </si>
  <si>
    <t>Sudah GOLIVE 26 Nov 2025</t>
  </si>
  <si>
    <t>Laporan Remunerasi  BI (Prioritas 1)</t>
  </si>
  <si>
    <t>Pemenuhan Internal</t>
  </si>
  <si>
    <t>(FUNC.PI.001, FUNC.PI.002, FUNC.PI.005, FUNC.PI.006, FUNC.PI.007, FUNC.PI.008, dan  FUNC.PI.009)</t>
  </si>
  <si>
    <t>Sudah GOLIVE 01 Des 2025</t>
  </si>
  <si>
    <t>Sudah GOLIVE 24 Okt 2025</t>
  </si>
  <si>
    <t>Sudah GOLIVE 05 Des 2025</t>
  </si>
  <si>
    <t>Plan 1: 31/10/2025</t>
  </si>
  <si>
    <t>Realisasi : 11/11/2025</t>
  </si>
  <si>
    <t>Plan 1 : 03/11/2025</t>
  </si>
  <si>
    <t>Plan 2[Proposed by Hafizh] : 11/11/2025</t>
  </si>
  <si>
    <t>Plan 1 :14/11/2025</t>
  </si>
  <si>
    <t>Plan 2 [Proposed by Hafizh] : 21/11/2025</t>
  </si>
  <si>
    <t>Plan 1: 17/11/2025</t>
  </si>
  <si>
    <t>Sudah GOLIVE 11 Des 2025</t>
  </si>
  <si>
    <t>Subject to discuss ke DKEU terkait</t>
  </si>
  <si>
    <t>fitur Cancellation  VA sebelum</t>
  </si>
  <si>
    <t>Desain Selesai ;</t>
  </si>
  <si>
    <t>1. Pembahasan internal dulu dengan CBS (Dalam minggu ini sebelum M4 Nov 2025)</t>
  </si>
  <si>
    <t>2. Pembahasan dengan DKEU (Dalam minggu ini, sebelum M4 Nov 2025)</t>
  </si>
  <si>
    <t>Laporan Remunerasi  BI (Prioritas 2)</t>
  </si>
  <si>
    <t>Laporan Remunerasi  BI (Prioritas 3)</t>
  </si>
  <si>
    <t>ON PROGRESS DEVELOPMENT</t>
  </si>
  <si>
    <t>GOLIVE</t>
  </si>
  <si>
    <t>PERLU DISKUSI</t>
  </si>
  <si>
    <t>Fungsi Penambahan Tipe 
Transaksi Data Emas Batanga</t>
  </si>
  <si>
    <t>Fungsi Verifikasi Data 
Emas Batangan Bank Indonesia
(Diskusi dengan DPPT saat pembahasan RPP setelah WO terbit untuk membahas memo pengadaan perangkat ke DLDS)</t>
  </si>
  <si>
    <t>Dibuat WO-8 Karena 2026 Fokus ke MHE IS</t>
  </si>
  <si>
    <t>Go live 3 desember 2025</t>
  </si>
  <si>
    <t>1. Yoe One Ariestya Niovitta (PKWT)
2. Muhammad Daffa ALfarizqi</t>
  </si>
  <si>
    <t>% Target Januari</t>
  </si>
  <si>
    <r>
      <rPr>
        <strike/>
        <sz val="12"/>
        <color rgb="FF000000"/>
        <rFont val="Aptos Narrow"/>
        <family val="2"/>
        <scheme val="minor"/>
      </rPr>
      <t xml:space="preserve">1. On progress draft RBTD                                                                                                                                              
2. KMDB menetapkan RBTD akan selesai di tanggal 26 Juni.                                                                     
3. Penyusunan RPP dan Penyusunan KAK 
4. Penyusunan KAK
5. Target KAK final di Okt 2025
6. Dokumen KAK dan RAB sudah done. 
</t>
    </r>
    <r>
      <rPr>
        <sz val="12"/>
        <color rgb="FF000000"/>
        <rFont val="Aptos Narrow"/>
        <family val="2"/>
        <scheme val="minor"/>
      </rPr>
      <t>7. Menunggu Proses Pengadaaan
8. Menunggu pelaksanaan RPP</t>
    </r>
  </si>
  <si>
    <t xml:space="preserve">Count of Deliverables (Sub Proyek) </t>
  </si>
  <si>
    <r>
      <rPr>
        <b/>
        <sz val="11"/>
        <color rgb="FF000000"/>
        <rFont val="Aptos Narrow"/>
      </rPr>
      <t>Progress:</t>
    </r>
    <r>
      <rPr>
        <sz val="11"/>
        <color rgb="FF000000"/>
        <rFont val="Aptos Narrow"/>
      </rPr>
      <t xml:space="preserve"> 
1. RBT </t>
    </r>
    <r>
      <rPr>
        <b/>
        <sz val="11"/>
        <color rgb="FF92D050"/>
        <rFont val="Aptos Narrow"/>
      </rPr>
      <t xml:space="preserve">(DONE)
</t>
    </r>
    <r>
      <rPr>
        <sz val="11"/>
        <color rgb="FF000000"/>
        <rFont val="Aptos Narrow"/>
      </rPr>
      <t xml:space="preserve">2. RPP </t>
    </r>
    <r>
      <rPr>
        <b/>
        <sz val="11"/>
        <color rgb="FF92D050"/>
        <rFont val="Aptos Narrow"/>
      </rPr>
      <t xml:space="preserve">(DONE)
</t>
    </r>
    <r>
      <rPr>
        <b/>
        <sz val="11"/>
        <color rgb="FF000000"/>
        <rFont val="Aptos Narrow"/>
      </rPr>
      <t xml:space="preserve">
Next Action:</t>
    </r>
    <r>
      <rPr>
        <sz val="11"/>
        <color rgb="FF000000"/>
        <rFont val="Aptos Narrow"/>
      </rPr>
      <t xml:space="preserve"> 
Finalisasi Penyusunan KAK di DPID - target Jan 2026 </t>
    </r>
    <r>
      <rPr>
        <b/>
        <sz val="11"/>
        <color rgb="FFFFC000"/>
        <rFont val="Aptos Narrow"/>
      </rPr>
      <t xml:space="preserve">(On Progress)
</t>
    </r>
    <r>
      <rPr>
        <b/>
        <sz val="11"/>
        <color rgb="FF000000"/>
        <rFont val="Aptos Narrow"/>
      </rPr>
      <t xml:space="preserve">
Note:
</t>
    </r>
    <r>
      <rPr>
        <sz val="11"/>
        <color rgb="FF000000"/>
        <rFont val="Aptos Narrow"/>
      </rPr>
      <t>1. Berdasarkan memo DPID, target RPP &amp; KAK: Jan 2026
2. RPP: Informasi dari Pak Rifki DPID cukup 1 RPP dan akan di deliver oleh DPID - update tgl 29 Sep 2025</t>
    </r>
  </si>
  <si>
    <r>
      <rPr>
        <b/>
        <sz val="11"/>
        <color rgb="FF000000"/>
        <rFont val="Aptos Narrow"/>
        <scheme val="minor"/>
      </rPr>
      <t xml:space="preserve">Status:
</t>
    </r>
    <r>
      <rPr>
        <sz val="11"/>
        <color rgb="FF000000"/>
        <rFont val="Aptos Narrow"/>
        <scheme val="minor"/>
      </rPr>
      <t xml:space="preserve">Pengadaan di DMAP: Evaluasi dokumen penawaran di PBS </t>
    </r>
    <r>
      <rPr>
        <b/>
        <sz val="11"/>
        <color rgb="FF000000"/>
        <rFont val="Aptos Narrow"/>
        <scheme val="minor"/>
      </rPr>
      <t xml:space="preserve">(DONE)
Next Action:
</t>
    </r>
    <r>
      <rPr>
        <sz val="11"/>
        <color rgb="FF000000"/>
        <rFont val="Aptos Narrow"/>
        <scheme val="minor"/>
      </rPr>
      <t xml:space="preserve">1. Negosiasi dari penawaran terakhir </t>
    </r>
    <r>
      <rPr>
        <b/>
        <sz val="11"/>
        <color rgb="FF00B0F0"/>
        <rFont val="Aptos Narrow"/>
        <scheme val="minor"/>
      </rPr>
      <t xml:space="preserve">(To Do)
</t>
    </r>
    <r>
      <rPr>
        <sz val="11"/>
        <color rgb="FF000000"/>
        <rFont val="Aptos Narrow"/>
        <scheme val="minor"/>
      </rPr>
      <t xml:space="preserve">2. Proses Persetujuan Pemenanhg </t>
    </r>
    <r>
      <rPr>
        <b/>
        <sz val="11"/>
        <color rgb="FF00B0F0"/>
        <rFont val="Aptos Narrow"/>
        <scheme val="minor"/>
      </rPr>
      <t xml:space="preserve">(To Do)
</t>
    </r>
    <r>
      <rPr>
        <sz val="11"/>
        <color rgb="FF000000"/>
        <rFont val="Aptos Narrow"/>
        <scheme val="minor"/>
      </rPr>
      <t>2. SPPP target M-5 jan 26</t>
    </r>
    <r>
      <rPr>
        <b/>
        <sz val="11"/>
        <color rgb="FF00B0F0"/>
        <rFont val="Aptos Narrow"/>
        <scheme val="minor"/>
      </rPr>
      <t>(To Do)</t>
    </r>
  </si>
  <si>
    <r>
      <rPr>
        <sz val="12"/>
        <color rgb="FF000000"/>
        <rFont val="Aptos Narrow"/>
        <scheme val="minor"/>
      </rPr>
      <t xml:space="preserve">Updated Progress;
20-01-2026
</t>
    </r>
    <r>
      <rPr>
        <b/>
        <sz val="12"/>
        <color rgb="FF000000"/>
        <rFont val="Aptos Narrow"/>
        <scheme val="minor"/>
      </rPr>
      <t xml:space="preserve"> Pengadaan Infra DLDS untuk BMC
</t>
    </r>
    <r>
      <rPr>
        <sz val="12"/>
        <color rgb="FF000000"/>
        <rFont val="Aptos Narrow"/>
        <scheme val="minor"/>
      </rPr>
      <t xml:space="preserve">1. Pengadaan KAK Storage -&gt; SP3 sudah terbit, sedang proses instalasi, target date instalasi akhir feb 2026
2. Pengadaan KAK Server -&gt; SP3 sudah terbit, sekarang proses delivery perangkat, target date delivery perangkat di akhir jan 2026. untuk perangkat sudah tiba cuman perlu penyesuaian part di perangkat. (saya coba followup secara berkala ke mas ghazian).
3. KAK OCP Tahap 1 akan menggunakan OCP Existing yang SP3-nya sudah terbit, dan untuk instalasi sedang on going oleh DPID, target instalasi akhir feb 2026.
</t>
    </r>
    <r>
      <rPr>
        <b/>
        <sz val="12"/>
        <color rgb="FF000000"/>
        <rFont val="Aptos Narrow"/>
        <scheme val="minor"/>
      </rPr>
      <t xml:space="preserve">WO solusi BMC 
</t>
    </r>
    <r>
      <rPr>
        <sz val="12"/>
        <color rgb="FF000000"/>
        <rFont val="Aptos Narrow"/>
        <scheme val="minor"/>
      </rPr>
      <t>1. Untuk WO Solusi BMC akan di terbitkan pada awal tahun sesuai dengan timeline RPP M4 Feb 2026 WO sudah harus terbit.</t>
    </r>
  </si>
  <si>
    <t>-Proyek tergeser dari 2024 karena adanya arahan dan dampak dari prioritisasi.
- telas dilakukan diskusi timeline dengan user dan info user akan konfirmasi terlebih dahulu ke internal dan juga pimpinan DKMP terkait usulan timeline dri DLDS</t>
  </si>
  <si>
    <t>NP-27</t>
  </si>
  <si>
    <t>Update:
-Akan dilakukan diskusi terkait perubahan timeline pada kamis 22 Januari 2026
- untuk timeline usulan DLDS user sudah setuju dan awal mulai Desain M1 Maret</t>
  </si>
  <si>
    <t>Count of Stream</t>
  </si>
  <si>
    <t>Transaksi Repo SVBI dan SUVBI Tahap 2 (PASBI Valas)</t>
  </si>
  <si>
    <t xml:space="preserve">Transaksi Repo SVBI dan SUVBI Rupiah (CCR - Tahap 3) </t>
  </si>
  <si>
    <t>SP, MI</t>
  </si>
  <si>
    <t>Market, Moneter</t>
  </si>
  <si>
    <t>Market, Moneter, MI</t>
  </si>
  <si>
    <t>SP, MI, Middleware</t>
  </si>
  <si>
    <t>SSK, Moneter</t>
  </si>
  <si>
    <t>Market, SP</t>
  </si>
  <si>
    <t>DPMA, DPPK</t>
  </si>
  <si>
    <t>Nama Non Proyek Baru</t>
  </si>
  <si>
    <t xml:space="preserve">Start </t>
  </si>
  <si>
    <t xml:space="preserve">End </t>
  </si>
  <si>
    <t>Middleware, Moneter</t>
  </si>
  <si>
    <t>SP, Market, SSK, MI, Moneter</t>
  </si>
  <si>
    <t>Middleware, Market</t>
  </si>
  <si>
    <r>
      <rPr>
        <sz val="12"/>
        <color rgb="FF000000"/>
        <rFont val="Aptos Narrow"/>
        <scheme val="minor"/>
      </rPr>
      <t xml:space="preserve"> </t>
    </r>
    <r>
      <rPr>
        <b/>
        <sz val="12"/>
        <color rgb="FF000000"/>
        <rFont val="Aptos Narrow"/>
        <scheme val="minor"/>
      </rPr>
      <t xml:space="preserve">Go Live 24 Desember 2025
</t>
    </r>
    <r>
      <rPr>
        <sz val="12"/>
        <color rgb="FF000000"/>
        <rFont val="Aptos Narrow"/>
        <scheme val="minor"/>
      </rPr>
      <t>*info dari user DSMM akan dilakukan industrial test setelah UAT selama 2 minggu di bulan Februari 2026</t>
    </r>
  </si>
  <si>
    <r>
      <rPr>
        <b/>
        <sz val="12"/>
        <color rgb="FF000000"/>
        <rFont val="Aptos Narrow"/>
        <scheme val="minor"/>
      </rPr>
      <t xml:space="preserve">GO Live 22 Januari 2026
</t>
    </r>
    <r>
      <rPr>
        <sz val="12"/>
        <color rgb="FF000000"/>
        <rFont val="Aptos Narrow"/>
        <scheme val="minor"/>
      </rPr>
      <t xml:space="preserve">
Target selesai RBT September 2025 
Done Progress :
-RBT
-Desain
-Coding
-SIT
-UAT
Implementasi</t>
    </r>
  </si>
  <si>
    <r>
      <rPr>
        <b/>
        <sz val="12"/>
        <color rgb="FF000000"/>
        <rFont val="Aptos Narrow"/>
        <scheme val="minor"/>
      </rPr>
      <t xml:space="preserve">Tindaklanjut
</t>
    </r>
    <r>
      <rPr>
        <strike/>
        <sz val="12"/>
        <color rgb="FF000000"/>
        <rFont val="Aptos Narrow"/>
        <scheme val="minor"/>
      </rPr>
      <t xml:space="preserve">1. RKP (cancel)
</t>
    </r>
    <r>
      <rPr>
        <sz val="12"/>
        <color rgb="FF000000"/>
        <rFont val="Aptos Narrow"/>
        <scheme val="minor"/>
      </rPr>
      <t xml:space="preserve">2. Cakupan surrounding sebagaimana diskusi tgl  1 Des 2025 pembahasan awal RBT dengan DPID untuk ERP, CBS dan RTGS
3. inisis enhc bifast surrounding tetap dilakukan, dengan minor update
4. Penyusunan RBT inisiasi dari satker bisnis DPSP, dari KMBD minggu lalu belum ada update info dari user
</t>
    </r>
    <r>
      <rPr>
        <b/>
        <sz val="12"/>
        <color rgb="FFFF0000"/>
        <rFont val="Aptos Narrow"/>
        <scheme val="minor"/>
      </rPr>
      <t xml:space="preserve">5. Timeline di rivibi untuk DLDS seharusnya sudah dimulai terkait RBT di TW 4 namun saat ini belum ada pembahasan RBT karena menunggu point 1 dan 2
</t>
    </r>
    <r>
      <rPr>
        <sz val="12"/>
        <color rgb="FF000000"/>
        <rFont val="Aptos Narrow"/>
        <scheme val="minor"/>
      </rPr>
      <t xml:space="preserve">
Note DPID:
- Dari sisi DPID diperlukan ketersediaan lisensi di DPMA.
</t>
    </r>
    <r>
      <rPr>
        <sz val="12"/>
        <color rgb="FFFF0000"/>
        <rFont val="Aptos Narrow"/>
        <scheme val="minor"/>
      </rPr>
      <t xml:space="preserve">- Perlu konfirmasi terkait crossborder  payment dengan New BI-FAST. (rbt crossborder dipisah)
</t>
    </r>
    <r>
      <rPr>
        <sz val="12"/>
        <color rgb="FF000000"/>
        <rFont val="Aptos Narrow"/>
        <scheme val="minor"/>
      </rPr>
      <t>- satker user dari DKSP dan DPPT
- PIC KMBD DPID (Pak Eka, Mas Marjon dan Mas Ijul)</t>
    </r>
  </si>
  <si>
    <r>
      <rPr>
        <b/>
        <sz val="12"/>
        <color rgb="FF000000"/>
        <rFont val="Aptos Narrow"/>
        <scheme val="minor"/>
      </rPr>
      <t xml:space="preserve">01 Januari 2025
</t>
    </r>
    <r>
      <rPr>
        <sz val="12"/>
        <color rgb="FF000000"/>
        <rFont val="Aptos Narrow"/>
        <scheme val="minor"/>
      </rPr>
      <t xml:space="preserve">1. Pembahasan awal SRS  </t>
    </r>
    <r>
      <rPr>
        <b/>
        <sz val="12"/>
        <color rgb="FF000000"/>
        <rFont val="Aptos Narrow"/>
        <scheme val="minor"/>
      </rPr>
      <t xml:space="preserve">(to do)
</t>
    </r>
    <r>
      <rPr>
        <sz val="12"/>
        <color rgb="FF000000"/>
        <rFont val="Aptos Narrow"/>
        <scheme val="minor"/>
      </rPr>
      <t xml:space="preserve">
Note:
1. UKPS menyampaikan timeline terbaru, dan usulan DPU untuk diilkukan meeting penetapan timeline yang disepakati meeting Kadiv / Pejabat (27 Mei 2025)
2. On progress request server MHE IS khusus CBS yang terpisah dari CBS Existing (join server dengan CBS MT MX) - (Done)
3. Secara fungsi sudah di develop API nya pada https://integratorcbsdevku.corp.bi.go.id/swagger-ui/index.html
key : jxgEQeXHuPq8VdbyYFNkANdudQ53YUn4</t>
    </r>
  </si>
  <si>
    <r>
      <rPr>
        <b/>
        <sz val="12"/>
        <color rgb="FF000000"/>
        <rFont val="Aptos Narrow"/>
        <scheme val="minor"/>
      </rPr>
      <t xml:space="preserve">Update 26 Januari 2025:
</t>
    </r>
    <r>
      <rPr>
        <sz val="12"/>
        <color rgb="FF000000"/>
        <rFont val="Aptos Narrow"/>
        <scheme val="minor"/>
      </rPr>
      <t xml:space="preserve">1. FinalisasiSRS MHE IS BISILK </t>
    </r>
    <r>
      <rPr>
        <b/>
        <sz val="12"/>
        <color rgb="FF000000"/>
        <rFont val="Aptos Narrow"/>
        <scheme val="minor"/>
      </rPr>
      <t xml:space="preserve">(on progres)
</t>
    </r>
    <r>
      <rPr>
        <sz val="12"/>
        <color rgb="FF000000"/>
        <rFont val="Aptos Narrow"/>
        <scheme val="minor"/>
      </rPr>
      <t xml:space="preserve">2. Update BRD  </t>
    </r>
    <r>
      <rPr>
        <b/>
        <sz val="12"/>
        <color rgb="FF000000"/>
        <rFont val="Aptos Narrow"/>
        <scheme val="minor"/>
      </rPr>
      <t xml:space="preserve">(On Progres  DPU)
</t>
    </r>
    <r>
      <rPr>
        <sz val="12"/>
        <color rgb="FF000000"/>
        <rFont val="Aptos Narrow"/>
        <scheme val="minor"/>
      </rPr>
      <t xml:space="preserve">3. Drafting RPP &amp; T.1.4 project charter BISILK MHE IS </t>
    </r>
    <r>
      <rPr>
        <b/>
        <sz val="12"/>
        <color rgb="FF000000"/>
        <rFont val="Aptos Narrow"/>
        <scheme val="minor"/>
      </rPr>
      <t xml:space="preserve">(on progres)
</t>
    </r>
    <r>
      <rPr>
        <sz val="12"/>
        <color rgb="FF000000"/>
        <rFont val="Aptos Narrow"/>
        <scheme val="minor"/>
      </rPr>
      <t>4. Target waktu terbit SPPP di 15 Januari 2026</t>
    </r>
    <r>
      <rPr>
        <b/>
        <sz val="12"/>
        <color rgb="FF000000"/>
        <rFont val="Aptos Narrow"/>
        <scheme val="minor"/>
      </rPr>
      <t xml:space="preserve"> (done)
</t>
    </r>
    <r>
      <rPr>
        <sz val="12"/>
        <color rgb="FF000000"/>
        <rFont val="Aptos Narrow"/>
        <scheme val="minor"/>
      </rPr>
      <t xml:space="preserve">6. Pembahasan interface COS SOA BISILK </t>
    </r>
    <r>
      <rPr>
        <b/>
        <sz val="12"/>
        <color rgb="FF000000"/>
        <rFont val="Aptos Narrow"/>
        <scheme val="minor"/>
      </rPr>
      <t xml:space="preserve">(to do)
</t>
    </r>
    <r>
      <rPr>
        <sz val="12"/>
        <color rgb="FF000000"/>
        <rFont val="Aptos Narrow"/>
        <scheme val="minor"/>
      </rPr>
      <t>7. Finalisasi risalah rapat SRS Nov 2025</t>
    </r>
    <r>
      <rPr>
        <b/>
        <sz val="12"/>
        <color rgb="FF000000"/>
        <rFont val="Aptos Narrow"/>
        <scheme val="minor"/>
      </rPr>
      <t xml:space="preserve"> (on reveiw KMBD)
Note:
</t>
    </r>
    <r>
      <rPr>
        <sz val="12"/>
        <color rgb="FF000000"/>
        <rFont val="Aptos Narrow"/>
        <scheme val="minor"/>
      </rPr>
      <t>1. UKPS menyampaikan timeline terbaru, dan usulan DPU untuk diilkukan meeting penetapan timeline yang disepakati meeting Kadiv / Pejabat (27 Mei 2025)</t>
    </r>
  </si>
  <si>
    <r>
      <rPr>
        <b/>
        <sz val="12"/>
        <color rgb="FF000000"/>
        <rFont val="Aptos Narrow"/>
        <scheme val="minor"/>
      </rPr>
      <t xml:space="preserve">Update 26 Januari 2025:
</t>
    </r>
    <r>
      <rPr>
        <sz val="12"/>
        <color rgb="FF000000"/>
        <rFont val="Aptos Narrow"/>
        <scheme val="minor"/>
      </rPr>
      <t xml:space="preserve">1. Penyusunan SRS MHE IS BISILK </t>
    </r>
    <r>
      <rPr>
        <b/>
        <sz val="12"/>
        <color rgb="FF000000"/>
        <rFont val="Aptos Narrow"/>
        <scheme val="minor"/>
      </rPr>
      <t xml:space="preserve">(on progres)
</t>
    </r>
    <r>
      <rPr>
        <sz val="12"/>
        <color rgb="FF000000"/>
        <rFont val="Aptos Narrow"/>
        <scheme val="minor"/>
      </rPr>
      <t xml:space="preserve">2. Update BRD  </t>
    </r>
    <r>
      <rPr>
        <b/>
        <sz val="12"/>
        <color rgb="FF000000"/>
        <rFont val="Aptos Narrow"/>
        <scheme val="minor"/>
      </rPr>
      <t xml:space="preserve">(On Progres  DPU)
</t>
    </r>
    <r>
      <rPr>
        <sz val="12"/>
        <color rgb="FF000000"/>
        <rFont val="Aptos Narrow"/>
        <scheme val="minor"/>
      </rPr>
      <t xml:space="preserve">3. Drafting RPP &amp; T.1.4 project charter BISILK MHE IS </t>
    </r>
    <r>
      <rPr>
        <b/>
        <sz val="12"/>
        <color rgb="FF000000"/>
        <rFont val="Aptos Narrow"/>
        <scheme val="minor"/>
      </rPr>
      <t xml:space="preserve">(on progres)
</t>
    </r>
    <r>
      <rPr>
        <sz val="12"/>
        <color rgb="FF000000"/>
        <rFont val="Aptos Narrow"/>
        <scheme val="minor"/>
      </rPr>
      <t>4. Target waktu terbit SPPP di 15 Januari 2026</t>
    </r>
    <r>
      <rPr>
        <b/>
        <sz val="12"/>
        <color rgb="FF000000"/>
        <rFont val="Aptos Narrow"/>
        <scheme val="minor"/>
      </rPr>
      <t xml:space="preserve"> (done)
</t>
    </r>
    <r>
      <rPr>
        <sz val="12"/>
        <color rgb="FF000000"/>
        <rFont val="Aptos Narrow"/>
        <scheme val="minor"/>
      </rPr>
      <t xml:space="preserve">6. Pembahasan interface COS SOA BISILK </t>
    </r>
    <r>
      <rPr>
        <b/>
        <sz val="12"/>
        <color rgb="FF000000"/>
        <rFont val="Aptos Narrow"/>
        <scheme val="minor"/>
      </rPr>
      <t xml:space="preserve">(to do)
</t>
    </r>
    <r>
      <rPr>
        <sz val="12"/>
        <color rgb="FF000000"/>
        <rFont val="Aptos Narrow"/>
        <scheme val="minor"/>
      </rPr>
      <t>7. Finalisasi risalah rapat SRS Nov 2025</t>
    </r>
    <r>
      <rPr>
        <b/>
        <sz val="12"/>
        <color rgb="FF000000"/>
        <rFont val="Aptos Narrow"/>
        <scheme val="minor"/>
      </rPr>
      <t xml:space="preserve"> (on reveiw KMBD)
Note:
</t>
    </r>
    <r>
      <rPr>
        <sz val="12"/>
        <color rgb="FF000000"/>
        <rFont val="Aptos Narrow"/>
        <scheme val="minor"/>
      </rPr>
      <t>1. UKPS menyampaikan timeline terbaru, dan usulan DPU untuk diilkukan meeting penetapan timeline yang disepakati meeting Kadiv / Pejabat (27 Mei 2025)</t>
    </r>
  </si>
  <si>
    <t>Not started
Tindak lanjut :
1. konfirmasi target SPPP dari DMAP untuk kontrak induk (26 januari)
2. konfirmasi target SRS (M1 Februari 2026)
3. konfirmasi target penerbitan WO (M1 Maret 2026)</t>
  </si>
  <si>
    <r>
      <rPr>
        <b/>
        <sz val="11"/>
        <color rgb="FF000000"/>
        <rFont val="Aptos Narrow"/>
        <scheme val="minor"/>
      </rPr>
      <t xml:space="preserve">Status:
</t>
    </r>
    <r>
      <rPr>
        <strike/>
        <sz val="11"/>
        <color rgb="FF000000"/>
        <rFont val="Aptos Narrow"/>
        <scheme val="minor"/>
      </rPr>
      <t xml:space="preserve">1. KAK: Disampaikan pada 19 Juni 2025 </t>
    </r>
    <r>
      <rPr>
        <b/>
        <strike/>
        <sz val="11"/>
        <color rgb="FF92D050"/>
        <rFont val="Aptos Narrow"/>
        <scheme val="minor"/>
      </rPr>
      <t xml:space="preserve">(DONE)
</t>
    </r>
    <r>
      <rPr>
        <strike/>
        <sz val="11"/>
        <color rgb="FF000000"/>
        <rFont val="Aptos Narrow"/>
        <scheme val="minor"/>
      </rPr>
      <t xml:space="preserve">2. Proses pengadaan di DMAP - sudah di divisi PBS </t>
    </r>
    <r>
      <rPr>
        <b/>
        <strike/>
        <sz val="11"/>
        <color rgb="FF92D050"/>
        <rFont val="Aptos Narrow"/>
        <scheme val="minor"/>
      </rPr>
      <t xml:space="preserve">(DONE)
</t>
    </r>
    <r>
      <rPr>
        <strike/>
        <sz val="11"/>
        <color rgb="FF000000"/>
        <rFont val="Aptos Narrow"/>
        <scheme val="minor"/>
      </rPr>
      <t xml:space="preserve">2. SPPP: 17 Oktober 2025 - SPPP terbit di tgl 2 Oktober 2025 </t>
    </r>
    <r>
      <rPr>
        <b/>
        <strike/>
        <sz val="11"/>
        <color rgb="FF92D050"/>
        <rFont val="Aptos Narrow"/>
        <scheme val="minor"/>
      </rPr>
      <t xml:space="preserve">(DONE)
</t>
    </r>
    <r>
      <rPr>
        <strike/>
        <sz val="11"/>
        <color rgb="FF000000"/>
        <rFont val="Aptos Narrow"/>
        <scheme val="minor"/>
      </rPr>
      <t xml:space="preserve">3. BAPP Penyediaan ATS tahun pertama </t>
    </r>
    <r>
      <rPr>
        <b/>
        <strike/>
        <sz val="11"/>
        <color rgb="FF92D050"/>
        <rFont val="Aptos Narrow"/>
        <scheme val="minor"/>
      </rPr>
      <t xml:space="preserve">(DONE)
</t>
    </r>
    <r>
      <rPr>
        <strike/>
        <sz val="11"/>
        <color rgb="FF000000"/>
        <rFont val="Aptos Narrow"/>
        <scheme val="minor"/>
      </rPr>
      <t xml:space="preserve">4. Kick off Meeting - 14 Okt 2025 </t>
    </r>
    <r>
      <rPr>
        <b/>
        <strike/>
        <sz val="11"/>
        <color rgb="FF92D050"/>
        <rFont val="Aptos Narrow"/>
        <scheme val="minor"/>
      </rPr>
      <t xml:space="preserve">(DONE)
</t>
    </r>
    <r>
      <rPr>
        <strike/>
        <sz val="11"/>
        <color rgb="FF000000"/>
        <rFont val="Aptos Narrow"/>
        <scheme val="minor"/>
      </rPr>
      <t xml:space="preserve">5. BAPP Penyediaan ATS tahun pertama  </t>
    </r>
    <r>
      <rPr>
        <b/>
        <strike/>
        <sz val="11"/>
        <color rgb="FF92D050"/>
        <rFont val="Aptos Narrow"/>
        <scheme val="minor"/>
      </rPr>
      <t xml:space="preserve">(DONE)
</t>
    </r>
    <r>
      <rPr>
        <strike/>
        <sz val="11"/>
        <color rgb="FF000000"/>
        <rFont val="Aptos Narrow"/>
        <scheme val="minor"/>
      </rPr>
      <t xml:space="preserve">6. Pembuatan  M01 serah terima pekerjaan ke SOC </t>
    </r>
    <r>
      <rPr>
        <b/>
        <strike/>
        <sz val="11"/>
        <color rgb="FF92D050"/>
        <rFont val="Aptos Narrow"/>
        <scheme val="minor"/>
      </rPr>
      <t xml:space="preserve">(DONE)
</t>
    </r>
    <r>
      <rPr>
        <strike/>
        <sz val="11"/>
        <color rgb="FF000000"/>
        <rFont val="Aptos Narrow"/>
        <scheme val="minor"/>
      </rPr>
      <t xml:space="preserve">7. Proses persetujuan BAK di MKA </t>
    </r>
    <r>
      <rPr>
        <b/>
        <strike/>
        <sz val="11"/>
        <color rgb="FF92D050"/>
        <rFont val="Aptos Narrow"/>
        <scheme val="minor"/>
      </rPr>
      <t xml:space="preserve">(DONE)
</t>
    </r>
    <r>
      <rPr>
        <sz val="11"/>
        <color rgb="FF000000"/>
        <rFont val="Aptos Narrow"/>
        <scheme val="minor"/>
      </rPr>
      <t xml:space="preserve">8. Permohonan Addendum- sudah dikirim ke MKA tgl 21 Jan 2026 </t>
    </r>
    <r>
      <rPr>
        <b/>
        <sz val="11"/>
        <color rgb="FF92D050"/>
        <rFont val="Aptos Narrow"/>
        <scheme val="minor"/>
      </rPr>
      <t xml:space="preserve">(DONE)
</t>
    </r>
    <r>
      <rPr>
        <b/>
        <sz val="11"/>
        <color rgb="FF000000"/>
        <rFont val="Aptos Narrow"/>
        <scheme val="minor"/>
      </rPr>
      <t xml:space="preserve">
Next Action:
</t>
    </r>
    <r>
      <rPr>
        <sz val="11"/>
        <color rgb="FF000000"/>
        <rFont val="Aptos Narrow"/>
        <scheme val="minor"/>
      </rPr>
      <t xml:space="preserve">1. Pembuatan dokumen Addendum di MKA </t>
    </r>
    <r>
      <rPr>
        <b/>
        <sz val="11"/>
        <color rgb="FFFFC000"/>
        <rFont val="Aptos Narrow"/>
        <scheme val="minor"/>
      </rPr>
      <t xml:space="preserve">(On Progress)
</t>
    </r>
    <r>
      <rPr>
        <sz val="11"/>
        <color rgb="FF000000"/>
        <rFont val="Aptos Narrow"/>
        <scheme val="minor"/>
      </rPr>
      <t xml:space="preserve">2. Pembuatan M02 Bayar oleh MKA </t>
    </r>
    <r>
      <rPr>
        <b/>
        <sz val="11"/>
        <color rgb="FF00B0F0"/>
        <rFont val="Aptos Narrow"/>
        <scheme val="minor"/>
      </rPr>
      <t xml:space="preserve">(To Do)
</t>
    </r>
    <r>
      <rPr>
        <sz val="11"/>
        <color rgb="FF000000"/>
        <rFont val="Aptos Narrow"/>
        <scheme val="minor"/>
      </rPr>
      <t xml:space="preserve">3. Kirim LD Bayar ke TMI </t>
    </r>
    <r>
      <rPr>
        <b/>
        <sz val="11"/>
        <color rgb="FF00B0F0"/>
        <rFont val="Aptos Narrow"/>
        <scheme val="minor"/>
      </rPr>
      <t xml:space="preserve">(To Do)
</t>
    </r>
    <r>
      <rPr>
        <sz val="11"/>
        <color rgb="FF000000"/>
        <rFont val="Aptos Narrow"/>
        <scheme val="minor"/>
      </rPr>
      <t xml:space="preserve">4. Pembayaran oleh TMI </t>
    </r>
    <r>
      <rPr>
        <b/>
        <sz val="11"/>
        <color rgb="FF00B0F0"/>
        <rFont val="Aptos Narrow"/>
        <scheme val="minor"/>
      </rPr>
      <t>(To Do)</t>
    </r>
  </si>
  <si>
    <r>
      <rPr>
        <b/>
        <sz val="11"/>
        <color rgb="FF000000"/>
        <rFont val="Aptos Narrow"/>
        <scheme val="minor"/>
      </rPr>
      <t xml:space="preserve">Status:
</t>
    </r>
    <r>
      <rPr>
        <strike/>
        <sz val="11"/>
        <color rgb="FF000000"/>
        <rFont val="Aptos Narrow"/>
        <scheme val="minor"/>
      </rPr>
      <t xml:space="preserve">1. Draft KAK &amp; BoQ </t>
    </r>
    <r>
      <rPr>
        <b/>
        <strike/>
        <sz val="11"/>
        <color rgb="FF92D050"/>
        <rFont val="Aptos Narrow"/>
        <scheme val="minor"/>
      </rPr>
      <t xml:space="preserve">(DONE)
</t>
    </r>
    <r>
      <rPr>
        <strike/>
        <sz val="11"/>
        <color rgb="FF000000"/>
        <rFont val="Aptos Narrow"/>
        <scheme val="minor"/>
      </rPr>
      <t xml:space="preserve">2. Pembahasan terkait kebutuhan dan spek dgn SOC di W5 Juli 2025 </t>
    </r>
    <r>
      <rPr>
        <b/>
        <strike/>
        <sz val="11"/>
        <color rgb="FF92D050"/>
        <rFont val="Aptos Narrow"/>
        <scheme val="minor"/>
      </rPr>
      <t xml:space="preserve">(DONE)
</t>
    </r>
    <r>
      <rPr>
        <strike/>
        <sz val="11"/>
        <color rgb="FF000000"/>
        <rFont val="Aptos Narrow"/>
        <scheme val="minor"/>
      </rPr>
      <t xml:space="preserve">3. Akan dibuat rispat dari pembahasan dengan SOC </t>
    </r>
    <r>
      <rPr>
        <b/>
        <strike/>
        <sz val="11"/>
        <color rgb="FF92D050"/>
        <rFont val="Aptos Narrow"/>
        <scheme val="minor"/>
      </rPr>
      <t xml:space="preserve">(DONE)
</t>
    </r>
    <r>
      <rPr>
        <strike/>
        <sz val="11"/>
        <color rgb="FF000000"/>
        <rFont val="Aptos Narrow"/>
        <scheme val="minor"/>
      </rPr>
      <t xml:space="preserve">4. Follow up price list ke Prinsipal </t>
    </r>
    <r>
      <rPr>
        <b/>
        <strike/>
        <sz val="11"/>
        <color rgb="FF92D050"/>
        <rFont val="Aptos Narrow"/>
        <scheme val="minor"/>
      </rPr>
      <t xml:space="preserve">(DONE)
</t>
    </r>
    <r>
      <rPr>
        <strike/>
        <sz val="11"/>
        <color rgb="FF000000"/>
        <rFont val="Aptos Narrow"/>
        <scheme val="minor"/>
      </rPr>
      <t xml:space="preserve"> Review KAK, RAB, M02 Persetjuan KAK di internal </t>
    </r>
    <r>
      <rPr>
        <b/>
        <strike/>
        <sz val="11"/>
        <color rgb="FF92D050"/>
        <rFont val="Aptos Narrow"/>
        <scheme val="minor"/>
      </rPr>
      <t xml:space="preserve">(DONE)
</t>
    </r>
    <r>
      <rPr>
        <strike/>
        <sz val="11"/>
        <color rgb="FF000000"/>
        <rFont val="Aptos Narrow"/>
        <scheme val="minor"/>
      </rPr>
      <t xml:space="preserve">2. submit persetujuan KAK ke Pak Yoyok </t>
    </r>
    <r>
      <rPr>
        <b/>
        <strike/>
        <sz val="11"/>
        <color rgb="FF92D050"/>
        <rFont val="Aptos Narrow"/>
        <scheme val="minor"/>
      </rPr>
      <t xml:space="preserve">(DONE)
</t>
    </r>
    <r>
      <rPr>
        <strike/>
        <sz val="11"/>
        <color rgb="FF000000"/>
        <rFont val="Aptos Narrow"/>
        <scheme val="minor"/>
      </rPr>
      <t>3. Review dan ttd Rispat</t>
    </r>
    <r>
      <rPr>
        <strike/>
        <sz val="11"/>
        <color rgb="FF92D050"/>
        <rFont val="Aptos Narrow"/>
        <scheme val="minor"/>
      </rPr>
      <t xml:space="preserve"> </t>
    </r>
    <r>
      <rPr>
        <b/>
        <strike/>
        <sz val="11"/>
        <color rgb="FF92D050"/>
        <rFont val="Aptos Narrow"/>
        <scheme val="minor"/>
      </rPr>
      <t xml:space="preserve">(DONE)
</t>
    </r>
    <r>
      <rPr>
        <strike/>
        <sz val="11"/>
        <color rgb="FF000000"/>
        <rFont val="Aptos Narrow"/>
        <scheme val="minor"/>
      </rPr>
      <t>4. sirkular Ka. Grup - tgl 1 september 2025</t>
    </r>
    <r>
      <rPr>
        <strike/>
        <sz val="11"/>
        <color rgb="FF92D050"/>
        <rFont val="Aptos Narrow"/>
        <scheme val="minor"/>
      </rPr>
      <t xml:space="preserve"> </t>
    </r>
    <r>
      <rPr>
        <b/>
        <strike/>
        <sz val="11"/>
        <color rgb="FF92D050"/>
        <rFont val="Aptos Narrow"/>
        <scheme val="minor"/>
      </rPr>
      <t xml:space="preserve">(DONE)
</t>
    </r>
    <r>
      <rPr>
        <strike/>
        <sz val="11"/>
        <color rgb="FF000000"/>
        <rFont val="Aptos Narrow"/>
        <scheme val="minor"/>
      </rPr>
      <t>5. kirim M.01 penyampaian KAK ke MKA - tgl 1 september 2025</t>
    </r>
    <r>
      <rPr>
        <strike/>
        <sz val="11"/>
        <color rgb="FF92D050"/>
        <rFont val="Aptos Narrow"/>
        <scheme val="minor"/>
      </rPr>
      <t xml:space="preserve"> </t>
    </r>
    <r>
      <rPr>
        <b/>
        <strike/>
        <sz val="11"/>
        <color rgb="FF92D050"/>
        <rFont val="Aptos Narrow"/>
        <scheme val="minor"/>
      </rPr>
      <t xml:space="preserve">(DONE)
</t>
    </r>
    <r>
      <rPr>
        <sz val="11"/>
        <color rgb="FF000000"/>
        <rFont val="Aptos Narrow"/>
        <scheme val="minor"/>
      </rPr>
      <t>6. Sirkulasi RKS</t>
    </r>
    <r>
      <rPr>
        <b/>
        <sz val="11"/>
        <color rgb="FF000000"/>
        <rFont val="Aptos Narrow"/>
        <scheme val="minor"/>
      </rPr>
      <t xml:space="preserve"> </t>
    </r>
    <r>
      <rPr>
        <b/>
        <sz val="11"/>
        <color rgb="FF92D050"/>
        <rFont val="Aptos Narrow"/>
        <scheme val="minor"/>
      </rPr>
      <t xml:space="preserve">(DONE)
</t>
    </r>
    <r>
      <rPr>
        <sz val="11"/>
        <color rgb="FF000000"/>
        <rFont val="Aptos Narrow"/>
        <scheme val="minor"/>
      </rPr>
      <t xml:space="preserve">7. Proses evaluasi dan klarifikasi harga </t>
    </r>
    <r>
      <rPr>
        <b/>
        <sz val="11"/>
        <color rgb="FF92D050"/>
        <rFont val="Aptos Narrow"/>
        <scheme val="minor"/>
      </rPr>
      <t xml:space="preserve">(DONE)
</t>
    </r>
    <r>
      <rPr>
        <b/>
        <sz val="11"/>
        <color rgb="FF000000"/>
        <rFont val="Aptos Narrow"/>
        <scheme val="minor"/>
      </rPr>
      <t xml:space="preserve">
Next Action:
</t>
    </r>
    <r>
      <rPr>
        <sz val="11"/>
        <color rgb="FF000000"/>
        <rFont val="Aptos Narrow"/>
        <scheme val="minor"/>
      </rPr>
      <t xml:space="preserve">1. Proses Aanwidzing </t>
    </r>
    <r>
      <rPr>
        <b/>
        <sz val="11"/>
        <color rgb="FF00B0F0"/>
        <rFont val="Aptos Narrow"/>
        <scheme val="minor"/>
      </rPr>
      <t xml:space="preserve">(To Do)
</t>
    </r>
    <r>
      <rPr>
        <sz val="11"/>
        <color rgb="FF000000"/>
        <rFont val="Aptos Narrow"/>
        <scheme val="minor"/>
      </rPr>
      <t>2. Submit Penawaran</t>
    </r>
    <r>
      <rPr>
        <b/>
        <sz val="11"/>
        <color rgb="FF00B0F0"/>
        <rFont val="Aptos Narrow"/>
        <scheme val="minor"/>
      </rPr>
      <t xml:space="preserve"> (To Do)
</t>
    </r>
    <r>
      <rPr>
        <sz val="11"/>
        <color rgb="FF000000"/>
        <rFont val="Aptos Narrow"/>
        <scheme val="minor"/>
      </rPr>
      <t xml:space="preserve">3. SPPP </t>
    </r>
    <r>
      <rPr>
        <b/>
        <sz val="11"/>
        <color rgb="FF00B0F0"/>
        <rFont val="Aptos Narrow"/>
        <scheme val="minor"/>
      </rPr>
      <t xml:space="preserve">(To Do)
</t>
    </r>
    <r>
      <rPr>
        <b/>
        <sz val="11"/>
        <color rgb="FF000000"/>
        <rFont val="Aptos Narrow"/>
        <scheme val="minor"/>
      </rPr>
      <t xml:space="preserve">
Note: 
</t>
    </r>
    <r>
      <rPr>
        <sz val="11"/>
        <color rgb="FF000000"/>
        <rFont val="Aptos Narrow"/>
        <scheme val="minor"/>
      </rPr>
      <t>Target KAK: 29 Agustus 2025
Target SPPP: 4 Februari 2026
Kontrak eksisting berakhir di 4 Maret 2026</t>
    </r>
  </si>
  <si>
    <r>
      <rPr>
        <strike/>
        <sz val="12"/>
        <color rgb="FF000000"/>
        <rFont val="Aptos Narrow"/>
        <scheme val="minor"/>
      </rPr>
      <t xml:space="preserve">1. On progres pengujian SIT, tersisa 3 skenario lagi, target pengujian akan di selesaikan minggu ini berikut dengan doc laporan SIT 
2. Jumat, 25 July Kick Off UAT dan Minggu ini akan di mulai pengujian UAT 
3. UAT sudah selesai, proses dokumentasi dan digisign T.4.3 dan T.4.4
4. Rencana Implementasi di tanggal 8 Agustus
5. Telah di lakukan implementasi 8 Agustus dan Sedang dalam tahap monitoring Paskah Go Live 
</t>
    </r>
    <r>
      <rPr>
        <sz val="12"/>
        <color rgb="FF000000"/>
        <rFont val="Aptos Narrow"/>
        <scheme val="minor"/>
      </rPr>
      <t>6. FINISH</t>
    </r>
  </si>
  <si>
    <r>
      <rPr>
        <strike/>
        <sz val="12"/>
        <color rgb="FF000000"/>
        <rFont val="Aptos Narrow"/>
        <scheme val="minor"/>
      </rPr>
      <t xml:space="preserve">7. Telah dilaksanakan KICK Off SIT tanggal 31 Oktober,  pengujian akan dilaksanaan tanggal 3 November 2025 dengan mekanisme Tailoring  
8. progres SIT 
- LBUT Antasena : 45 skenario </t>
    </r>
    <r>
      <rPr>
        <i/>
        <strike/>
        <sz val="12"/>
        <color rgb="FF000000"/>
        <rFont val="Aptos Narrow"/>
        <scheme val="minor"/>
      </rPr>
      <t xml:space="preserve">(Pass)  
</t>
    </r>
    <r>
      <rPr>
        <strike/>
        <sz val="12"/>
        <color rgb="FF000000"/>
        <rFont val="Aptos Narrow"/>
        <scheme val="minor"/>
      </rPr>
      <t xml:space="preserve">- FOMOBO : 16 Skenario </t>
    </r>
    <r>
      <rPr>
        <i/>
        <strike/>
        <sz val="12"/>
        <color rgb="FF000000"/>
        <rFont val="Aptos Narrow"/>
        <scheme val="minor"/>
      </rPr>
      <t>(PASS)
-</t>
    </r>
    <r>
      <rPr>
        <strike/>
        <sz val="12"/>
        <color rgb="FF000000"/>
        <rFont val="Aptos Narrow"/>
        <scheme val="minor"/>
      </rPr>
      <t xml:space="preserve"> BIWEB : 14 Skeaniro </t>
    </r>
    <r>
      <rPr>
        <i/>
        <strike/>
        <sz val="12"/>
        <color rgb="FF000000"/>
        <rFont val="Aptos Narrow"/>
        <scheme val="minor"/>
      </rPr>
      <t xml:space="preserve">(PASS)
Pengujian SIT sudah selesai dilaksanakan, hanya tinggal dokumen pre-requesite yang harus di lengkapi
</t>
    </r>
    <r>
      <rPr>
        <strike/>
        <sz val="12"/>
        <color rgb="FF000000"/>
        <rFont val="Aptos Narrow"/>
        <scheme val="minor"/>
      </rPr>
      <t>9. Senin 17 Nov , dilakasanakan Pengujian UAT Decom Jibor, Dengan total ada 45 Skenario 
10. Jumat 28 Nov, telah selesai UAT untuk ketiga aplikasi
11. Rabu 10 Des, sudah disampaikan laporan UAT
12. Rencana proses implementasi: 
(a) LBUT: 13 dan 31 Desember 2025 (</t>
    </r>
    <r>
      <rPr>
        <b/>
        <strike/>
        <sz val="12"/>
        <color rgb="FF000000"/>
        <rFont val="Aptos Narrow"/>
        <scheme val="minor"/>
      </rPr>
      <t>Done</t>
    </r>
    <r>
      <rPr>
        <strike/>
        <sz val="12"/>
        <color rgb="FF000000"/>
        <rFont val="Aptos Narrow"/>
        <scheme val="minor"/>
      </rPr>
      <t>)
(b) BI-WEB: 19 - 20 Desember 2025 (</t>
    </r>
    <r>
      <rPr>
        <b/>
        <strike/>
        <sz val="12"/>
        <color rgb="FF000000"/>
        <rFont val="Aptos Narrow"/>
        <scheme val="minor"/>
      </rPr>
      <t>Done</t>
    </r>
    <r>
      <rPr>
        <strike/>
        <sz val="12"/>
        <color rgb="FF000000"/>
        <rFont val="Aptos Narrow"/>
        <scheme val="minor"/>
      </rPr>
      <t>)
(c) FOMOBO: 18 Des 2025 - 1 Jan 2026 (</t>
    </r>
    <r>
      <rPr>
        <b/>
        <strike/>
        <sz val="12"/>
        <color rgb="FF000000"/>
        <rFont val="Aptos Narrow"/>
        <scheme val="minor"/>
      </rPr>
      <t>Done</t>
    </r>
    <r>
      <rPr>
        <strike/>
        <sz val="12"/>
        <color rgb="FF000000"/>
        <rFont val="Aptos Narrow"/>
        <scheme val="minor"/>
      </rPr>
      <t xml:space="preserve">)
</t>
    </r>
    <r>
      <rPr>
        <sz val="12"/>
        <color rgb="FF000000"/>
        <rFont val="Aptos Narrow"/>
        <scheme val="minor"/>
      </rPr>
      <t>12. Go-Live 1 Jan 2025</t>
    </r>
  </si>
  <si>
    <r>
      <rPr>
        <b/>
        <sz val="12"/>
        <color rgb="FF000000"/>
        <rFont val="Aptos Narrow"/>
        <scheme val="minor"/>
      </rPr>
      <t>On-Progress.
1. Pemetaan terkait Fungsi yang dikembangkan (</t>
    </r>
    <r>
      <rPr>
        <b/>
        <sz val="12"/>
        <color rgb="FFFFC000"/>
        <rFont val="Aptos Narrow"/>
        <scheme val="minor"/>
      </rPr>
      <t>In Progress</t>
    </r>
    <r>
      <rPr>
        <b/>
        <sz val="12"/>
        <color rgb="FF000000"/>
        <rFont val="Aptos Narrow"/>
        <scheme val="minor"/>
      </rPr>
      <t xml:space="preserve">)
2. Mulai penyusunan RBB dan RBL oleh DPSP di M1 Desember, Target Januari </t>
    </r>
    <r>
      <rPr>
        <sz val="12"/>
        <color rgb="FF000000"/>
        <rFont val="Aptos Narrow"/>
        <scheme val="minor"/>
      </rPr>
      <t>(</t>
    </r>
    <r>
      <rPr>
        <b/>
        <sz val="12"/>
        <color rgb="FFFFC000"/>
        <rFont val="Aptos Narrow"/>
        <scheme val="minor"/>
      </rPr>
      <t>In Progress</t>
    </r>
    <r>
      <rPr>
        <sz val="12"/>
        <color rgb="FF000000"/>
        <rFont val="Aptos Narrow"/>
        <scheme val="minor"/>
      </rPr>
      <t xml:space="preserve">)
</t>
    </r>
    <r>
      <rPr>
        <b/>
        <sz val="12"/>
        <color rgb="FF000000"/>
        <rFont val="Aptos Narrow"/>
        <scheme val="minor"/>
      </rPr>
      <t xml:space="preserve">3. Hasil pemetaan dari kemenkeu akan disampaikan di Januari 2026  </t>
    </r>
    <r>
      <rPr>
        <sz val="12"/>
        <color rgb="FF000000"/>
        <rFont val="Aptos Narrow"/>
        <scheme val="minor"/>
      </rPr>
      <t>(</t>
    </r>
    <r>
      <rPr>
        <b/>
        <sz val="12"/>
        <color rgb="FFFFC000"/>
        <rFont val="Aptos Narrow"/>
        <scheme val="minor"/>
      </rPr>
      <t>In Progress</t>
    </r>
    <r>
      <rPr>
        <sz val="12"/>
        <color rgb="FF000000"/>
        <rFont val="Aptos Narrow"/>
        <scheme val="minor"/>
      </rPr>
      <t xml:space="preserve">)
</t>
    </r>
    <r>
      <rPr>
        <b/>
        <sz val="12"/>
        <color rgb="FF000000"/>
        <rFont val="Aptos Narrow"/>
        <scheme val="minor"/>
      </rPr>
      <t>4. M4 Januari rencana Konsinyering Penyusunan RBT</t>
    </r>
  </si>
  <si>
    <r>
      <rPr>
        <b/>
        <sz val="11"/>
        <color rgb="FF000000"/>
        <rFont val="Aptos Narrow"/>
        <scheme val="minor"/>
      </rPr>
      <t xml:space="preserve">Status:
</t>
    </r>
    <r>
      <rPr>
        <sz val="11"/>
        <color rgb="FF000000"/>
        <rFont val="Aptos Narrow"/>
        <scheme val="minor"/>
      </rPr>
      <t xml:space="preserve">1. KAK masih disusun </t>
    </r>
    <r>
      <rPr>
        <b/>
        <sz val="11"/>
        <color rgb="FFFFC000"/>
        <rFont val="Aptos Narrow"/>
        <scheme val="minor"/>
      </rPr>
      <t xml:space="preserve">(On Progress)
</t>
    </r>
    <r>
      <rPr>
        <sz val="11"/>
        <color rgb="FF000000"/>
        <rFont val="Aptos Narrow"/>
        <scheme val="minor"/>
      </rPr>
      <t xml:space="preserve">2. Paralel sedang meminta sizing kebutuhan untuk solusi API </t>
    </r>
    <r>
      <rPr>
        <b/>
        <sz val="11"/>
        <color rgb="FFFFC000"/>
        <rFont val="Aptos Narrow"/>
        <scheme val="minor"/>
      </rPr>
      <t xml:space="preserve">(On Progress)
</t>
    </r>
    <r>
      <rPr>
        <sz val="11"/>
        <color rgb="FF000000"/>
        <rFont val="Aptos Narrow"/>
        <scheme val="minor"/>
      </rPr>
      <t xml:space="preserve">3. POC API Security </t>
    </r>
    <r>
      <rPr>
        <b/>
        <sz val="11"/>
        <color rgb="FFFFC000"/>
        <rFont val="Aptos Narrow"/>
        <scheme val="minor"/>
      </rPr>
      <t xml:space="preserve">(On Progress)
</t>
    </r>
    <r>
      <rPr>
        <b/>
        <sz val="11"/>
        <color rgb="FF000000"/>
        <rFont val="Aptos Narrow"/>
        <scheme val="minor"/>
      </rPr>
      <t xml:space="preserve">
Next Action:
</t>
    </r>
    <r>
      <rPr>
        <sz val="11"/>
        <color rgb="FF000000"/>
        <rFont val="Aptos Narrow"/>
        <scheme val="minor"/>
      </rPr>
      <t>1. Meeting dgn DIDD &amp; DKSP bahas sizing (target M5 Januari 2026)
2. DKSP kirim memo terkait kebutuhan sizing &amp; kebutuhan 
3. Finalisasi KAK
4. Sirkular KAK oleh Ka. GKKS
5. M01 KAK ke MKA</t>
    </r>
  </si>
  <si>
    <r>
      <rPr>
        <sz val="11"/>
        <color rgb="FF000000"/>
        <rFont val="Aptos Narrow"/>
        <scheme val="minor"/>
      </rPr>
      <t xml:space="preserve">Progress:
</t>
    </r>
    <r>
      <rPr>
        <strike/>
        <sz val="11"/>
        <color rgb="FF000000"/>
        <rFont val="Aptos Narrow"/>
        <scheme val="minor"/>
      </rPr>
      <t xml:space="preserve">1. KAK proses sirkulasi oleh Ka. DLDS </t>
    </r>
    <r>
      <rPr>
        <b/>
        <strike/>
        <sz val="11"/>
        <color rgb="FF000000"/>
        <rFont val="Aptos Narrow"/>
        <scheme val="minor"/>
      </rPr>
      <t xml:space="preserve">(DONE)
</t>
    </r>
    <r>
      <rPr>
        <strike/>
        <sz val="11"/>
        <color rgb="FF000000"/>
        <rFont val="Aptos Narrow"/>
        <scheme val="minor"/>
      </rPr>
      <t xml:space="preserve">2. KAK kirim ke MKA </t>
    </r>
    <r>
      <rPr>
        <b/>
        <strike/>
        <sz val="11"/>
        <color rgb="FF000000"/>
        <rFont val="Aptos Narrow"/>
        <scheme val="minor"/>
      </rPr>
      <t xml:space="preserve">(DONE)
</t>
    </r>
    <r>
      <rPr>
        <strike/>
        <sz val="11"/>
        <color rgb="FF000000"/>
        <rFont val="Aptos Narrow"/>
        <scheme val="minor"/>
      </rPr>
      <t xml:space="preserve">3. Pengadaan di DMAP: Proses klarifikasi KAK dan Evaluasi RAB </t>
    </r>
    <r>
      <rPr>
        <b/>
        <strike/>
        <sz val="11"/>
        <color rgb="FF000000"/>
        <rFont val="Aptos Narrow"/>
        <scheme val="minor"/>
      </rPr>
      <t xml:space="preserve">(DONE)
</t>
    </r>
    <r>
      <rPr>
        <b/>
        <sz val="11"/>
        <color rgb="FF000000"/>
        <rFont val="Aptos Narrow"/>
        <scheme val="minor"/>
      </rPr>
      <t xml:space="preserve">
Next Action:
</t>
    </r>
    <r>
      <rPr>
        <sz val="11"/>
        <color rgb="FF000000"/>
        <rFont val="Aptos Narrow"/>
        <scheme val="minor"/>
      </rPr>
      <t xml:space="preserve">1. Proses pemenuhan RFI oleh BP </t>
    </r>
    <r>
      <rPr>
        <b/>
        <sz val="11"/>
        <color rgb="FFFFC000"/>
        <rFont val="Aptos Narrow"/>
        <scheme val="minor"/>
      </rPr>
      <t xml:space="preserve">(On Progress)
</t>
    </r>
    <r>
      <rPr>
        <sz val="11"/>
        <color rgb="FF000000"/>
        <rFont val="Aptos Narrow"/>
        <scheme val="minor"/>
      </rPr>
      <t xml:space="preserve">2. Penyusunan Izin Prinsip di APS </t>
    </r>
    <r>
      <rPr>
        <b/>
        <sz val="11"/>
        <color rgb="FF00B0F0"/>
        <rFont val="Aptos Narrow"/>
        <scheme val="minor"/>
      </rPr>
      <t xml:space="preserve">(To Do)
</t>
    </r>
    <r>
      <rPr>
        <sz val="11"/>
        <color rgb="FF000000"/>
        <rFont val="Aptos Narrow"/>
        <scheme val="minor"/>
      </rPr>
      <t xml:space="preserve">
Note: SP3 di 20 Maret 2026</t>
    </r>
  </si>
  <si>
    <r>
      <rPr>
        <b/>
        <sz val="11"/>
        <color rgb="FF000000"/>
        <rFont val="Aptos Narrow"/>
        <scheme val="minor"/>
      </rPr>
      <t xml:space="preserve">Status:
</t>
    </r>
    <r>
      <rPr>
        <strike/>
        <sz val="11"/>
        <color rgb="FF000000"/>
        <rFont val="Aptos Narrow"/>
        <scheme val="minor"/>
      </rPr>
      <t xml:space="preserve">1. Proses persetujuan izin prinsip </t>
    </r>
    <r>
      <rPr>
        <b/>
        <strike/>
        <sz val="11"/>
        <color rgb="FF92D050"/>
        <rFont val="Aptos Narrow"/>
        <scheme val="minor"/>
      </rPr>
      <t xml:space="preserve">(DONE)
</t>
    </r>
    <r>
      <rPr>
        <strike/>
        <sz val="11"/>
        <color rgb="FF000000"/>
        <rFont val="Aptos Narrow"/>
        <scheme val="minor"/>
      </rPr>
      <t xml:space="preserve">2. Aanwidzing di divisi PBS </t>
    </r>
    <r>
      <rPr>
        <b/>
        <strike/>
        <sz val="11"/>
        <color rgb="FF92D050"/>
        <rFont val="Aptos Narrow"/>
        <scheme val="minor"/>
      </rPr>
      <t xml:space="preserve">(DONE)
</t>
    </r>
    <r>
      <rPr>
        <b/>
        <sz val="11"/>
        <color rgb="FF000000"/>
        <rFont val="Aptos Narrow"/>
        <scheme val="minor"/>
      </rPr>
      <t xml:space="preserve">
Next Action:
</t>
    </r>
    <r>
      <rPr>
        <sz val="11"/>
        <color rgb="FF000000"/>
        <rFont val="Aptos Narrow"/>
        <scheme val="minor"/>
      </rPr>
      <t xml:space="preserve">1. Submit dokumen teknis </t>
    </r>
    <r>
      <rPr>
        <b/>
        <sz val="11"/>
        <color rgb="FFFFC000"/>
        <rFont val="Aptos Narrow"/>
        <scheme val="minor"/>
      </rPr>
      <t>(On Progress)</t>
    </r>
    <r>
      <rPr>
        <sz val="11"/>
        <color rgb="FF000000"/>
        <rFont val="Aptos Narrow"/>
        <scheme val="minor"/>
      </rPr>
      <t xml:space="preserve"> 
2. Evaluasi dokumen teknis </t>
    </r>
    <r>
      <rPr>
        <b/>
        <sz val="11"/>
        <color rgb="FF00B0F0"/>
        <rFont val="Aptos Narrow"/>
        <scheme val="minor"/>
      </rPr>
      <t xml:space="preserve">(To Do)
</t>
    </r>
    <r>
      <rPr>
        <b/>
        <sz val="11"/>
        <color rgb="FF000000"/>
        <rFont val="Aptos Narrow"/>
        <scheme val="minor"/>
      </rPr>
      <t xml:space="preserve">
</t>
    </r>
    <r>
      <rPr>
        <sz val="11"/>
        <color rgb="FF000000"/>
        <rFont val="Aptos Narrow"/>
        <scheme val="minor"/>
      </rPr>
      <t>Note: Target SPPP di 13 Maret 2026</t>
    </r>
  </si>
  <si>
    <t>1. Belum dimulai karna target RBT masih di TW2</t>
  </si>
  <si>
    <t xml:space="preserve">1. Belum ada pembahasan intensif terkait proyeknya, namun rencananya di akhir bulan akan diinisiasi untuk draft dokumen RBT nya
2. Secara proyek termaksud "technology driven" dimana secara kebutuhan akan dibuatkan melalui DLDS
</t>
  </si>
  <si>
    <t>1. Secara pengujian dan development telah dilaksanakan, perlu ada meeting terakhir untuk memantau data yang telah dialirkan baik dari OJK-DLDS-DIDD (Kemungkinan di Awal bulan Februari)
2. Secara persiapan implementasi DLDS sedang menyiapkan dokumen RFC dan Juknisnya, akan dijadwalkan di awal Fenruari untuk Go-Live</t>
  </si>
  <si>
    <r>
      <rPr>
        <b/>
        <sz val="11"/>
        <color rgb="FF000000"/>
        <rFont val="Aptos Narrow"/>
        <scheme val="minor"/>
      </rPr>
      <t xml:space="preserve">Progress: 
</t>
    </r>
    <r>
      <rPr>
        <strike/>
        <sz val="11"/>
        <color rgb="FF000000"/>
        <rFont val="Aptos Narrow"/>
        <scheme val="minor"/>
      </rPr>
      <t>1. SPPP telah terbit pada tanggal 29 Juli 2025</t>
    </r>
    <r>
      <rPr>
        <b/>
        <strike/>
        <sz val="11"/>
        <color rgb="FF000000"/>
        <rFont val="Aptos Narrow"/>
        <scheme val="minor"/>
      </rPr>
      <t xml:space="preserve"> (DONE)
</t>
    </r>
    <r>
      <rPr>
        <strike/>
        <sz val="11"/>
        <color rgb="FF000000"/>
        <rFont val="Aptos Narrow"/>
        <scheme val="minor"/>
      </rPr>
      <t xml:space="preserve">2. Surat pemberitahuan penyediaan barang terbit tanggal 4 Agustus 2025 </t>
    </r>
    <r>
      <rPr>
        <b/>
        <strike/>
        <sz val="11"/>
        <color rgb="FF000000"/>
        <rFont val="Aptos Narrow"/>
        <scheme val="minor"/>
      </rPr>
      <t xml:space="preserve">(DONE)
</t>
    </r>
    <r>
      <rPr>
        <strike/>
        <sz val="11"/>
        <color rgb="FF000000"/>
        <rFont val="Aptos Narrow"/>
        <scheme val="minor"/>
      </rPr>
      <t xml:space="preserve">3. Kick of Meeting </t>
    </r>
    <r>
      <rPr>
        <b/>
        <strike/>
        <sz val="11"/>
        <color rgb="FF000000"/>
        <rFont val="Aptos Narrow"/>
        <scheme val="minor"/>
      </rPr>
      <t xml:space="preserve">(DONE)
</t>
    </r>
    <r>
      <rPr>
        <strike/>
        <sz val="11"/>
        <color rgb="FF000000"/>
        <rFont val="Aptos Narrow"/>
        <scheme val="minor"/>
      </rPr>
      <t>4. Diskusi LLD dengan vendor - rencana di tgl 18 september 2025 (</t>
    </r>
    <r>
      <rPr>
        <b/>
        <strike/>
        <sz val="11"/>
        <color rgb="FF000000"/>
        <rFont val="Aptos Narrow"/>
        <scheme val="minor"/>
      </rPr>
      <t xml:space="preserve">DONE)
</t>
    </r>
    <r>
      <rPr>
        <strike/>
        <sz val="11"/>
        <color rgb="FF000000"/>
        <rFont val="Aptos Narrow"/>
        <scheme val="minor"/>
      </rPr>
      <t xml:space="preserve">5. Delivery barang sampai ke SPU &amp; DKU di W4/W5 september 2025 </t>
    </r>
    <r>
      <rPr>
        <b/>
        <strike/>
        <sz val="11"/>
        <color rgb="FF000000"/>
        <rFont val="Aptos Narrow"/>
        <scheme val="minor"/>
      </rPr>
      <t xml:space="preserve">(DONE)
</t>
    </r>
    <r>
      <rPr>
        <strike/>
        <sz val="11"/>
        <color rgb="FF000000"/>
        <rFont val="Aptos Narrow"/>
        <scheme val="minor"/>
      </rPr>
      <t xml:space="preserve">6. Pengecekan barang di DKU </t>
    </r>
    <r>
      <rPr>
        <b/>
        <strike/>
        <sz val="11"/>
        <color rgb="FF000000"/>
        <rFont val="Aptos Narrow"/>
        <scheme val="minor"/>
      </rPr>
      <t xml:space="preserve">(DONE - 22 s.d 23 Sep 2025)
</t>
    </r>
    <r>
      <rPr>
        <strike/>
        <sz val="11"/>
        <color rgb="FF000000"/>
        <rFont val="Aptos Narrow"/>
        <scheme val="minor"/>
      </rPr>
      <t>7. Pengecekan perangkat di SPU</t>
    </r>
    <r>
      <rPr>
        <b/>
        <strike/>
        <sz val="11"/>
        <color rgb="FF000000"/>
        <rFont val="Aptos Narrow"/>
        <scheme val="minor"/>
      </rPr>
      <t xml:space="preserve"> (DONE - 29 Sep 2025)
</t>
    </r>
    <r>
      <rPr>
        <strike/>
        <sz val="11"/>
        <color rgb="FF000000"/>
        <rFont val="Aptos Narrow"/>
        <scheme val="minor"/>
      </rPr>
      <t xml:space="preserve">8. BAP Penyediaan Barang oleh UKPS </t>
    </r>
    <r>
      <rPr>
        <b/>
        <strike/>
        <sz val="11"/>
        <color rgb="FF000000"/>
        <rFont val="Aptos Narrow"/>
        <scheme val="minor"/>
      </rPr>
      <t xml:space="preserve">(DONE - 30 Okt 2025)
</t>
    </r>
    <r>
      <rPr>
        <strike/>
        <sz val="11"/>
        <color rgb="FF000000"/>
        <rFont val="Aptos Narrow"/>
        <scheme val="minor"/>
      </rPr>
      <t>9. Instalasi perangkat NGFW di DKU</t>
    </r>
    <r>
      <rPr>
        <b/>
        <strike/>
        <sz val="11"/>
        <color rgb="FF000000"/>
        <rFont val="Aptos Narrow"/>
        <scheme val="minor"/>
      </rPr>
      <t xml:space="preserve"> (DONE)
</t>
    </r>
    <r>
      <rPr>
        <strike/>
        <sz val="11"/>
        <color rgb="FF000000"/>
        <rFont val="Aptos Narrow"/>
        <scheme val="minor"/>
      </rPr>
      <t xml:space="preserve">10. 5 Nov 2025, UKPS telah mengirimkan BAP &amp; BAK ke MKA </t>
    </r>
    <r>
      <rPr>
        <b/>
        <strike/>
        <sz val="11"/>
        <color rgb="FF000000"/>
        <rFont val="Aptos Narrow"/>
        <scheme val="minor"/>
      </rPr>
      <t xml:space="preserve">(DONE)  
</t>
    </r>
    <r>
      <rPr>
        <strike/>
        <sz val="11"/>
        <color rgb="FF000000"/>
        <rFont val="Aptos Narrow"/>
        <scheme val="minor"/>
      </rPr>
      <t xml:space="preserve">11. Site survey di SPU </t>
    </r>
    <r>
      <rPr>
        <b/>
        <strike/>
        <sz val="11"/>
        <color rgb="FF000000"/>
        <rFont val="Aptos Narrow"/>
        <scheme val="minor"/>
      </rPr>
      <t xml:space="preserve">(DONE)
</t>
    </r>
    <r>
      <rPr>
        <strike/>
        <sz val="11"/>
        <color rgb="FF000000"/>
        <rFont val="Aptos Narrow"/>
        <scheme val="minor"/>
      </rPr>
      <t xml:space="preserve">12. UAT perangkat NGFW di DKUT  - 26 - 28 Nov 2025  </t>
    </r>
    <r>
      <rPr>
        <b/>
        <strike/>
        <sz val="11"/>
        <color rgb="FF000000"/>
        <rFont val="Aptos Narrow"/>
        <scheme val="minor"/>
      </rPr>
      <t xml:space="preserve">(DONE)
</t>
    </r>
    <r>
      <rPr>
        <strike/>
        <sz val="11"/>
        <color rgb="FF000000"/>
        <rFont val="Aptos Narrow"/>
        <scheme val="minor"/>
      </rPr>
      <t>13. Penerbitan Surat Implementasi DKU oleh UKPS - 4 Nov 2025</t>
    </r>
    <r>
      <rPr>
        <b/>
        <strike/>
        <sz val="11"/>
        <color rgb="FF000000"/>
        <rFont val="Aptos Narrow"/>
        <scheme val="minor"/>
      </rPr>
      <t xml:space="preserve"> (DONE) 
</t>
    </r>
    <r>
      <rPr>
        <strike/>
        <sz val="11"/>
        <color rgb="FF000000"/>
        <rFont val="Aptos Narrow"/>
        <scheme val="minor"/>
      </rPr>
      <t xml:space="preserve">14. Instalasi perangkat NGFW di SPU </t>
    </r>
    <r>
      <rPr>
        <b/>
        <strike/>
        <sz val="11"/>
        <color rgb="FF92D050"/>
        <rFont val="Aptos Narrow"/>
        <scheme val="minor"/>
      </rPr>
      <t xml:space="preserve">(DONE)
</t>
    </r>
    <r>
      <rPr>
        <strike/>
        <sz val="11"/>
        <color rgb="FF000000"/>
        <rFont val="Aptos Narrow"/>
        <scheme val="minor"/>
      </rPr>
      <t xml:space="preserve">15. Proses Pembayaran Penyediaan Barang oleh TMI untuk penyediaan barang DKU &amp; SPU </t>
    </r>
    <r>
      <rPr>
        <b/>
        <strike/>
        <sz val="11"/>
        <color rgb="FF92D050"/>
        <rFont val="Aptos Narrow"/>
        <scheme val="minor"/>
      </rPr>
      <t xml:space="preserve">(DONE)
</t>
    </r>
    <r>
      <rPr>
        <strike/>
        <sz val="11"/>
        <color rgb="FF000000"/>
        <rFont val="Aptos Narrow"/>
        <scheme val="minor"/>
      </rPr>
      <t>16. Finalisasi BAP Implementasi &amp; BAST NGFW MHE DKU</t>
    </r>
    <r>
      <rPr>
        <b/>
        <strike/>
        <sz val="11"/>
        <color rgb="FF000000"/>
        <rFont val="Aptos Narrow"/>
        <scheme val="minor"/>
      </rPr>
      <t xml:space="preserve"> </t>
    </r>
    <r>
      <rPr>
        <b/>
        <strike/>
        <sz val="11"/>
        <color rgb="FF92D050"/>
        <rFont val="Aptos Narrow"/>
        <scheme val="minor"/>
      </rPr>
      <t xml:space="preserve">(DONE)
</t>
    </r>
    <r>
      <rPr>
        <sz val="11"/>
        <color rgb="FF000000"/>
        <rFont val="Aptos Narrow"/>
        <scheme val="minor"/>
      </rPr>
      <t xml:space="preserve">17. UAT NGFW MHE untuk Gedung DKU - (21 - 22 Jan 2026) </t>
    </r>
    <r>
      <rPr>
        <b/>
        <sz val="11"/>
        <color rgb="FF92D050"/>
        <rFont val="Aptos Narrow"/>
        <scheme val="minor"/>
      </rPr>
      <t xml:space="preserve">(DONE)
</t>
    </r>
    <r>
      <rPr>
        <sz val="11"/>
        <color rgb="FF000000"/>
        <rFont val="Aptos Narrow"/>
        <scheme val="minor"/>
      </rPr>
      <t xml:space="preserve">18. Penerbitan Surat Implementasi SPU oleh UKPS </t>
    </r>
    <r>
      <rPr>
        <b/>
        <sz val="11"/>
        <color rgb="FF92D050"/>
        <rFont val="Aptos Narrow"/>
        <scheme val="minor"/>
      </rPr>
      <t xml:space="preserve">(DONE)
</t>
    </r>
    <r>
      <rPr>
        <sz val="11"/>
        <color rgb="FF000000"/>
        <rFont val="Aptos Narrow"/>
        <scheme val="minor"/>
      </rPr>
      <t xml:space="preserve">19. Sirkular BAI DKU </t>
    </r>
    <r>
      <rPr>
        <b/>
        <sz val="11"/>
        <color rgb="FF8ED973"/>
        <rFont val="Aptos Narrow"/>
        <scheme val="minor"/>
      </rPr>
      <t xml:space="preserve"> (DONE)
</t>
    </r>
    <r>
      <rPr>
        <b/>
        <sz val="11"/>
        <color rgb="FF000000"/>
        <rFont val="Aptos Narrow"/>
        <scheme val="minor"/>
      </rPr>
      <t xml:space="preserve">Next Action:
</t>
    </r>
    <r>
      <rPr>
        <sz val="11"/>
        <color rgb="FF000000"/>
        <rFont val="Aptos Narrow"/>
        <scheme val="minor"/>
      </rPr>
      <t xml:space="preserve">1. Kirim BAI &amp; BAST ke MKA </t>
    </r>
    <r>
      <rPr>
        <b/>
        <sz val="11"/>
        <color rgb="FF00B0F0"/>
        <rFont val="Aptos Narrow"/>
        <scheme val="minor"/>
      </rPr>
      <t xml:space="preserve">(To Do)
</t>
    </r>
    <r>
      <rPr>
        <sz val="11"/>
        <color rgb="FF000000"/>
        <rFont val="Aptos Narrow"/>
        <scheme val="minor"/>
      </rPr>
      <t xml:space="preserve">2. Sirkular BAST DKU </t>
    </r>
    <r>
      <rPr>
        <b/>
        <sz val="11"/>
        <color rgb="FFFFC000"/>
        <rFont val="Aptos Narrow"/>
        <scheme val="minor"/>
      </rPr>
      <t xml:space="preserve">(On Progress)
</t>
    </r>
    <r>
      <rPr>
        <sz val="11"/>
        <color rgb="FF000000"/>
        <rFont val="Aptos Narrow"/>
        <scheme val="minor"/>
      </rPr>
      <t xml:space="preserve">3. Penyusunan BAI &amp; BAST NGFW SPU oleh UKPS </t>
    </r>
    <r>
      <rPr>
        <b/>
        <sz val="11"/>
        <color rgb="FFFFC000"/>
        <rFont val="Aptos Narrow"/>
        <scheme val="minor"/>
      </rPr>
      <t>(On Progress)</t>
    </r>
  </si>
  <si>
    <t>1. Secarra perubahan flow bisnis adalah Perubahan pengaliran dari BAPPEBTI ke Pelapor Langsung (FSR)(134 Pelapor)
2. Secara konfigurasi sudah terdeploy di environment production, target industrial test diakhir bulan januari (saat ini masih berjalan) dan go-live di bulan Februari</t>
  </si>
  <si>
    <r>
      <rPr>
        <b/>
        <sz val="12"/>
        <rFont val="Aptos Narrow"/>
        <family val="2"/>
        <scheme val="minor"/>
      </rPr>
      <t xml:space="preserve">Progres Terkini:
</t>
    </r>
    <r>
      <rPr>
        <sz val="12"/>
        <rFont val="Aptos Narrow"/>
        <family val="2"/>
        <scheme val="minor"/>
      </rPr>
      <t xml:space="preserve">Telah dilakukan deployment pada 9 Januari 2025 </t>
    </r>
  </si>
  <si>
    <r>
      <rPr>
        <b/>
        <sz val="11"/>
        <color rgb="FF000000"/>
        <rFont val="Aptos Narrow"/>
      </rPr>
      <t xml:space="preserve">Progress:
</t>
    </r>
    <r>
      <rPr>
        <strike/>
        <sz val="11"/>
        <color rgb="FF000000"/>
        <rFont val="Aptos Narrow"/>
      </rPr>
      <t xml:space="preserve">1. RBT (100%)
2. RPP (100%)
</t>
    </r>
    <r>
      <rPr>
        <sz val="11"/>
        <color rgb="FF000000"/>
        <rFont val="Aptos Narrow"/>
      </rPr>
      <t xml:space="preserve">3. KAK (100%)
</t>
    </r>
    <r>
      <rPr>
        <b/>
        <sz val="11"/>
        <color rgb="FF000000"/>
        <rFont val="Aptos Narrow"/>
      </rPr>
      <t xml:space="preserve">Next Action:
</t>
    </r>
    <r>
      <rPr>
        <sz val="11"/>
        <color rgb="FF000000"/>
        <rFont val="Aptos Narrow"/>
      </rPr>
      <t xml:space="preserve">1. Penyerahan KAK dari MKA ke DMAP </t>
    </r>
    <r>
      <rPr>
        <b/>
        <sz val="11"/>
        <color rgb="FF00B0F0"/>
        <rFont val="Aptos Narrow"/>
      </rPr>
      <t xml:space="preserve">(To Do)
</t>
    </r>
    <r>
      <rPr>
        <sz val="11"/>
        <color rgb="FF000000"/>
        <rFont val="Aptos Narrow"/>
      </rPr>
      <t xml:space="preserve">2. Pengadaan </t>
    </r>
    <r>
      <rPr>
        <b/>
        <sz val="11"/>
        <color rgb="FF00B0F0"/>
        <rFont val="Aptos Narrow"/>
      </rPr>
      <t xml:space="preserve">(To Do)
</t>
    </r>
    <r>
      <rPr>
        <b/>
        <sz val="11"/>
        <color rgb="FF000000"/>
        <rFont val="Aptos Narrow"/>
      </rPr>
      <t xml:space="preserve">Note: 
</t>
    </r>
    <r>
      <rPr>
        <sz val="11"/>
        <color rgb="FF000000"/>
        <rFont val="Aptos Narrow"/>
      </rPr>
      <t>RBT ADG Bidang 3 (DONE) - 7 Okt 2025</t>
    </r>
  </si>
  <si>
    <t>1. Secara pemantauan RIVIBI di KMPPD, proyek ini awalnya memiliki timeline mulai April - Desember 2025 (RBT selesai di Juni). Namun dengan dinamika yang terjadi,  akan diusulkan penyesuaian proyek ini menjadi April 2025 - Februari 2026 (RBT selesai di Agustus). 
2. End of life dari protokol TOF yang digunakan Calypso adalah Maret 2027. Namun LSEG direquire untuk segera mendeliver FIX credential yang digunakan saat data trade masuk dari trading platform (FXT/Eikon) ke FOMOBO.
3. Pelaksanaan Rapat Kordinasi sudah dilaksanakan tanggal 17 September 2025
4.  Secara proyek  timeline yang terdaftar di WO  Desain : 3-14 November
Development : 17 November - 23 Januari 2026
SIT 26 januari - 6 februari
UAT 9 - 20 Februari
Persiapan Implementasi Deployment  23-27 Februari 2026
Go-Live 2-13 Maret 2026
5. Saat ini behind schedule karna seharusnya tanggal 26 sudah mulai SIT, namun sampai tanggal 27 UT masih menyisakan 1 skenario WIP. Dimana fixing nya menunggu codingan dari principal, target sendiri SIT baru dapat mulai di tanggal 28</t>
  </si>
  <si>
    <r>
      <rPr>
        <b/>
        <sz val="11"/>
        <color rgb="FF000000"/>
        <rFont val="Aptos Narrow"/>
        <scheme val="minor"/>
      </rPr>
      <t xml:space="preserve">Status: 
</t>
    </r>
    <r>
      <rPr>
        <strike/>
        <sz val="11"/>
        <color rgb="FF000000"/>
        <rFont val="Aptos Narrow"/>
        <scheme val="minor"/>
      </rPr>
      <t xml:space="preserve">1. Pengadaan -&gt; Tahapan Izin Prinsip Pengadaan oleh DMAP </t>
    </r>
    <r>
      <rPr>
        <b/>
        <strike/>
        <sz val="11"/>
        <color rgb="FF92D050"/>
        <rFont val="Aptos Narrow"/>
        <scheme val="minor"/>
      </rPr>
      <t xml:space="preserve">(DONE)
</t>
    </r>
    <r>
      <rPr>
        <strike/>
        <sz val="11"/>
        <color rgb="FF000000"/>
        <rFont val="Aptos Narrow"/>
        <scheme val="minor"/>
      </rPr>
      <t xml:space="preserve">2. Klarifikasi hasil negosiasi </t>
    </r>
    <r>
      <rPr>
        <b/>
        <strike/>
        <sz val="11"/>
        <color rgb="FF92D050"/>
        <rFont val="Aptos Narrow"/>
        <scheme val="minor"/>
      </rPr>
      <t xml:space="preserve">(DONE)
</t>
    </r>
    <r>
      <rPr>
        <strike/>
        <sz val="11"/>
        <color rgb="FF000000"/>
        <rFont val="Aptos Narrow"/>
        <scheme val="minor"/>
      </rPr>
      <t xml:space="preserve">3. persetujuan pemberitahuan pemenang </t>
    </r>
    <r>
      <rPr>
        <b/>
        <strike/>
        <sz val="11"/>
        <color rgb="FF92D050"/>
        <rFont val="Aptos Narrow"/>
        <scheme val="minor"/>
      </rPr>
      <t xml:space="preserve">(DONE)
</t>
    </r>
    <r>
      <rPr>
        <strike/>
        <sz val="11"/>
        <color rgb="FF000000"/>
        <rFont val="Aptos Narrow"/>
        <scheme val="minor"/>
      </rPr>
      <t xml:space="preserve">4. Penerbitan SPPP - 29 Oktober 2025 </t>
    </r>
    <r>
      <rPr>
        <b/>
        <strike/>
        <sz val="11"/>
        <color rgb="FF92D050"/>
        <rFont val="Aptos Narrow"/>
        <scheme val="minor"/>
      </rPr>
      <t xml:space="preserve">(DONE)
</t>
    </r>
    <r>
      <rPr>
        <strike/>
        <sz val="11"/>
        <color rgb="FF000000"/>
        <rFont val="Aptos Narrow"/>
        <scheme val="minor"/>
      </rPr>
      <t xml:space="preserve">5.  Kick off Meeting - 5 Nov 2025 </t>
    </r>
    <r>
      <rPr>
        <b/>
        <strike/>
        <sz val="11"/>
        <color rgb="FF92D050"/>
        <rFont val="Aptos Narrow"/>
        <scheme val="minor"/>
      </rPr>
      <t xml:space="preserve">(DONE)
</t>
    </r>
    <r>
      <rPr>
        <strike/>
        <sz val="11"/>
        <color rgb="FF000000"/>
        <rFont val="Aptos Narrow"/>
        <scheme val="minor"/>
      </rPr>
      <t>6.</t>
    </r>
    <r>
      <rPr>
        <b/>
        <strike/>
        <sz val="11"/>
        <color rgb="FF000000"/>
        <rFont val="Aptos Narrow"/>
        <scheme val="minor"/>
      </rPr>
      <t xml:space="preserve">  </t>
    </r>
    <r>
      <rPr>
        <strike/>
        <sz val="11"/>
        <color rgb="FF000000"/>
        <rFont val="Aptos Narrow"/>
        <scheme val="minor"/>
      </rPr>
      <t>Implementasi -</t>
    </r>
    <r>
      <rPr>
        <b/>
        <strike/>
        <sz val="11"/>
        <color rgb="FF000000"/>
        <rFont val="Aptos Narrow"/>
        <scheme val="minor"/>
      </rPr>
      <t xml:space="preserve"> 24 Nov 2025
</t>
    </r>
    <r>
      <rPr>
        <strike/>
        <sz val="11"/>
        <color rgb="FF000000"/>
        <rFont val="Aptos Narrow"/>
        <scheme val="minor"/>
      </rPr>
      <t xml:space="preserve">7. BAP Penyediaan Barang/Subscription - dikirim ke MKA tgl 21-11-25 </t>
    </r>
    <r>
      <rPr>
        <b/>
        <strike/>
        <sz val="11"/>
        <color rgb="FF92D050"/>
        <rFont val="Aptos Narrow"/>
        <scheme val="minor"/>
      </rPr>
      <t xml:space="preserve">(DONE)
</t>
    </r>
    <r>
      <rPr>
        <strike/>
        <sz val="11"/>
        <color rgb="FF000000"/>
        <rFont val="Aptos Narrow"/>
        <scheme val="minor"/>
      </rPr>
      <t xml:space="preserve">8. Sirkular M02 Bayar di MKA </t>
    </r>
    <r>
      <rPr>
        <b/>
        <strike/>
        <sz val="11"/>
        <color rgb="FF92D050"/>
        <rFont val="Aptos Narrow"/>
        <scheme val="minor"/>
      </rPr>
      <t xml:space="preserve">(DONE)
</t>
    </r>
    <r>
      <rPr>
        <b/>
        <sz val="11"/>
        <color rgb="FF000000"/>
        <rFont val="Aptos Narrow"/>
        <scheme val="minor"/>
      </rPr>
      <t xml:space="preserve">Next Action:
</t>
    </r>
    <r>
      <rPr>
        <sz val="11"/>
        <color rgb="FF000000"/>
        <rFont val="Aptos Narrow"/>
        <scheme val="minor"/>
      </rPr>
      <t xml:space="preserve">1. Agreement ERP dari sisi DMAP </t>
    </r>
    <r>
      <rPr>
        <b/>
        <sz val="11"/>
        <color rgb="FFFFC000"/>
        <rFont val="Aptos Narrow"/>
        <scheme val="minor"/>
      </rPr>
      <t xml:space="preserve">(On Progress)
</t>
    </r>
    <r>
      <rPr>
        <sz val="11"/>
        <color rgb="FF000000"/>
        <rFont val="Aptos Narrow"/>
        <scheme val="minor"/>
      </rPr>
      <t xml:space="preserve">2. Kirim LD Bayar ke TMI oleh MKA </t>
    </r>
    <r>
      <rPr>
        <b/>
        <sz val="11"/>
        <color rgb="FFFFC000"/>
        <rFont val="Aptos Narrow"/>
        <scheme val="minor"/>
      </rPr>
      <t xml:space="preserve">(Pending)
</t>
    </r>
    <r>
      <rPr>
        <sz val="11"/>
        <color rgb="FF000000"/>
        <rFont val="Aptos Narrow"/>
        <scheme val="minor"/>
      </rPr>
      <t xml:space="preserve">3. Pembayaran oleh TMI </t>
    </r>
    <r>
      <rPr>
        <b/>
        <sz val="11"/>
        <color rgb="FF00B0F0"/>
        <rFont val="Aptos Narrow"/>
        <scheme val="minor"/>
      </rPr>
      <t xml:space="preserve">(To Do)
</t>
    </r>
    <r>
      <rPr>
        <b/>
        <sz val="11"/>
        <color rgb="FF000000"/>
        <rFont val="Aptos Narrow"/>
        <scheme val="minor"/>
      </rPr>
      <t xml:space="preserve">Note:
</t>
    </r>
    <r>
      <rPr>
        <sz val="11"/>
        <color rgb="FF000000"/>
        <rFont val="Aptos Narrow"/>
        <scheme val="minor"/>
      </rPr>
      <t>Untuk dikirim ke TMI, perlu approval agreement di ERP (info dari MKA)
Terbit SPPP - target 21 Okt 2025
Retarget SPPP -&gt; 24 Okt 2025
Vendor PT Mitra Integrasi Informatika</t>
    </r>
  </si>
  <si>
    <r>
      <rPr>
        <b/>
        <sz val="11"/>
        <color rgb="FF000000"/>
        <rFont val="Aptos Narrow"/>
        <scheme val="minor"/>
      </rPr>
      <t xml:space="preserve">Status:
</t>
    </r>
    <r>
      <rPr>
        <strike/>
        <sz val="11"/>
        <color rgb="FF000000"/>
        <rFont val="Aptos Narrow"/>
        <scheme val="minor"/>
      </rPr>
      <t xml:space="preserve">1. Submit penawaran </t>
    </r>
    <r>
      <rPr>
        <b/>
        <strike/>
        <sz val="11"/>
        <color rgb="FF000000"/>
        <rFont val="Aptos Narrow"/>
        <scheme val="minor"/>
      </rPr>
      <t xml:space="preserve">(DONE)
</t>
    </r>
    <r>
      <rPr>
        <strike/>
        <sz val="11"/>
        <color rgb="FF000000"/>
        <rFont val="Aptos Narrow"/>
        <scheme val="minor"/>
      </rPr>
      <t xml:space="preserve">2. Evaluasi dokumen penawaran di PBS </t>
    </r>
    <r>
      <rPr>
        <b/>
        <strike/>
        <sz val="11"/>
        <color rgb="FF000000"/>
        <rFont val="Aptos Narrow"/>
        <scheme val="minor"/>
      </rPr>
      <t xml:space="preserve">(DONE)
</t>
    </r>
    <r>
      <rPr>
        <strike/>
        <sz val="11"/>
        <color rgb="FF000000"/>
        <rFont val="Aptos Narrow"/>
        <scheme val="minor"/>
      </rPr>
      <t xml:space="preserve">3. Proses Negosiasi </t>
    </r>
    <r>
      <rPr>
        <b/>
        <strike/>
        <sz val="11"/>
        <color rgb="FF000000"/>
        <rFont val="Aptos Narrow"/>
        <scheme val="minor"/>
      </rPr>
      <t xml:space="preserve">(DONE)
</t>
    </r>
    <r>
      <rPr>
        <sz val="11"/>
        <color rgb="FF000000"/>
        <rFont val="Aptos Narrow"/>
        <scheme val="minor"/>
      </rPr>
      <t xml:space="preserve">4. Masa Sanggah </t>
    </r>
    <r>
      <rPr>
        <b/>
        <sz val="11"/>
        <color rgb="FFFFC000"/>
        <rFont val="Aptos Narrow"/>
        <scheme val="minor"/>
      </rPr>
      <t xml:space="preserve">(On Progress)
</t>
    </r>
    <r>
      <rPr>
        <sz val="11"/>
        <color rgb="FF000000"/>
        <rFont val="Aptos Narrow"/>
        <scheme val="minor"/>
      </rPr>
      <t xml:space="preserve">5. Proses Persetujuan Pemenang </t>
    </r>
    <r>
      <rPr>
        <b/>
        <sz val="11"/>
        <color rgb="FFFFC000"/>
        <rFont val="Aptos Narrow"/>
        <scheme val="minor"/>
      </rPr>
      <t xml:space="preserve">(On Progress)
</t>
    </r>
    <r>
      <rPr>
        <b/>
        <sz val="11"/>
        <color rgb="FF000000"/>
        <rFont val="Aptos Narrow"/>
        <scheme val="minor"/>
      </rPr>
      <t xml:space="preserve">Next Action:
</t>
    </r>
    <r>
      <rPr>
        <sz val="11"/>
        <color rgb="FF000000"/>
        <rFont val="Aptos Narrow"/>
        <scheme val="minor"/>
      </rPr>
      <t xml:space="preserve">1. Finalisasi masa sanggah </t>
    </r>
    <r>
      <rPr>
        <b/>
        <sz val="11"/>
        <color rgb="FFFFC000"/>
        <rFont val="Aptos Narrow"/>
        <scheme val="minor"/>
      </rPr>
      <t xml:space="preserve">(On Progress)
</t>
    </r>
    <r>
      <rPr>
        <sz val="11"/>
        <color rgb="FF000000"/>
        <rFont val="Aptos Narrow"/>
        <scheme val="minor"/>
      </rPr>
      <t xml:space="preserve">2. Sirkular Persetujuan Pemenang </t>
    </r>
    <r>
      <rPr>
        <b/>
        <sz val="11"/>
        <color rgb="FFFFC000"/>
        <rFont val="Aptos Narrow"/>
        <scheme val="minor"/>
      </rPr>
      <t xml:space="preserve">(On Progress)
</t>
    </r>
    <r>
      <rPr>
        <sz val="11"/>
        <color rgb="FF000000"/>
        <rFont val="Aptos Narrow"/>
        <scheme val="minor"/>
      </rPr>
      <t xml:space="preserve">2. Penerbitan SPPP </t>
    </r>
    <r>
      <rPr>
        <b/>
        <sz val="11"/>
        <color rgb="FF00B0F0"/>
        <rFont val="Aptos Narrow"/>
        <scheme val="minor"/>
      </rPr>
      <t>(To Do)</t>
    </r>
  </si>
  <si>
    <t>Penyesuaian Revisi PP 8 Tahun 2025</t>
  </si>
  <si>
    <t>Penambahan 2026</t>
  </si>
  <si>
    <t>Go Live Pada 27 Oktober 2025
Notes:
1.Dokumen Deliverables sudah MKA untuk proses Pembayaran</t>
  </si>
  <si>
    <t>Nama Deliverables</t>
  </si>
  <si>
    <t>Tahap 1a</t>
  </si>
  <si>
    <t>Tahap 1b</t>
  </si>
  <si>
    <t>1. Dokumen RBB dan RBL sudah di kirimkan oleg Satker Bisnis
2. Akan di adakan rapat koordinasi untuk pembuatan dok RBTD
3. Penyusunan Dok RBTD 
4. Telah di laksanakan rapat untuk penyusunan RBTD pada tanggal 27 - 29 Nov.
5. Telah dilaksanakan meeting bersama DSDM untuk mengkonfirmasi beberapa fungsi yang menjadi temuan oleh KMBD dan hasil meetingnya dari DSDM akan melakukan penyesuaian di dalam RBL
6. RBT done
7. Penyusunan KAK/WO dan RFI</t>
  </si>
  <si>
    <t>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</si>
</sst>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d\-mmm\-yy;@"/>
    <numFmt numFmtId="165" formatCode="0.0%"/>
    <numFmt numFmtId="166" formatCode="0.0000000000000%"/>
  </numFmts>
  <fonts count="97">
    <font>
      <sz val="11"/>
      <color theme="1"/>
      <name val="Aptos Narrow"/>
      <family val="2"/>
      <scheme val="minor"/>
    </font>
    <font>
      <b/>
      <sz val="11"/>
      <color theme="0"/>
      <name val="Aptos Narrow"/>
      <family val="2"/>
      <scheme val="minor"/>
    </font>
    <font>
      <b/>
      <sz val="11"/>
      <color theme="1"/>
      <name val="Aptos Narrow"/>
      <family val="2"/>
      <scheme val="minor"/>
    </font>
    <font>
      <sz val="11"/>
      <color theme="1"/>
      <name val="Aptos Narrow"/>
      <family val="2"/>
      <charset val="1"/>
      <scheme val="minor"/>
    </font>
    <font>
      <b/>
      <sz val="11"/>
      <color rgb="FF000000"/>
      <name val="Aptos Narrow"/>
      <family val="2"/>
      <scheme val="minor"/>
    </font>
    <font>
      <sz val="11"/>
      <color rgb="FF000000"/>
      <name val="Aptos Narrow"/>
      <family val="2"/>
      <scheme val="minor"/>
    </font>
    <font>
      <b/>
      <sz val="9"/>
      <color indexed="81"/>
      <name val="Tahoma"/>
      <family val="2"/>
    </font>
    <font>
      <sz val="9"/>
      <color indexed="81"/>
      <name val="Tahoma"/>
      <family val="2"/>
    </font>
    <font>
      <b/>
      <sz val="11"/>
      <color rgb="FFFF0000"/>
      <name val="Bookman Old Style"/>
      <family val="1"/>
    </font>
    <font>
      <b/>
      <sz val="11"/>
      <name val="Aptos Narrow"/>
      <family val="2"/>
      <scheme val="minor"/>
    </font>
    <font>
      <b/>
      <sz val="10"/>
      <name val="Bookman Old Style"/>
      <family val="1"/>
    </font>
    <font>
      <b/>
      <sz val="10"/>
      <color rgb="FFC00000"/>
      <name val="Bookman Old Style"/>
      <family val="1"/>
    </font>
    <font>
      <b/>
      <sz val="11"/>
      <color rgb="FFFFFF00"/>
      <name val="Aptos Narrow"/>
      <family val="2"/>
      <scheme val="minor"/>
    </font>
    <font>
      <b/>
      <sz val="10"/>
      <color rgb="FFFFFF00"/>
      <name val="Bookman Old Style"/>
      <family val="1"/>
    </font>
    <font>
      <sz val="8"/>
      <name val="Aptos Narrow"/>
      <family val="2"/>
      <scheme val="minor"/>
    </font>
    <font>
      <sz val="12"/>
      <name val="Aptos Narrow"/>
      <family val="2"/>
      <scheme val="minor"/>
    </font>
    <font>
      <sz val="12"/>
      <color theme="1"/>
      <name val="Aptos Narrow"/>
      <family val="2"/>
      <scheme val="minor"/>
    </font>
    <font>
      <b/>
      <sz val="12"/>
      <name val="Aptos Narrow"/>
      <family val="2"/>
      <scheme val="minor"/>
    </font>
    <font>
      <sz val="12"/>
      <color rgb="FF000000"/>
      <name val="Aptos Narrow"/>
      <family val="2"/>
      <scheme val="minor"/>
    </font>
    <font>
      <u val="double"/>
      <sz val="12"/>
      <name val="Aptos Narrow"/>
      <family val="2"/>
      <scheme val="minor"/>
    </font>
    <font>
      <b/>
      <u val="double"/>
      <sz val="12"/>
      <name val="Aptos Narrow"/>
      <family val="2"/>
      <scheme val="minor"/>
    </font>
    <font>
      <i/>
      <sz val="12"/>
      <name val="Aptos Narrow"/>
      <family val="2"/>
      <scheme val="minor"/>
    </font>
    <font>
      <b/>
      <u/>
      <sz val="12"/>
      <name val="Aptos Narrow"/>
      <family val="2"/>
      <scheme val="minor"/>
    </font>
    <font>
      <b/>
      <sz val="11"/>
      <name val="Bookman Old Style"/>
      <family val="1"/>
    </font>
    <font>
      <sz val="11"/>
      <color theme="1"/>
      <name val="Aptos Narrow"/>
      <family val="2"/>
      <scheme val="minor"/>
    </font>
    <font>
      <sz val="11"/>
      <color theme="0"/>
      <name val="Aptos Narrow"/>
      <family val="2"/>
      <scheme val="minor"/>
    </font>
    <font>
      <sz val="11"/>
      <name val="Aptos Narrow"/>
      <family val="2"/>
      <scheme val="minor"/>
    </font>
    <font>
      <b/>
      <sz val="12"/>
      <color rgb="FF000000"/>
      <name val="Aptos Narrow"/>
      <family val="2"/>
      <scheme val="minor"/>
    </font>
    <font>
      <b/>
      <sz val="11"/>
      <color theme="1"/>
      <name val="Bookman Old Style"/>
      <family val="1"/>
    </font>
    <font>
      <sz val="11"/>
      <color rgb="FF000000"/>
      <name val="Aptos Narrow"/>
      <family val="2"/>
    </font>
    <font>
      <b/>
      <sz val="11"/>
      <color theme="9"/>
      <name val="Aptos Narrow"/>
      <family val="2"/>
      <scheme val="minor"/>
    </font>
    <font>
      <b/>
      <sz val="11"/>
      <color rgb="FF92D050"/>
      <name val="Aptos Narrow"/>
      <family val="2"/>
      <scheme val="minor"/>
    </font>
    <font>
      <sz val="11"/>
      <color rgb="FF8ED973"/>
      <name val="Aptos Narrow"/>
      <family val="2"/>
      <scheme val="minor"/>
    </font>
    <font>
      <sz val="10"/>
      <color rgb="FF000000"/>
      <name val="Aptos Narrow"/>
      <family val="2"/>
      <scheme val="minor"/>
    </font>
    <font>
      <b/>
      <sz val="12"/>
      <color rgb="FF000000"/>
      <name val="Calibri"/>
      <family val="2"/>
    </font>
    <font>
      <sz val="11"/>
      <color rgb="FF000000"/>
      <name val="Aptos"/>
      <family val="2"/>
    </font>
    <font>
      <sz val="11"/>
      <color theme="1"/>
      <name val="Aptos"/>
      <family val="2"/>
    </font>
    <font>
      <sz val="5"/>
      <name val="Aptos Narrow"/>
      <family val="2"/>
      <scheme val="minor"/>
    </font>
    <font>
      <b/>
      <sz val="11"/>
      <color theme="9" tint="0.39997558519241921"/>
      <name val="Aptos Narrow"/>
      <family val="2"/>
      <scheme val="minor"/>
    </font>
    <font>
      <b/>
      <sz val="11"/>
      <color rgb="FFFFC000"/>
      <name val="Aptos Narrow"/>
      <family val="2"/>
      <scheme val="minor"/>
    </font>
    <font>
      <sz val="11"/>
      <color rgb="FF92D050"/>
      <name val="Aptos Narrow"/>
      <family val="2"/>
      <scheme val="minor"/>
    </font>
    <font>
      <sz val="12"/>
      <color rgb="FFFF0000"/>
      <name val="Aptos Narrow"/>
      <family val="2"/>
      <scheme val="minor"/>
    </font>
    <font>
      <sz val="12"/>
      <color rgb="FF747474"/>
      <name val="Aptos Narrow"/>
      <family val="2"/>
      <scheme val="minor"/>
    </font>
    <font>
      <b/>
      <sz val="11"/>
      <color rgb="FFD86DCD"/>
      <name val="Aptos Narrow"/>
      <family val="2"/>
      <scheme val="minor"/>
    </font>
    <font>
      <sz val="11"/>
      <color rgb="FF00B0F0"/>
      <name val="Aptos Narrow"/>
      <family val="2"/>
      <scheme val="minor"/>
    </font>
    <font>
      <b/>
      <sz val="11"/>
      <color rgb="FF00B0F0"/>
      <name val="Aptos Narrow"/>
      <family val="2"/>
      <scheme val="minor"/>
    </font>
    <font>
      <strike/>
      <sz val="12"/>
      <color rgb="FF000000"/>
      <name val="Aptos Narrow"/>
      <family val="2"/>
      <scheme val="minor"/>
    </font>
    <font>
      <b/>
      <sz val="12"/>
      <color rgb="FF156082"/>
      <name val="Aptos Narrow"/>
      <family val="2"/>
      <scheme val="minor"/>
    </font>
    <font>
      <b/>
      <sz val="10"/>
      <color rgb="FFFFFFFF"/>
      <name val="Frutiger 55"/>
      <family val="3"/>
    </font>
    <font>
      <sz val="10"/>
      <color rgb="FF000000"/>
      <name val="Arial Nova Cond"/>
      <family val="2"/>
    </font>
    <font>
      <b/>
      <sz val="10"/>
      <color rgb="FF156082"/>
      <name val="Frutiger 55"/>
      <family val="3"/>
    </font>
    <font>
      <b/>
      <sz val="10"/>
      <color rgb="FF000000"/>
      <name val="Frutiger 55"/>
      <family val="3"/>
    </font>
    <font>
      <b/>
      <sz val="11"/>
      <color rgb="FF156082"/>
      <name val="Frutiger 55"/>
      <family val="3"/>
    </font>
    <font>
      <b/>
      <sz val="11"/>
      <color rgb="FF000000"/>
      <name val="Frutiger 55"/>
      <family val="3"/>
    </font>
    <font>
      <b/>
      <sz val="10"/>
      <color rgb="FF2F5C62"/>
      <name val="Frutiger 55"/>
      <family val="3"/>
    </font>
    <font>
      <b/>
      <sz val="11"/>
      <color rgb="FFFF0000"/>
      <name val="Aptos Narrow"/>
      <family val="2"/>
      <scheme val="minor"/>
    </font>
    <font>
      <sz val="11"/>
      <color theme="1"/>
      <name val="Aptos Narrow"/>
      <family val="2"/>
    </font>
    <font>
      <sz val="11"/>
      <color rgb="FF000000"/>
      <name val="Aptos Narrow"/>
      <family val="2"/>
      <scheme val="minor"/>
    </font>
    <font>
      <sz val="12"/>
      <color rgb="FF000000"/>
      <name val="Aptos Narrow"/>
      <family val="2"/>
      <scheme val="minor"/>
    </font>
    <font>
      <b/>
      <sz val="12"/>
      <color rgb="FF00B050"/>
      <name val="Aptos Narrow"/>
      <family val="2"/>
      <scheme val="minor"/>
    </font>
    <font>
      <b/>
      <sz val="12"/>
      <color rgb="FF92D050"/>
      <name val="Aptos Narrow"/>
      <family val="2"/>
      <scheme val="minor"/>
    </font>
    <font>
      <sz val="11"/>
      <color theme="1"/>
      <name val="Aptos Narrow"/>
      <family val="2"/>
      <scheme val="minor"/>
    </font>
    <font>
      <sz val="11"/>
      <color theme="1"/>
      <name val="Aptos Narrow"/>
      <family val="2"/>
    </font>
    <font>
      <b/>
      <sz val="12"/>
      <color rgb="FFFFC000"/>
      <name val="Aptos Narrow"/>
      <family val="2"/>
      <scheme val="minor"/>
    </font>
    <font>
      <sz val="12"/>
      <color rgb="FF000000"/>
      <name val="Calibri"/>
      <family val="2"/>
    </font>
    <font>
      <sz val="12"/>
      <color rgb="FF000000"/>
      <name val="Optima"/>
      <family val="2"/>
    </font>
    <font>
      <b/>
      <sz val="12"/>
      <color rgb="FF000000"/>
      <name val="Optima"/>
      <family val="2"/>
    </font>
    <font>
      <sz val="12"/>
      <color theme="1"/>
      <name val="Optima"/>
      <family val="2"/>
    </font>
    <font>
      <b/>
      <sz val="12"/>
      <color theme="1"/>
      <name val="Optima"/>
      <family val="2"/>
    </font>
    <font>
      <b/>
      <sz val="12"/>
      <name val="Optima"/>
      <family val="2"/>
    </font>
    <font>
      <b/>
      <sz val="12"/>
      <color rgb="FF000000"/>
      <name val="Aptos"/>
      <family val="2"/>
    </font>
    <font>
      <sz val="12"/>
      <color rgb="FF000000"/>
      <name val="Aptos"/>
      <family val="2"/>
    </font>
    <font>
      <sz val="12"/>
      <name val="Aptos"/>
      <family val="2"/>
    </font>
    <font>
      <b/>
      <sz val="11"/>
      <color rgb="FF000000"/>
      <name val="Aptos Narrow"/>
    </font>
    <font>
      <sz val="11"/>
      <color rgb="FF000000"/>
      <name val="Aptos Narrow"/>
    </font>
    <font>
      <b/>
      <sz val="11"/>
      <color rgb="FF92D050"/>
      <name val="Aptos Narrow"/>
    </font>
    <font>
      <b/>
      <sz val="11"/>
      <color rgb="FFFFC000"/>
      <name val="Aptos Narrow"/>
    </font>
    <font>
      <b/>
      <sz val="11"/>
      <color rgb="FF000000"/>
      <name val="Aptos Narrow"/>
      <scheme val="minor"/>
    </font>
    <font>
      <strike/>
      <sz val="11"/>
      <color rgb="FF000000"/>
      <name val="Aptos Narrow"/>
      <scheme val="minor"/>
    </font>
    <font>
      <b/>
      <strike/>
      <sz val="11"/>
      <color rgb="FF92D050"/>
      <name val="Aptos Narrow"/>
      <scheme val="minor"/>
    </font>
    <font>
      <b/>
      <strike/>
      <sz val="11"/>
      <color rgb="FF000000"/>
      <name val="Aptos Narrow"/>
      <scheme val="minor"/>
    </font>
    <font>
      <sz val="11"/>
      <color rgb="FF000000"/>
      <name val="Aptos Narrow"/>
      <scheme val="minor"/>
    </font>
    <font>
      <b/>
      <sz val="11"/>
      <color rgb="FF92D050"/>
      <name val="Aptos Narrow"/>
      <scheme val="minor"/>
    </font>
    <font>
      <b/>
      <sz val="11"/>
      <color rgb="FFFFC000"/>
      <name val="Aptos Narrow"/>
      <scheme val="minor"/>
    </font>
    <font>
      <b/>
      <sz val="11"/>
      <color rgb="FF00B0F0"/>
      <name val="Aptos Narrow"/>
      <scheme val="minor"/>
    </font>
    <font>
      <strike/>
      <sz val="11"/>
      <color rgb="FF92D050"/>
      <name val="Aptos Narrow"/>
      <scheme val="minor"/>
    </font>
    <font>
      <sz val="12"/>
      <color rgb="FF000000"/>
      <name val="Aptos Narrow"/>
      <scheme val="minor"/>
    </font>
    <font>
      <b/>
      <sz val="12"/>
      <color rgb="FF000000"/>
      <name val="Aptos Narrow"/>
      <scheme val="minor"/>
    </font>
    <font>
      <strike/>
      <sz val="12"/>
      <color rgb="FF000000"/>
      <name val="Aptos Narrow"/>
      <scheme val="minor"/>
    </font>
    <font>
      <b/>
      <sz val="12"/>
      <color rgb="FFFF0000"/>
      <name val="Aptos Narrow"/>
      <scheme val="minor"/>
    </font>
    <font>
      <sz val="12"/>
      <color rgb="FFFF0000"/>
      <name val="Aptos Narrow"/>
      <scheme val="minor"/>
    </font>
    <font>
      <strike/>
      <sz val="11"/>
      <color rgb="FF000000"/>
      <name val="Aptos Narrow"/>
    </font>
    <font>
      <b/>
      <sz val="11"/>
      <color rgb="FF00B0F0"/>
      <name val="Aptos Narrow"/>
    </font>
    <font>
      <b/>
      <sz val="11"/>
      <color rgb="FF8ED973"/>
      <name val="Aptos Narrow"/>
      <scheme val="minor"/>
    </font>
    <font>
      <i/>
      <strike/>
      <sz val="12"/>
      <color rgb="FF000000"/>
      <name val="Aptos Narrow"/>
      <scheme val="minor"/>
    </font>
    <font>
      <b/>
      <strike/>
      <sz val="12"/>
      <color rgb="FF000000"/>
      <name val="Aptos Narrow"/>
      <scheme val="minor"/>
    </font>
    <font>
      <b/>
      <sz val="12"/>
      <color rgb="FFFFC000"/>
      <name val="Aptos Narrow"/>
      <scheme val="minor"/>
    </font>
  </fonts>
  <fills count="36">
    <fill>
      <patternFill patternType="none"/>
    </fill>
    <fill>
      <patternFill patternType="gray125"/>
    </fill>
    <fill>
      <patternFill patternType="solid">
        <fgColor theme="8" tint="0.59999389629810485"/>
        <bgColor indexed="64"/>
      </patternFill>
    </fill>
    <fill>
      <patternFill patternType="solid">
        <fgColor theme="9"/>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2060"/>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rgb="FFC0B5E9"/>
        <bgColor indexed="64"/>
      </patternFill>
    </fill>
    <fill>
      <patternFill patternType="solid">
        <fgColor theme="3" tint="0.499984740745262"/>
        <bgColor indexed="64"/>
      </patternFill>
    </fill>
    <fill>
      <patternFill patternType="solid">
        <fgColor theme="5" tint="0.79998168889431442"/>
        <bgColor indexed="64"/>
      </patternFill>
    </fill>
    <fill>
      <patternFill patternType="solid">
        <fgColor theme="0"/>
        <bgColor indexed="64"/>
      </patternFill>
    </fill>
    <fill>
      <patternFill patternType="solid">
        <fgColor theme="1" tint="0.499984740745262"/>
        <bgColor indexed="64"/>
      </patternFill>
    </fill>
    <fill>
      <patternFill patternType="solid">
        <fgColor rgb="FFFFFF00"/>
        <bgColor indexed="64"/>
      </patternFill>
    </fill>
    <fill>
      <patternFill patternType="solid">
        <fgColor theme="5" tint="0.39997558519241921"/>
        <bgColor indexed="64"/>
      </patternFill>
    </fill>
    <fill>
      <patternFill patternType="solid">
        <fgColor theme="4" tint="-0.249977111117893"/>
        <bgColor indexed="64"/>
      </patternFill>
    </fill>
    <fill>
      <patternFill patternType="solid">
        <fgColor theme="3" tint="0.79998168889431442"/>
        <bgColor indexed="64"/>
      </patternFill>
    </fill>
    <fill>
      <patternFill patternType="solid">
        <fgColor theme="4" tint="-0.499984740745262"/>
        <bgColor indexed="64"/>
      </patternFill>
    </fill>
    <fill>
      <patternFill patternType="solid">
        <fgColor rgb="FFFCDCD0"/>
        <bgColor indexed="64"/>
      </patternFill>
    </fill>
    <fill>
      <patternFill patternType="solid">
        <fgColor theme="7" tint="0.39997558519241921"/>
        <bgColor indexed="64"/>
      </patternFill>
    </fill>
    <fill>
      <patternFill patternType="solid">
        <fgColor rgb="FFD8D8D8"/>
        <bgColor rgb="FFD8D8D8"/>
      </patternFill>
    </fill>
    <fill>
      <patternFill patternType="solid">
        <fgColor rgb="FF92D050"/>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rgb="FF003E49"/>
        <bgColor indexed="64"/>
      </patternFill>
    </fill>
    <fill>
      <patternFill patternType="solid">
        <fgColor rgb="FFBFDEE4"/>
        <bgColor indexed="64"/>
      </patternFill>
    </fill>
    <fill>
      <patternFill patternType="solid">
        <fgColor theme="1" tint="0.249977111117893"/>
        <bgColor indexed="64"/>
      </patternFill>
    </fill>
    <fill>
      <patternFill patternType="solid">
        <fgColor rgb="FF00B050"/>
        <bgColor rgb="FF000000"/>
      </patternFill>
    </fill>
    <fill>
      <patternFill patternType="solid">
        <fgColor rgb="FFFFFF00"/>
        <bgColor rgb="FF000000"/>
      </patternFill>
    </fill>
    <fill>
      <patternFill patternType="solid">
        <fgColor rgb="FF00B0F0"/>
        <bgColor rgb="FF000000"/>
      </patternFill>
    </fill>
    <fill>
      <patternFill patternType="solid">
        <fgColor rgb="FF92D050"/>
        <bgColor rgb="FF000000"/>
      </patternFill>
    </fill>
    <fill>
      <patternFill patternType="solid">
        <fgColor rgb="FFD9D9D9"/>
        <bgColor rgb="FF000000"/>
      </patternFill>
    </fill>
    <fill>
      <patternFill patternType="solid">
        <fgColor rgb="FF808080"/>
        <bgColor rgb="FF000000"/>
      </patternFill>
    </fill>
    <fill>
      <patternFill patternType="solid">
        <fgColor theme="4" tint="0.79998168889431442"/>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theme="8"/>
      </left>
      <right style="thin">
        <color theme="8"/>
      </right>
      <top style="thin">
        <color theme="8"/>
      </top>
      <bottom style="thin">
        <color theme="8"/>
      </bottom>
      <diagonal/>
    </border>
    <border>
      <left/>
      <right style="thin">
        <color theme="8"/>
      </right>
      <top style="thin">
        <color theme="8"/>
      </top>
      <bottom style="thin">
        <color theme="8"/>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style="thin">
        <color theme="8"/>
      </left>
      <right/>
      <top style="thin">
        <color theme="8"/>
      </top>
      <bottom style="thin">
        <color theme="8"/>
      </bottom>
      <diagonal/>
    </border>
    <border>
      <left style="thin">
        <color theme="8"/>
      </left>
      <right style="thin">
        <color theme="8"/>
      </right>
      <top/>
      <bottom style="thin">
        <color theme="8"/>
      </bottom>
      <diagonal/>
    </border>
    <border>
      <left style="thin">
        <color indexed="64"/>
      </left>
      <right/>
      <top/>
      <bottom/>
      <diagonal/>
    </border>
    <border>
      <left/>
      <right style="thin">
        <color indexed="64"/>
      </right>
      <top/>
      <bottom/>
      <diagonal/>
    </border>
    <border>
      <left style="thin">
        <color theme="8"/>
      </left>
      <right style="thin">
        <color theme="8"/>
      </right>
      <top style="thin">
        <color theme="8"/>
      </top>
      <bottom/>
      <diagonal/>
    </border>
    <border>
      <left style="thin">
        <color rgb="FF000000"/>
      </left>
      <right/>
      <top style="thin">
        <color rgb="FF000000"/>
      </top>
      <bottom/>
      <diagonal/>
    </border>
    <border>
      <left/>
      <right/>
      <top/>
      <bottom style="thin">
        <color indexed="64"/>
      </bottom>
      <diagonal/>
    </border>
    <border>
      <left style="thin">
        <color rgb="FF000000"/>
      </left>
      <right/>
      <top/>
      <bottom style="thin">
        <color rgb="FF000000"/>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right style="thin">
        <color theme="8"/>
      </right>
      <top/>
      <bottom style="thin">
        <color theme="8"/>
      </bottom>
      <diagonal/>
    </border>
    <border>
      <left style="thin">
        <color theme="8"/>
      </left>
      <right/>
      <top/>
      <bottom style="thin">
        <color theme="8"/>
      </bottom>
      <diagonal/>
    </border>
    <border>
      <left style="thin">
        <color theme="8"/>
      </left>
      <right/>
      <top style="thin">
        <color theme="8"/>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theme="8"/>
      </right>
      <top style="thin">
        <color theme="8"/>
      </top>
      <bottom style="medium">
        <color theme="8"/>
      </bottom>
      <diagonal/>
    </border>
    <border>
      <left style="thin">
        <color theme="8"/>
      </left>
      <right style="thin">
        <color theme="8"/>
      </right>
      <top style="thin">
        <color theme="8"/>
      </top>
      <bottom style="medium">
        <color theme="8"/>
      </bottom>
      <diagonal/>
    </border>
    <border>
      <left style="thin">
        <color theme="8"/>
      </left>
      <right/>
      <top/>
      <bottom/>
      <diagonal/>
    </border>
    <border>
      <left/>
      <right/>
      <top style="thin">
        <color indexed="64"/>
      </top>
      <bottom/>
      <diagonal/>
    </border>
    <border>
      <left/>
      <right/>
      <top/>
      <bottom style="thin">
        <color theme="8"/>
      </bottom>
      <diagonal/>
    </border>
    <border>
      <left/>
      <right/>
      <top style="thin">
        <color theme="8"/>
      </top>
      <bottom style="thin">
        <color theme="8"/>
      </bottom>
      <diagonal/>
    </border>
    <border>
      <left style="thin">
        <color theme="8"/>
      </left>
      <right style="thin">
        <color theme="8"/>
      </right>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right style="thin">
        <color rgb="FF000000"/>
      </right>
      <top/>
      <bottom/>
      <diagonal/>
    </border>
    <border>
      <left/>
      <right/>
      <top/>
      <bottom style="thin">
        <color rgb="FF000000"/>
      </bottom>
      <diagonal/>
    </border>
    <border>
      <left/>
      <right/>
      <top style="medium">
        <color indexed="64"/>
      </top>
      <bottom style="thin">
        <color indexed="64"/>
      </bottom>
      <diagonal/>
    </border>
    <border>
      <left style="medium">
        <color rgb="FFFFFFFF"/>
      </left>
      <right style="medium">
        <color rgb="FFFFFFFF"/>
      </right>
      <top style="medium">
        <color rgb="FFFFFFFF"/>
      </top>
      <bottom/>
      <diagonal/>
    </border>
    <border>
      <left style="medium">
        <color rgb="FFFFFFFF"/>
      </left>
      <right style="medium">
        <color rgb="FFFFFFFF"/>
      </right>
      <top/>
      <bottom style="medium">
        <color rgb="FFFFFFFF"/>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thin">
        <color indexed="64"/>
      </left>
      <right style="thin">
        <color rgb="FF000000"/>
      </right>
      <top style="thin">
        <color rgb="FF000000"/>
      </top>
      <bottom/>
      <diagonal/>
    </border>
    <border>
      <left style="thin">
        <color indexed="64"/>
      </left>
      <right style="thin">
        <color rgb="FF000000"/>
      </right>
      <top/>
      <bottom style="thin">
        <color rgb="FF000000"/>
      </bottom>
      <diagonal/>
    </border>
    <border>
      <left style="thin">
        <color rgb="FF000000"/>
      </left>
      <right style="thin">
        <color rgb="FF000000"/>
      </right>
      <top/>
      <bottom style="thin">
        <color indexed="64"/>
      </bottom>
      <diagonal/>
    </border>
  </borders>
  <cellStyleXfs count="3">
    <xf numFmtId="0" fontId="0" fillId="0" borderId="0"/>
    <xf numFmtId="0" fontId="3" fillId="0" borderId="0"/>
    <xf numFmtId="9" fontId="24" fillId="0" borderId="0" applyFont="0" applyFill="0" applyBorder="0" applyAlignment="0" applyProtection="0"/>
  </cellStyleXfs>
  <cellXfs count="1005">
    <xf numFmtId="0" fontId="0" fillId="0" borderId="0" xfId="0"/>
    <xf numFmtId="0" fontId="0" fillId="0" borderId="0" xfId="0" applyAlignment="1">
      <alignment horizontal="center" vertical="top"/>
    </xf>
    <xf numFmtId="0" fontId="0" fillId="0" borderId="0" xfId="0" applyAlignment="1">
      <alignment horizontal="center"/>
    </xf>
    <xf numFmtId="0" fontId="0" fillId="0" borderId="0" xfId="0" applyAlignment="1">
      <alignment vertical="top"/>
    </xf>
    <xf numFmtId="0" fontId="0" fillId="0" borderId="0" xfId="0" applyAlignment="1">
      <alignment horizontal="center" vertical="top" wrapText="1"/>
    </xf>
    <xf numFmtId="0" fontId="0" fillId="0" borderId="0" xfId="0" applyAlignment="1">
      <alignment vertical="top" wrapText="1"/>
    </xf>
    <xf numFmtId="0" fontId="2" fillId="0" borderId="0" xfId="0" applyFont="1"/>
    <xf numFmtId="0" fontId="0" fillId="0" borderId="1" xfId="0" applyBorder="1" applyAlignment="1">
      <alignment horizontal="center" vertical="top" wrapText="1"/>
    </xf>
    <xf numFmtId="15" fontId="0" fillId="0" borderId="1" xfId="0" applyNumberFormat="1" applyBorder="1" applyAlignment="1">
      <alignment horizontal="center" vertical="top" wrapText="1"/>
    </xf>
    <xf numFmtId="9" fontId="0" fillId="0" borderId="1" xfId="0" applyNumberFormat="1" applyBorder="1" applyAlignment="1">
      <alignment horizontal="center" vertical="top" wrapText="1"/>
    </xf>
    <xf numFmtId="0" fontId="0" fillId="0" borderId="1" xfId="0" applyBorder="1"/>
    <xf numFmtId="0" fontId="0" fillId="0" borderId="0" xfId="0" applyAlignment="1">
      <alignment horizontal="left" vertical="top"/>
    </xf>
    <xf numFmtId="0" fontId="0" fillId="0" borderId="0" xfId="0" applyAlignment="1">
      <alignment horizontal="left"/>
    </xf>
    <xf numFmtId="0" fontId="0" fillId="13" borderId="0" xfId="0" applyFill="1" applyAlignment="1">
      <alignment vertical="top"/>
    </xf>
    <xf numFmtId="0" fontId="0" fillId="0" borderId="1" xfId="0" applyBorder="1" applyAlignment="1">
      <alignment vertical="top" wrapText="1"/>
    </xf>
    <xf numFmtId="0" fontId="0" fillId="0" borderId="0" xfId="0" applyAlignment="1">
      <alignment wrapText="1"/>
    </xf>
    <xf numFmtId="0" fontId="0" fillId="13" borderId="0" xfId="0" applyFill="1"/>
    <xf numFmtId="164" fontId="0" fillId="0" borderId="1" xfId="0" applyNumberFormat="1" applyBorder="1" applyAlignment="1">
      <alignment horizontal="center" vertical="top" wrapText="1"/>
    </xf>
    <xf numFmtId="0" fontId="4" fillId="0" borderId="1" xfId="0" applyFont="1" applyBorder="1" applyAlignment="1" applyProtection="1">
      <alignment vertical="top" wrapText="1"/>
      <protection locked="0"/>
    </xf>
    <xf numFmtId="15" fontId="5" fillId="0" borderId="1" xfId="0" applyNumberFormat="1" applyFont="1" applyBorder="1" applyAlignment="1">
      <alignment horizontal="center" vertical="top" wrapText="1"/>
    </xf>
    <xf numFmtId="0" fontId="2" fillId="0" borderId="1" xfId="0" quotePrefix="1" applyFont="1" applyBorder="1" applyAlignment="1" applyProtection="1">
      <alignment vertical="top" wrapText="1"/>
      <protection locked="0"/>
    </xf>
    <xf numFmtId="0" fontId="0" fillId="0" borderId="0" xfId="0" applyAlignment="1">
      <alignment horizontal="left" vertical="top" wrapText="1"/>
    </xf>
    <xf numFmtId="0" fontId="8" fillId="2" borderId="1" xfId="0" applyFont="1" applyFill="1" applyBorder="1" applyAlignment="1">
      <alignment horizontal="center" vertical="top" wrapText="1"/>
    </xf>
    <xf numFmtId="0" fontId="9" fillId="3" borderId="1" xfId="0" applyFont="1" applyFill="1" applyBorder="1" applyAlignment="1">
      <alignment horizontal="center" vertical="top" wrapText="1"/>
    </xf>
    <xf numFmtId="0" fontId="12" fillId="17" borderId="1" xfId="0" applyFont="1" applyFill="1" applyBorder="1" applyAlignment="1">
      <alignment horizontal="center" vertical="top" wrapText="1"/>
    </xf>
    <xf numFmtId="0" fontId="12" fillId="3" borderId="1" xfId="0" applyFont="1" applyFill="1" applyBorder="1" applyAlignment="1">
      <alignment horizontal="center" vertical="top" wrapText="1"/>
    </xf>
    <xf numFmtId="0" fontId="8" fillId="2" borderId="1" xfId="0" applyFont="1" applyFill="1" applyBorder="1" applyAlignment="1">
      <alignment horizontal="left" vertical="top" wrapText="1"/>
    </xf>
    <xf numFmtId="0" fontId="2" fillId="0" borderId="1" xfId="0" applyFont="1" applyBorder="1" applyAlignment="1">
      <alignment horizontal="center" vertical="top" wrapText="1"/>
    </xf>
    <xf numFmtId="0" fontId="0" fillId="0" borderId="1" xfId="1" applyFont="1" applyBorder="1" applyAlignment="1">
      <alignment horizontal="center" vertical="top" wrapText="1"/>
    </xf>
    <xf numFmtId="9" fontId="0" fillId="0" borderId="1" xfId="0" applyNumberFormat="1" applyBorder="1" applyAlignment="1">
      <alignment vertical="top" wrapText="1"/>
    </xf>
    <xf numFmtId="10" fontId="0" fillId="0" borderId="1" xfId="0" applyNumberFormat="1" applyBorder="1" applyAlignment="1">
      <alignment horizontal="center" vertical="top" wrapText="1"/>
    </xf>
    <xf numFmtId="0" fontId="0" fillId="0" borderId="1" xfId="0" applyBorder="1" applyAlignment="1">
      <alignment wrapText="1"/>
    </xf>
    <xf numFmtId="15" fontId="0" fillId="0" borderId="1" xfId="0" applyNumberFormat="1" applyBorder="1" applyAlignment="1">
      <alignment vertical="top" wrapText="1"/>
    </xf>
    <xf numFmtId="9" fontId="0" fillId="0" borderId="1" xfId="0" applyNumberFormat="1" applyBorder="1" applyAlignment="1" applyProtection="1">
      <alignment vertical="top" wrapText="1"/>
      <protection locked="0"/>
    </xf>
    <xf numFmtId="0" fontId="2" fillId="0" borderId="1" xfId="0" applyFont="1" applyBorder="1" applyAlignment="1" applyProtection="1">
      <alignment vertical="top" wrapText="1"/>
      <protection locked="0"/>
    </xf>
    <xf numFmtId="0" fontId="5" fillId="0" borderId="1" xfId="0" applyFont="1" applyBorder="1" applyAlignment="1">
      <alignment horizontal="left" vertical="top" wrapText="1"/>
    </xf>
    <xf numFmtId="0" fontId="15" fillId="0" borderId="1" xfId="0" applyFont="1" applyBorder="1" applyAlignment="1">
      <alignment vertical="top" wrapText="1"/>
    </xf>
    <xf numFmtId="0" fontId="15" fillId="0" borderId="1" xfId="0" applyFont="1" applyBorder="1" applyAlignment="1">
      <alignment horizontal="center" vertical="top" wrapText="1"/>
    </xf>
    <xf numFmtId="0" fontId="15" fillId="0" borderId="1" xfId="0" applyFont="1" applyBorder="1" applyAlignment="1">
      <alignment horizontal="center" vertical="top"/>
    </xf>
    <xf numFmtId="0" fontId="15" fillId="0" borderId="1" xfId="1" applyFont="1" applyBorder="1" applyAlignment="1">
      <alignment horizontal="center" vertical="top" wrapText="1"/>
    </xf>
    <xf numFmtId="0" fontId="15" fillId="13" borderId="1" xfId="0" applyFont="1" applyFill="1" applyBorder="1" applyAlignment="1" applyProtection="1">
      <alignment horizontal="left" vertical="top" wrapText="1"/>
      <protection locked="0"/>
    </xf>
    <xf numFmtId="9" fontId="15" fillId="13" borderId="1" xfId="0" applyNumberFormat="1" applyFont="1" applyFill="1" applyBorder="1" applyAlignment="1" applyProtection="1">
      <alignment horizontal="center" vertical="top"/>
      <protection locked="0"/>
    </xf>
    <xf numFmtId="15" fontId="15" fillId="13" borderId="1" xfId="0" applyNumberFormat="1" applyFont="1" applyFill="1" applyBorder="1" applyAlignment="1">
      <alignment horizontal="center" vertical="top" wrapText="1"/>
    </xf>
    <xf numFmtId="165" fontId="15" fillId="13" borderId="1" xfId="0" applyNumberFormat="1" applyFont="1" applyFill="1" applyBorder="1" applyAlignment="1">
      <alignment horizontal="center" vertical="top"/>
    </xf>
    <xf numFmtId="10" fontId="15" fillId="13" borderId="1" xfId="0" applyNumberFormat="1" applyFont="1" applyFill="1" applyBorder="1" applyAlignment="1">
      <alignment horizontal="center" vertical="top"/>
    </xf>
    <xf numFmtId="9" fontId="15" fillId="13" borderId="1" xfId="0" applyNumberFormat="1" applyFont="1" applyFill="1" applyBorder="1" applyAlignment="1">
      <alignment horizontal="center" vertical="top" wrapText="1"/>
    </xf>
    <xf numFmtId="9" fontId="17" fillId="13" borderId="1" xfId="0" applyNumberFormat="1" applyFont="1" applyFill="1" applyBorder="1" applyAlignment="1" applyProtection="1">
      <alignment horizontal="center" vertical="top"/>
      <protection locked="0"/>
    </xf>
    <xf numFmtId="0" fontId="15" fillId="13" borderId="1" xfId="0" applyFont="1" applyFill="1" applyBorder="1" applyAlignment="1" applyProtection="1">
      <alignment vertical="top" wrapText="1"/>
      <protection locked="0"/>
    </xf>
    <xf numFmtId="0" fontId="15" fillId="13" borderId="1" xfId="0" applyFont="1" applyFill="1" applyBorder="1" applyAlignment="1">
      <alignment horizontal="center" vertical="top"/>
    </xf>
    <xf numFmtId="0" fontId="17" fillId="13" borderId="1" xfId="0" applyFont="1" applyFill="1" applyBorder="1" applyAlignment="1" applyProtection="1">
      <alignment vertical="top" wrapText="1"/>
      <protection locked="0"/>
    </xf>
    <xf numFmtId="0" fontId="15" fillId="13" borderId="1" xfId="0" applyFont="1" applyFill="1" applyBorder="1" applyAlignment="1" applyProtection="1">
      <alignment horizontal="left" vertical="top"/>
      <protection locked="0"/>
    </xf>
    <xf numFmtId="49" fontId="15" fillId="13" borderId="1" xfId="0" applyNumberFormat="1" applyFont="1" applyFill="1" applyBorder="1" applyAlignment="1" applyProtection="1">
      <alignment vertical="top" wrapText="1"/>
      <protection locked="0"/>
    </xf>
    <xf numFmtId="9" fontId="17" fillId="13" borderId="1" xfId="0" applyNumberFormat="1" applyFont="1" applyFill="1" applyBorder="1" applyAlignment="1" applyProtection="1">
      <alignment vertical="top"/>
      <protection locked="0"/>
    </xf>
    <xf numFmtId="9" fontId="15" fillId="13" borderId="1" xfId="0" applyNumberFormat="1" applyFont="1" applyFill="1" applyBorder="1" applyAlignment="1" applyProtection="1">
      <alignment vertical="top"/>
      <protection locked="0"/>
    </xf>
    <xf numFmtId="0" fontId="15" fillId="13" borderId="1" xfId="0" applyFont="1" applyFill="1" applyBorder="1" applyAlignment="1" applyProtection="1">
      <alignment horizontal="center" vertical="top"/>
      <protection locked="0"/>
    </xf>
    <xf numFmtId="0" fontId="17" fillId="13" borderId="18" xfId="0" quotePrefix="1" applyFont="1" applyFill="1" applyBorder="1" applyAlignment="1" applyProtection="1">
      <alignment horizontal="left" vertical="top" wrapText="1"/>
      <protection locked="0"/>
    </xf>
    <xf numFmtId="0" fontId="15" fillId="0" borderId="4" xfId="0" applyFont="1" applyBorder="1" applyAlignment="1">
      <alignment horizontal="center" vertical="top"/>
    </xf>
    <xf numFmtId="0" fontId="15" fillId="13" borderId="4" xfId="0" applyFont="1" applyFill="1" applyBorder="1" applyAlignment="1" applyProtection="1">
      <alignment vertical="top" wrapText="1"/>
      <protection locked="0"/>
    </xf>
    <xf numFmtId="0" fontId="15" fillId="0" borderId="4" xfId="0" applyFont="1" applyBorder="1" applyAlignment="1">
      <alignment horizontal="center" vertical="top" wrapText="1"/>
    </xf>
    <xf numFmtId="164" fontId="15" fillId="13" borderId="1" xfId="0" applyNumberFormat="1" applyFont="1" applyFill="1" applyBorder="1" applyAlignment="1">
      <alignment horizontal="center" vertical="top" wrapText="1"/>
    </xf>
    <xf numFmtId="9" fontId="15" fillId="13" borderId="1" xfId="0" applyNumberFormat="1" applyFont="1" applyFill="1" applyBorder="1" applyAlignment="1" applyProtection="1">
      <alignment horizontal="center" vertical="top" wrapText="1"/>
      <protection locked="0"/>
    </xf>
    <xf numFmtId="0" fontId="15" fillId="13" borderId="1" xfId="0" applyFont="1" applyFill="1" applyBorder="1" applyAlignment="1" applyProtection="1">
      <alignment vertical="top"/>
      <protection locked="0"/>
    </xf>
    <xf numFmtId="15" fontId="15" fillId="13" borderId="8" xfId="0" applyNumberFormat="1" applyFont="1" applyFill="1" applyBorder="1" applyAlignment="1">
      <alignment horizontal="center" vertical="top" wrapText="1"/>
    </xf>
    <xf numFmtId="0" fontId="15" fillId="13" borderId="1" xfId="0" applyFont="1" applyFill="1" applyBorder="1" applyAlignment="1">
      <alignment horizontal="center" vertical="top" wrapText="1"/>
    </xf>
    <xf numFmtId="0" fontId="15" fillId="13" borderId="6" xfId="0" applyFont="1" applyFill="1" applyBorder="1" applyAlignment="1">
      <alignment horizontal="center" vertical="top" wrapText="1"/>
    </xf>
    <xf numFmtId="0" fontId="15" fillId="13" borderId="2" xfId="0" applyFont="1" applyFill="1" applyBorder="1" applyAlignment="1">
      <alignment vertical="top" wrapText="1"/>
    </xf>
    <xf numFmtId="0" fontId="15" fillId="13" borderId="1" xfId="0" applyFont="1" applyFill="1" applyBorder="1" applyAlignment="1">
      <alignment horizontal="center" vertical="top" wrapText="1" readingOrder="1"/>
    </xf>
    <xf numFmtId="10" fontId="15" fillId="13" borderId="1" xfId="0" applyNumberFormat="1" applyFont="1" applyFill="1" applyBorder="1" applyAlignment="1">
      <alignment horizontal="center" vertical="top" wrapText="1"/>
    </xf>
    <xf numFmtId="0" fontId="15" fillId="13" borderId="20" xfId="0" applyFont="1" applyFill="1" applyBorder="1" applyAlignment="1">
      <alignment horizontal="center" vertical="top"/>
    </xf>
    <xf numFmtId="0" fontId="17" fillId="13" borderId="1" xfId="0" applyFont="1" applyFill="1" applyBorder="1" applyAlignment="1" applyProtection="1">
      <alignment horizontal="center" vertical="top"/>
      <protection locked="0"/>
    </xf>
    <xf numFmtId="0" fontId="17" fillId="13" borderId="6" xfId="0" applyFont="1" applyFill="1" applyBorder="1" applyAlignment="1" applyProtection="1">
      <alignment horizontal="center" vertical="top"/>
      <protection locked="0"/>
    </xf>
    <xf numFmtId="0" fontId="15" fillId="13" borderId="6" xfId="0" applyFont="1" applyFill="1" applyBorder="1" applyAlignment="1" applyProtection="1">
      <alignment vertical="top"/>
      <protection locked="0"/>
    </xf>
    <xf numFmtId="9" fontId="17" fillId="13" borderId="4" xfId="0" applyNumberFormat="1" applyFont="1" applyFill="1" applyBorder="1" applyAlignment="1" applyProtection="1">
      <alignment horizontal="center" vertical="top"/>
      <protection locked="0"/>
    </xf>
    <xf numFmtId="9" fontId="15" fillId="13" borderId="8" xfId="0" applyNumberFormat="1" applyFont="1" applyFill="1" applyBorder="1" applyAlignment="1" applyProtection="1">
      <alignment horizontal="center" vertical="top"/>
      <protection locked="0"/>
    </xf>
    <xf numFmtId="9" fontId="15" fillId="13" borderId="6" xfId="0" applyNumberFormat="1" applyFont="1" applyFill="1" applyBorder="1" applyAlignment="1" applyProtection="1">
      <alignment horizontal="center" vertical="top"/>
      <protection locked="0"/>
    </xf>
    <xf numFmtId="0" fontId="15" fillId="13" borderId="1" xfId="0" quotePrefix="1" applyFont="1" applyFill="1" applyBorder="1" applyAlignment="1" applyProtection="1">
      <alignment vertical="top" wrapText="1"/>
      <protection locked="0"/>
    </xf>
    <xf numFmtId="0" fontId="2" fillId="0" borderId="4" xfId="0" applyFont="1" applyBorder="1" applyAlignment="1">
      <alignment horizontal="center" vertical="top" wrapText="1"/>
    </xf>
    <xf numFmtId="0" fontId="2" fillId="18" borderId="4" xfId="0" applyFont="1" applyFill="1" applyBorder="1" applyAlignment="1">
      <alignment horizontal="center" vertical="top" wrapText="1"/>
    </xf>
    <xf numFmtId="0" fontId="2" fillId="18" borderId="4" xfId="0" applyFont="1" applyFill="1" applyBorder="1" applyAlignment="1">
      <alignment horizontal="center" vertical="center" wrapText="1"/>
    </xf>
    <xf numFmtId="0" fontId="2" fillId="0" borderId="4" xfId="0" applyFont="1" applyBorder="1" applyAlignment="1">
      <alignment horizontal="left" vertical="top" wrapText="1"/>
    </xf>
    <xf numFmtId="0" fontId="5" fillId="0" borderId="1" xfId="0" applyFont="1" applyBorder="1" applyAlignment="1">
      <alignment vertical="top" wrapText="1"/>
    </xf>
    <xf numFmtId="0" fontId="0" fillId="0" borderId="1" xfId="0" applyBorder="1" applyAlignment="1">
      <alignment horizontal="left"/>
    </xf>
    <xf numFmtId="9" fontId="0" fillId="0" borderId="1" xfId="0" applyNumberFormat="1" applyBorder="1" applyAlignment="1" applyProtection="1">
      <alignment horizontal="center" vertical="top" wrapText="1"/>
      <protection locked="0"/>
    </xf>
    <xf numFmtId="0" fontId="5" fillId="0" borderId="1" xfId="0" applyFont="1" applyBorder="1" applyAlignment="1" applyProtection="1">
      <alignment horizontal="left" vertical="top" wrapText="1"/>
      <protection locked="0"/>
    </xf>
    <xf numFmtId="0" fontId="0" fillId="0" borderId="1" xfId="0" applyBorder="1" applyAlignment="1" applyProtection="1">
      <alignment vertical="top" wrapText="1"/>
      <protection locked="0"/>
    </xf>
    <xf numFmtId="9" fontId="0" fillId="0" borderId="1" xfId="0" applyNumberFormat="1" applyBorder="1" applyAlignment="1">
      <alignment wrapText="1"/>
    </xf>
    <xf numFmtId="0" fontId="5" fillId="0" borderId="1" xfId="0" applyFont="1" applyBorder="1" applyAlignment="1" applyProtection="1">
      <alignment vertical="top" wrapText="1"/>
      <protection locked="0"/>
    </xf>
    <xf numFmtId="0" fontId="0" fillId="0" borderId="1" xfId="0" applyBorder="1" applyAlignment="1">
      <alignment vertical="center" wrapText="1"/>
    </xf>
    <xf numFmtId="0" fontId="0" fillId="0" borderId="1" xfId="0" applyBorder="1" applyAlignment="1">
      <alignment horizontal="center" vertical="center" wrapText="1"/>
    </xf>
    <xf numFmtId="15" fontId="0" fillId="0" borderId="1" xfId="0" applyNumberFormat="1" applyBorder="1" applyAlignment="1">
      <alignment wrapText="1"/>
    </xf>
    <xf numFmtId="0" fontId="0" fillId="0" borderId="1" xfId="0" applyBorder="1" applyAlignment="1" applyProtection="1">
      <alignment wrapText="1"/>
      <protection locked="0"/>
    </xf>
    <xf numFmtId="0" fontId="0" fillId="0" borderId="1" xfId="0" applyBorder="1" applyAlignment="1">
      <alignment horizontal="center" vertical="top"/>
    </xf>
    <xf numFmtId="15" fontId="0" fillId="13" borderId="1" xfId="0" applyNumberFormat="1" applyFill="1" applyBorder="1" applyAlignment="1">
      <alignment horizontal="center" vertical="top" wrapText="1"/>
    </xf>
    <xf numFmtId="164" fontId="0" fillId="13" borderId="1" xfId="0" applyNumberFormat="1" applyFill="1" applyBorder="1" applyAlignment="1">
      <alignment horizontal="center" vertical="top" wrapText="1"/>
    </xf>
    <xf numFmtId="0" fontId="0" fillId="13" borderId="1" xfId="0" applyFill="1" applyBorder="1" applyAlignment="1">
      <alignment horizontal="center" vertical="top" wrapText="1"/>
    </xf>
    <xf numFmtId="165" fontId="0" fillId="13" borderId="1" xfId="0" applyNumberFormat="1" applyFill="1" applyBorder="1" applyAlignment="1">
      <alignment horizontal="center" vertical="top"/>
    </xf>
    <xf numFmtId="165" fontId="0" fillId="14" borderId="1" xfId="0" applyNumberFormat="1" applyFill="1" applyBorder="1" applyAlignment="1">
      <alignment horizontal="center" vertical="top"/>
    </xf>
    <xf numFmtId="9" fontId="5" fillId="0" borderId="1" xfId="0" applyNumberFormat="1" applyFont="1" applyBorder="1"/>
    <xf numFmtId="165" fontId="0" fillId="0" borderId="1" xfId="0" applyNumberFormat="1" applyBorder="1" applyAlignment="1">
      <alignment horizontal="center" vertical="top"/>
    </xf>
    <xf numFmtId="10" fontId="0" fillId="13" borderId="1" xfId="0" applyNumberFormat="1" applyFill="1" applyBorder="1" applyAlignment="1">
      <alignment horizontal="center" vertical="top"/>
    </xf>
    <xf numFmtId="10" fontId="0" fillId="0" borderId="1" xfId="0" applyNumberFormat="1" applyBorder="1" applyAlignment="1">
      <alignment horizontal="center" vertical="top"/>
    </xf>
    <xf numFmtId="9" fontId="0" fillId="13" borderId="1" xfId="0" applyNumberFormat="1" applyFill="1" applyBorder="1" applyAlignment="1">
      <alignment horizontal="center" vertical="top" wrapText="1"/>
    </xf>
    <xf numFmtId="9" fontId="0" fillId="13" borderId="1" xfId="0" applyNumberFormat="1" applyFill="1" applyBorder="1" applyAlignment="1" applyProtection="1">
      <alignment horizontal="center" vertical="top"/>
      <protection locked="0"/>
    </xf>
    <xf numFmtId="0" fontId="5" fillId="13" borderId="1" xfId="0" applyFont="1" applyFill="1" applyBorder="1" applyAlignment="1" applyProtection="1">
      <alignment vertical="top" wrapText="1"/>
      <protection locked="0"/>
    </xf>
    <xf numFmtId="164" fontId="4" fillId="13" borderId="1" xfId="0" applyNumberFormat="1" applyFont="1" applyFill="1" applyBorder="1" applyAlignment="1" applyProtection="1">
      <alignment horizontal="center" vertical="top" wrapText="1"/>
      <protection locked="0"/>
    </xf>
    <xf numFmtId="164" fontId="0" fillId="13" borderId="1" xfId="0" applyNumberFormat="1" applyFill="1" applyBorder="1" applyAlignment="1" applyProtection="1">
      <alignment horizontal="center" vertical="top" wrapText="1"/>
      <protection locked="0"/>
    </xf>
    <xf numFmtId="164" fontId="9" fillId="13" borderId="1" xfId="0" applyNumberFormat="1" applyFont="1" applyFill="1" applyBorder="1" applyAlignment="1" applyProtection="1">
      <alignment horizontal="center" vertical="top" wrapText="1"/>
      <protection locked="0"/>
    </xf>
    <xf numFmtId="0" fontId="0" fillId="13" borderId="1" xfId="0" applyFill="1" applyBorder="1" applyAlignment="1" applyProtection="1">
      <alignment vertical="top" wrapText="1"/>
      <protection locked="0"/>
    </xf>
    <xf numFmtId="0" fontId="0" fillId="13" borderId="1" xfId="0" applyFill="1" applyBorder="1" applyAlignment="1" applyProtection="1">
      <alignment wrapText="1"/>
      <protection locked="0"/>
    </xf>
    <xf numFmtId="0" fontId="0" fillId="0" borderId="1" xfId="0" quotePrefix="1" applyBorder="1" applyAlignment="1" applyProtection="1">
      <alignment vertical="top" wrapText="1"/>
      <protection locked="0"/>
    </xf>
    <xf numFmtId="0" fontId="0" fillId="0" borderId="1" xfId="0" applyBorder="1" applyAlignment="1" applyProtection="1">
      <alignment horizontal="left" vertical="top" wrapText="1"/>
      <protection locked="0"/>
    </xf>
    <xf numFmtId="0" fontId="0" fillId="0" borderId="1" xfId="0" applyBorder="1" applyProtection="1">
      <protection locked="0"/>
    </xf>
    <xf numFmtId="0" fontId="0" fillId="13" borderId="1" xfId="0" applyFill="1" applyBorder="1"/>
    <xf numFmtId="9" fontId="0" fillId="0" borderId="1" xfId="0" applyNumberFormat="1" applyBorder="1"/>
    <xf numFmtId="9" fontId="0" fillId="0" borderId="1" xfId="0" applyNumberFormat="1" applyBorder="1" applyAlignment="1" applyProtection="1">
      <alignment horizontal="center" vertical="top"/>
      <protection locked="0"/>
    </xf>
    <xf numFmtId="164" fontId="4" fillId="0" borderId="1" xfId="0" applyNumberFormat="1" applyFont="1" applyBorder="1" applyAlignment="1" applyProtection="1">
      <alignment horizontal="center" vertical="top" wrapText="1"/>
      <protection locked="0"/>
    </xf>
    <xf numFmtId="164" fontId="0" fillId="0" borderId="1" xfId="0" applyNumberFormat="1" applyBorder="1" applyAlignment="1" applyProtection="1">
      <alignment horizontal="center" vertical="top" wrapText="1"/>
      <protection locked="0"/>
    </xf>
    <xf numFmtId="164" fontId="9" fillId="0" borderId="1" xfId="0" applyNumberFormat="1" applyFont="1" applyBorder="1" applyAlignment="1" applyProtection="1">
      <alignment horizontal="center" vertical="top" wrapText="1"/>
      <protection locked="0"/>
    </xf>
    <xf numFmtId="0" fontId="0" fillId="0" borderId="1" xfId="0" quotePrefix="1" applyBorder="1" applyAlignment="1">
      <alignment horizontal="left" vertical="top" wrapText="1"/>
    </xf>
    <xf numFmtId="0" fontId="0" fillId="0" borderId="1" xfId="0" applyBorder="1" applyAlignment="1">
      <alignment horizontal="left" vertical="top" wrapText="1"/>
    </xf>
    <xf numFmtId="165" fontId="0" fillId="0" borderId="1" xfId="0" applyNumberFormat="1" applyBorder="1" applyAlignment="1">
      <alignment horizontal="center" vertical="top" wrapText="1"/>
    </xf>
    <xf numFmtId="9" fontId="5" fillId="0" borderId="1" xfId="0" applyNumberFormat="1" applyFont="1" applyBorder="1" applyAlignment="1">
      <alignment horizontal="center" vertical="top" wrapText="1"/>
    </xf>
    <xf numFmtId="0" fontId="0" fillId="11" borderId="0" xfId="0" applyFill="1" applyAlignment="1">
      <alignment horizontal="center" vertical="center"/>
    </xf>
    <xf numFmtId="0" fontId="0" fillId="11" borderId="0" xfId="0" applyFill="1" applyAlignment="1">
      <alignment vertical="center"/>
    </xf>
    <xf numFmtId="0" fontId="2" fillId="11" borderId="0" xfId="0" applyFont="1" applyFill="1" applyAlignment="1">
      <alignment vertical="center"/>
    </xf>
    <xf numFmtId="0" fontId="23" fillId="2" borderId="1" xfId="0" applyFont="1" applyFill="1" applyBorder="1" applyAlignment="1">
      <alignment horizontal="center" vertical="top" wrapText="1"/>
    </xf>
    <xf numFmtId="0" fontId="23" fillId="16" borderId="1" xfId="0" applyFont="1" applyFill="1" applyBorder="1" applyAlignment="1">
      <alignment horizontal="center" vertical="top" wrapText="1"/>
    </xf>
    <xf numFmtId="0" fontId="0" fillId="0" borderId="0" xfId="0" pivotButton="1"/>
    <xf numFmtId="0" fontId="0" fillId="0" borderId="1" xfId="0" applyBorder="1" applyAlignment="1">
      <alignment horizontal="left" vertical="top"/>
    </xf>
    <xf numFmtId="0" fontId="0" fillId="0" borderId="1" xfId="0" applyBorder="1" applyAlignment="1">
      <alignment horizontal="center"/>
    </xf>
    <xf numFmtId="0" fontId="0" fillId="15" borderId="0" xfId="0" applyFill="1" applyAlignment="1">
      <alignment horizontal="left"/>
    </xf>
    <xf numFmtId="0" fontId="0" fillId="15" borderId="0" xfId="0" applyFill="1"/>
    <xf numFmtId="0" fontId="25" fillId="19" borderId="1" xfId="0" applyFont="1" applyFill="1" applyBorder="1" applyAlignment="1">
      <alignment horizontal="center" vertical="center" wrapText="1"/>
    </xf>
    <xf numFmtId="0" fontId="18" fillId="13" borderId="1" xfId="0" applyFont="1" applyFill="1" applyBorder="1" applyAlignment="1" applyProtection="1">
      <alignment vertical="top" wrapText="1"/>
      <protection locked="0"/>
    </xf>
    <xf numFmtId="0" fontId="28" fillId="2" borderId="1" xfId="0" applyFont="1" applyFill="1" applyBorder="1" applyAlignment="1">
      <alignment horizontal="center" vertical="top" wrapText="1"/>
    </xf>
    <xf numFmtId="0" fontId="28" fillId="2" borderId="33" xfId="0" applyFont="1" applyFill="1" applyBorder="1" applyAlignment="1">
      <alignment horizontal="center" vertical="top" wrapText="1"/>
    </xf>
    <xf numFmtId="0" fontId="28" fillId="2" borderId="34" xfId="0" applyFont="1" applyFill="1" applyBorder="1" applyAlignment="1">
      <alignment horizontal="center" vertical="top" wrapText="1"/>
    </xf>
    <xf numFmtId="0" fontId="28" fillId="2" borderId="11" xfId="0" applyFont="1" applyFill="1" applyBorder="1" applyAlignment="1">
      <alignment horizontal="center" vertical="top" wrapText="1"/>
    </xf>
    <xf numFmtId="0" fontId="9" fillId="3" borderId="34" xfId="0" applyFont="1" applyFill="1" applyBorder="1" applyAlignment="1">
      <alignment horizontal="center" vertical="top" wrapText="1"/>
    </xf>
    <xf numFmtId="0" fontId="12" fillId="17" borderId="34" xfId="0" applyFont="1" applyFill="1" applyBorder="1" applyAlignment="1">
      <alignment horizontal="center" vertical="top" wrapText="1"/>
    </xf>
    <xf numFmtId="0" fontId="12" fillId="3" borderId="34" xfId="0" applyFont="1" applyFill="1" applyBorder="1" applyAlignment="1">
      <alignment horizontal="center" vertical="top" wrapText="1"/>
    </xf>
    <xf numFmtId="0" fontId="0" fillId="0" borderId="1" xfId="0" applyBorder="1" applyAlignment="1">
      <alignment vertical="top"/>
    </xf>
    <xf numFmtId="0" fontId="2" fillId="0" borderId="36" xfId="0" applyFont="1" applyBorder="1" applyAlignment="1">
      <alignment horizontal="center" vertical="top"/>
    </xf>
    <xf numFmtId="0" fontId="2" fillId="0" borderId="37" xfId="0" applyFont="1" applyBorder="1" applyAlignment="1">
      <alignment horizontal="center" vertical="top"/>
    </xf>
    <xf numFmtId="0" fontId="2" fillId="0" borderId="37" xfId="0" applyFont="1" applyBorder="1" applyAlignment="1">
      <alignment horizontal="center" vertical="top" wrapText="1"/>
    </xf>
    <xf numFmtId="0" fontId="2" fillId="18" borderId="1" xfId="0" applyFont="1" applyFill="1" applyBorder="1" applyAlignment="1">
      <alignment horizontal="center" vertical="top" wrapText="1"/>
    </xf>
    <xf numFmtId="0" fontId="2" fillId="20" borderId="1" xfId="0" applyFont="1" applyFill="1" applyBorder="1" applyAlignment="1">
      <alignment horizontal="center" vertical="top" wrapText="1"/>
    </xf>
    <xf numFmtId="0" fontId="0" fillId="0" borderId="8" xfId="0" applyBorder="1" applyAlignment="1">
      <alignment horizontal="center" vertical="top"/>
    </xf>
    <xf numFmtId="15" fontId="0" fillId="0" borderId="1" xfId="0" applyNumberFormat="1" applyBorder="1" applyAlignment="1">
      <alignment horizontal="center" vertical="top"/>
    </xf>
    <xf numFmtId="15" fontId="26" fillId="0" borderId="1" xfId="0" applyNumberFormat="1" applyFont="1" applyBorder="1" applyAlignment="1">
      <alignment horizontal="center" vertical="top"/>
    </xf>
    <xf numFmtId="15" fontId="0" fillId="0" borderId="1" xfId="0" applyNumberFormat="1" applyBorder="1" applyAlignment="1" applyProtection="1">
      <alignment horizontal="center" vertical="top" wrapText="1"/>
      <protection locked="0"/>
    </xf>
    <xf numFmtId="9" fontId="0" fillId="0" borderId="1" xfId="0" applyNumberFormat="1" applyBorder="1" applyAlignment="1">
      <alignment horizontal="center" vertical="top"/>
    </xf>
    <xf numFmtId="9" fontId="0" fillId="0" borderId="1" xfId="2" applyFont="1" applyBorder="1" applyAlignment="1">
      <alignment horizontal="center" vertical="top"/>
    </xf>
    <xf numFmtId="9" fontId="24" fillId="0" borderId="1" xfId="2" applyFont="1" applyBorder="1" applyAlignment="1">
      <alignment horizontal="center" vertical="top"/>
    </xf>
    <xf numFmtId="0" fontId="0" fillId="0" borderId="6" xfId="0" applyBorder="1" applyAlignment="1">
      <alignment horizontal="left" vertical="top" wrapText="1"/>
    </xf>
    <xf numFmtId="0" fontId="0" fillId="0" borderId="9" xfId="0" applyBorder="1" applyAlignment="1">
      <alignment vertical="top" wrapText="1"/>
    </xf>
    <xf numFmtId="0" fontId="0" fillId="0" borderId="4" xfId="0" applyBorder="1" applyAlignment="1">
      <alignment vertical="top" wrapText="1"/>
    </xf>
    <xf numFmtId="0" fontId="0" fillId="0" borderId="9" xfId="0" applyBorder="1" applyAlignment="1">
      <alignment vertical="top"/>
    </xf>
    <xf numFmtId="0" fontId="0" fillId="0" borderId="8" xfId="0" applyBorder="1" applyAlignment="1">
      <alignment vertical="top"/>
    </xf>
    <xf numFmtId="9" fontId="0" fillId="0" borderId="0" xfId="0" applyNumberFormat="1" applyAlignment="1">
      <alignment vertical="top"/>
    </xf>
    <xf numFmtId="0" fontId="0" fillId="0" borderId="15" xfId="0" applyBorder="1" applyAlignment="1">
      <alignment vertical="top"/>
    </xf>
    <xf numFmtId="0" fontId="0" fillId="0" borderId="15" xfId="0" applyBorder="1" applyAlignment="1">
      <alignment vertical="top" wrapText="1"/>
    </xf>
    <xf numFmtId="9" fontId="30" fillId="0" borderId="1" xfId="2" applyFont="1" applyBorder="1" applyAlignment="1">
      <alignment horizontal="center" vertical="top"/>
    </xf>
    <xf numFmtId="9" fontId="0" fillId="0" borderId="1" xfId="0" applyNumberFormat="1" applyBorder="1" applyAlignment="1">
      <alignment vertical="top"/>
    </xf>
    <xf numFmtId="0" fontId="5" fillId="0" borderId="11" xfId="0" applyFont="1" applyBorder="1" applyAlignment="1">
      <alignment vertical="top" wrapText="1"/>
    </xf>
    <xf numFmtId="0" fontId="0" fillId="0" borderId="11" xfId="0" applyBorder="1" applyAlignment="1">
      <alignment vertical="top" wrapText="1"/>
    </xf>
    <xf numFmtId="0" fontId="0" fillId="0" borderId="11" xfId="0" applyBorder="1" applyAlignment="1">
      <alignment vertical="top"/>
    </xf>
    <xf numFmtId="0" fontId="0" fillId="0" borderId="4" xfId="0" applyBorder="1" applyAlignment="1">
      <alignment vertical="top"/>
    </xf>
    <xf numFmtId="0" fontId="29" fillId="0" borderId="0" xfId="0" applyFont="1" applyAlignment="1">
      <alignment vertical="top" wrapText="1"/>
    </xf>
    <xf numFmtId="164" fontId="0" fillId="0" borderId="0" xfId="0" applyNumberFormat="1" applyAlignment="1">
      <alignment horizontal="center" vertical="top" wrapText="1"/>
    </xf>
    <xf numFmtId="164" fontId="0" fillId="0" borderId="1" xfId="0" applyNumberFormat="1" applyBorder="1" applyAlignment="1" applyProtection="1">
      <alignment horizontal="center" vertical="top"/>
      <protection locked="0"/>
    </xf>
    <xf numFmtId="9" fontId="0" fillId="0" borderId="1" xfId="2" applyFont="1" applyFill="1" applyBorder="1" applyAlignment="1">
      <alignment horizontal="center" vertical="top"/>
    </xf>
    <xf numFmtId="0" fontId="16" fillId="13" borderId="1" xfId="0" applyFont="1" applyFill="1" applyBorder="1" applyAlignment="1">
      <alignment horizontal="left" vertical="top" wrapText="1"/>
    </xf>
    <xf numFmtId="0" fontId="15" fillId="13" borderId="11" xfId="0" quotePrefix="1" applyFont="1" applyFill="1" applyBorder="1" applyAlignment="1" applyProtection="1">
      <alignment horizontal="left" vertical="top" wrapText="1"/>
      <protection locked="0"/>
    </xf>
    <xf numFmtId="0" fontId="15" fillId="13" borderId="1" xfId="0" quotePrefix="1" applyFont="1" applyFill="1" applyBorder="1" applyAlignment="1" applyProtection="1">
      <alignment horizontal="left" vertical="top" wrapText="1"/>
      <protection locked="0"/>
    </xf>
    <xf numFmtId="9" fontId="17" fillId="13" borderId="11" xfId="0" applyNumberFormat="1" applyFont="1" applyFill="1" applyBorder="1" applyAlignment="1" applyProtection="1">
      <alignment horizontal="center" vertical="top"/>
      <protection locked="0"/>
    </xf>
    <xf numFmtId="9" fontId="17" fillId="13" borderId="11" xfId="0" applyNumberFormat="1" applyFont="1" applyFill="1" applyBorder="1" applyAlignment="1" applyProtection="1">
      <alignment vertical="top"/>
      <protection locked="0"/>
    </xf>
    <xf numFmtId="0" fontId="15" fillId="13" borderId="11" xfId="0" applyFont="1" applyFill="1" applyBorder="1" applyAlignment="1" applyProtection="1">
      <alignment vertical="top" wrapText="1"/>
      <protection locked="0"/>
    </xf>
    <xf numFmtId="0" fontId="2" fillId="18" borderId="1" xfId="0" applyFont="1" applyFill="1" applyBorder="1" applyAlignment="1">
      <alignment horizontal="center" vertical="center" wrapText="1"/>
    </xf>
    <xf numFmtId="165" fontId="0" fillId="0" borderId="11" xfId="0" applyNumberFormat="1" applyBorder="1" applyAlignment="1">
      <alignment horizontal="center" vertical="top" wrapText="1"/>
    </xf>
    <xf numFmtId="9" fontId="15" fillId="13" borderId="9" xfId="0" applyNumberFormat="1" applyFont="1" applyFill="1" applyBorder="1" applyAlignment="1" applyProtection="1">
      <alignment horizontal="center" vertical="top"/>
      <protection locked="0"/>
    </xf>
    <xf numFmtId="9" fontId="15" fillId="13" borderId="4" xfId="0" applyNumberFormat="1" applyFont="1" applyFill="1" applyBorder="1" applyAlignment="1" applyProtection="1">
      <alignment horizontal="center" vertical="top"/>
      <protection locked="0"/>
    </xf>
    <xf numFmtId="9" fontId="17" fillId="13" borderId="6" xfId="0" applyNumberFormat="1" applyFont="1" applyFill="1" applyBorder="1" applyAlignment="1" applyProtection="1">
      <alignment horizontal="center" vertical="top"/>
      <protection locked="0"/>
    </xf>
    <xf numFmtId="9" fontId="15" fillId="13" borderId="11" xfId="0" applyNumberFormat="1" applyFont="1" applyFill="1" applyBorder="1" applyAlignment="1" applyProtection="1">
      <alignment horizontal="center" vertical="top"/>
      <protection locked="0"/>
    </xf>
    <xf numFmtId="49" fontId="15" fillId="13" borderId="1" xfId="0" quotePrefix="1" applyNumberFormat="1" applyFont="1" applyFill="1" applyBorder="1" applyAlignment="1" applyProtection="1">
      <alignment vertical="top" wrapText="1"/>
      <protection locked="0"/>
    </xf>
    <xf numFmtId="0" fontId="15" fillId="13" borderId="3" xfId="0" applyFont="1" applyFill="1" applyBorder="1" applyAlignment="1">
      <alignment vertical="top" wrapText="1"/>
    </xf>
    <xf numFmtId="9" fontId="15" fillId="13" borderId="15" xfId="0" applyNumberFormat="1" applyFont="1" applyFill="1" applyBorder="1" applyAlignment="1" applyProtection="1">
      <alignment horizontal="center" vertical="top"/>
      <protection locked="0"/>
    </xf>
    <xf numFmtId="9" fontId="15" fillId="13" borderId="15" xfId="0" applyNumberFormat="1" applyFont="1" applyFill="1" applyBorder="1" applyAlignment="1" applyProtection="1">
      <alignment vertical="top"/>
      <protection locked="0"/>
    </xf>
    <xf numFmtId="0" fontId="15" fillId="13" borderId="9" xfId="0" applyFont="1" applyFill="1" applyBorder="1" applyAlignment="1" applyProtection="1">
      <alignment vertical="top" wrapText="1"/>
      <protection locked="0"/>
    </xf>
    <xf numFmtId="9" fontId="15" fillId="13" borderId="16" xfId="0" applyNumberFormat="1" applyFont="1" applyFill="1" applyBorder="1" applyAlignment="1" applyProtection="1">
      <alignment horizontal="center" vertical="top"/>
      <protection locked="0"/>
    </xf>
    <xf numFmtId="9" fontId="15" fillId="13" borderId="17" xfId="0" applyNumberFormat="1" applyFont="1" applyFill="1" applyBorder="1" applyAlignment="1" applyProtection="1">
      <alignment horizontal="center" vertical="top"/>
      <protection locked="0"/>
    </xf>
    <xf numFmtId="49" fontId="17" fillId="13" borderId="1" xfId="0" applyNumberFormat="1" applyFont="1" applyFill="1" applyBorder="1" applyAlignment="1" applyProtection="1">
      <alignment vertical="top" wrapText="1"/>
      <protection locked="0"/>
    </xf>
    <xf numFmtId="164" fontId="15" fillId="13" borderId="1" xfId="0" quotePrefix="1" applyNumberFormat="1" applyFont="1" applyFill="1" applyBorder="1" applyAlignment="1" applyProtection="1">
      <alignment vertical="top" wrapText="1"/>
      <protection locked="0"/>
    </xf>
    <xf numFmtId="0" fontId="17" fillId="13" borderId="1" xfId="0" quotePrefix="1" applyFont="1" applyFill="1" applyBorder="1" applyAlignment="1" applyProtection="1">
      <alignment vertical="top" wrapText="1"/>
      <protection locked="0"/>
    </xf>
    <xf numFmtId="9" fontId="15" fillId="13" borderId="4" xfId="0" applyNumberFormat="1" applyFont="1" applyFill="1" applyBorder="1" applyAlignment="1" applyProtection="1">
      <alignment vertical="top"/>
      <protection locked="0"/>
    </xf>
    <xf numFmtId="0" fontId="0" fillId="0" borderId="1" xfId="0" quotePrefix="1" applyBorder="1" applyAlignment="1">
      <alignment vertical="top" wrapText="1"/>
    </xf>
    <xf numFmtId="9" fontId="24" fillId="0" borderId="1" xfId="2" applyFont="1" applyFill="1" applyBorder="1" applyAlignment="1">
      <alignment horizontal="center" vertical="top"/>
    </xf>
    <xf numFmtId="165" fontId="0" fillId="0" borderId="1" xfId="2" applyNumberFormat="1" applyFont="1" applyFill="1" applyBorder="1" applyAlignment="1">
      <alignment horizontal="center" vertical="top"/>
    </xf>
    <xf numFmtId="166" fontId="0" fillId="0" borderId="1" xfId="0" applyNumberFormat="1" applyBorder="1" applyAlignment="1">
      <alignment vertical="top"/>
    </xf>
    <xf numFmtId="0" fontId="29" fillId="0" borderId="4" xfId="0" applyFont="1" applyBorder="1" applyAlignment="1">
      <alignment vertical="top" wrapText="1"/>
    </xf>
    <xf numFmtId="0" fontId="0" fillId="0" borderId="11" xfId="0" applyBorder="1" applyAlignment="1">
      <alignment horizontal="left" vertical="top" wrapText="1"/>
    </xf>
    <xf numFmtId="0" fontId="2" fillId="0" borderId="24" xfId="0" applyFont="1" applyBorder="1" applyAlignment="1">
      <alignment horizontal="center" vertical="top"/>
    </xf>
    <xf numFmtId="0" fontId="2" fillId="0" borderId="1" xfId="0" applyFont="1" applyBorder="1" applyAlignment="1">
      <alignment vertical="top" wrapText="1"/>
    </xf>
    <xf numFmtId="0" fontId="4" fillId="0" borderId="1" xfId="0" applyFont="1" applyBorder="1" applyAlignment="1">
      <alignment vertical="top" wrapText="1"/>
    </xf>
    <xf numFmtId="0" fontId="18" fillId="13" borderId="11" xfId="0" quotePrefix="1" applyFont="1" applyFill="1" applyBorder="1" applyAlignment="1" applyProtection="1">
      <alignment horizontal="left" vertical="top" wrapText="1"/>
      <protection locked="0"/>
    </xf>
    <xf numFmtId="0" fontId="18" fillId="13" borderId="9" xfId="0" applyFont="1" applyFill="1" applyBorder="1" applyAlignment="1" applyProtection="1">
      <alignment vertical="top" wrapText="1"/>
      <protection locked="0"/>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top"/>
    </xf>
    <xf numFmtId="0" fontId="15" fillId="13" borderId="1" xfId="0" applyFont="1" applyFill="1" applyBorder="1" applyAlignment="1">
      <alignment horizontal="left" vertical="top" wrapText="1"/>
    </xf>
    <xf numFmtId="0" fontId="15" fillId="13" borderId="1" xfId="1" applyFont="1" applyFill="1" applyBorder="1" applyAlignment="1">
      <alignment horizontal="center" vertical="top" wrapText="1"/>
    </xf>
    <xf numFmtId="0" fontId="15" fillId="13" borderId="6" xfId="0" applyFont="1" applyFill="1" applyBorder="1" applyAlignment="1">
      <alignment vertical="top"/>
    </xf>
    <xf numFmtId="164" fontId="15" fillId="13" borderId="8" xfId="0" applyNumberFormat="1" applyFont="1" applyFill="1" applyBorder="1" applyAlignment="1">
      <alignment horizontal="center" vertical="top"/>
    </xf>
    <xf numFmtId="164" fontId="15" fillId="13" borderId="1" xfId="0" applyNumberFormat="1" applyFont="1" applyFill="1" applyBorder="1" applyAlignment="1">
      <alignment horizontal="center" vertical="top"/>
    </xf>
    <xf numFmtId="15" fontId="15" fillId="13" borderId="1" xfId="0" applyNumberFormat="1" applyFont="1" applyFill="1" applyBorder="1" applyAlignment="1">
      <alignment horizontal="center" vertical="top"/>
    </xf>
    <xf numFmtId="9" fontId="15" fillId="13" borderId="1" xfId="0" applyNumberFormat="1" applyFont="1" applyFill="1" applyBorder="1" applyAlignment="1">
      <alignment horizontal="center" vertical="top"/>
    </xf>
    <xf numFmtId="0" fontId="15" fillId="13" borderId="1" xfId="0" applyFont="1" applyFill="1" applyBorder="1" applyAlignment="1">
      <alignment vertical="top"/>
    </xf>
    <xf numFmtId="9" fontId="15" fillId="13" borderId="1" xfId="0" applyNumberFormat="1" applyFont="1" applyFill="1" applyBorder="1" applyAlignment="1">
      <alignment vertical="top"/>
    </xf>
    <xf numFmtId="0" fontId="15" fillId="13" borderId="1" xfId="0" applyFont="1" applyFill="1" applyBorder="1" applyAlignment="1">
      <alignment vertical="top" wrapText="1"/>
    </xf>
    <xf numFmtId="0" fontId="15" fillId="13" borderId="1" xfId="0" applyFont="1" applyFill="1" applyBorder="1" applyAlignment="1">
      <alignment horizontal="left" vertical="top"/>
    </xf>
    <xf numFmtId="0" fontId="18" fillId="13" borderId="1" xfId="0" applyFont="1" applyFill="1" applyBorder="1" applyAlignment="1">
      <alignment horizontal="left" vertical="top" wrapText="1"/>
    </xf>
    <xf numFmtId="0" fontId="15" fillId="13" borderId="1" xfId="1" applyFont="1" applyFill="1" applyBorder="1" applyAlignment="1">
      <alignment vertical="top" wrapText="1"/>
    </xf>
    <xf numFmtId="0" fontId="15" fillId="13" borderId="1" xfId="1" applyFont="1" applyFill="1" applyBorder="1" applyAlignment="1">
      <alignment horizontal="center" vertical="top"/>
    </xf>
    <xf numFmtId="0" fontId="15" fillId="13" borderId="3" xfId="0" applyFont="1" applyFill="1" applyBorder="1" applyAlignment="1">
      <alignment horizontal="center" vertical="top"/>
    </xf>
    <xf numFmtId="0" fontId="15" fillId="13" borderId="20" xfId="0" applyFont="1" applyFill="1" applyBorder="1" applyAlignment="1">
      <alignment horizontal="center" vertical="top" wrapText="1"/>
    </xf>
    <xf numFmtId="164" fontId="17" fillId="13" borderId="8" xfId="0" applyNumberFormat="1" applyFont="1" applyFill="1" applyBorder="1" applyAlignment="1">
      <alignment horizontal="center" vertical="top" wrapText="1"/>
    </xf>
    <xf numFmtId="164" fontId="15" fillId="13" borderId="8" xfId="0" applyNumberFormat="1" applyFont="1" applyFill="1" applyBorder="1" applyAlignment="1">
      <alignment horizontal="center" vertical="top" wrapText="1"/>
    </xf>
    <xf numFmtId="0" fontId="15" fillId="13" borderId="1" xfId="0" quotePrefix="1" applyFont="1" applyFill="1" applyBorder="1" applyAlignment="1">
      <alignment vertical="top" wrapText="1"/>
    </xf>
    <xf numFmtId="0" fontId="16" fillId="13" borderId="4" xfId="0" applyFont="1" applyFill="1" applyBorder="1" applyAlignment="1">
      <alignment horizontal="left" vertical="top" wrapText="1"/>
    </xf>
    <xf numFmtId="0" fontId="18" fillId="13" borderId="4" xfId="0" applyFont="1" applyFill="1" applyBorder="1" applyAlignment="1">
      <alignment horizontal="left" vertical="top" wrapText="1"/>
    </xf>
    <xf numFmtId="0" fontId="15" fillId="13" borderId="1" xfId="0" applyFont="1" applyFill="1" applyBorder="1" applyAlignment="1">
      <alignment horizontal="center" vertical="center"/>
    </xf>
    <xf numFmtId="0" fontId="15" fillId="13" borderId="1" xfId="0" quotePrefix="1" applyFont="1" applyFill="1" applyBorder="1" applyAlignment="1">
      <alignment horizontal="center" vertical="top" wrapText="1"/>
    </xf>
    <xf numFmtId="0" fontId="0" fillId="13" borderId="1" xfId="0" applyFill="1" applyBorder="1" applyAlignment="1">
      <alignment horizontal="left" vertical="top"/>
    </xf>
    <xf numFmtId="0" fontId="0" fillId="13" borderId="1" xfId="0" applyFill="1" applyBorder="1" applyAlignment="1">
      <alignment horizontal="center" vertical="top"/>
    </xf>
    <xf numFmtId="0" fontId="0" fillId="13" borderId="1" xfId="0" applyFill="1" applyBorder="1" applyAlignment="1">
      <alignment horizontal="left" vertical="top" wrapText="1"/>
    </xf>
    <xf numFmtId="0" fontId="15" fillId="13" borderId="8" xfId="0" applyFont="1" applyFill="1" applyBorder="1" applyAlignment="1">
      <alignment horizontal="left" vertical="top" wrapText="1"/>
    </xf>
    <xf numFmtId="0" fontId="16" fillId="13" borderId="11" xfId="0" applyFont="1" applyFill="1" applyBorder="1" applyAlignment="1">
      <alignment horizontal="left" vertical="top" wrapText="1"/>
    </xf>
    <xf numFmtId="0" fontId="18" fillId="13" borderId="11" xfId="0" applyFont="1" applyFill="1" applyBorder="1" applyAlignment="1">
      <alignment horizontal="left" vertical="top" wrapText="1"/>
    </xf>
    <xf numFmtId="9" fontId="15" fillId="13" borderId="0" xfId="0" applyNumberFormat="1" applyFont="1" applyFill="1" applyAlignment="1">
      <alignment vertical="top"/>
    </xf>
    <xf numFmtId="0" fontId="0" fillId="13" borderId="0" xfId="0" applyFill="1" applyAlignment="1">
      <alignment horizontal="center" vertical="top" wrapText="1"/>
    </xf>
    <xf numFmtId="0" fontId="15" fillId="0" borderId="2" xfId="0" applyFont="1" applyBorder="1" applyAlignment="1">
      <alignment vertical="top" wrapText="1"/>
    </xf>
    <xf numFmtId="15" fontId="15" fillId="13" borderId="4" xfId="0" applyNumberFormat="1" applyFont="1" applyFill="1" applyBorder="1" applyAlignment="1">
      <alignment horizontal="center" vertical="top" wrapText="1"/>
    </xf>
    <xf numFmtId="15" fontId="15" fillId="13" borderId="8" xfId="0" applyNumberFormat="1" applyFont="1" applyFill="1" applyBorder="1" applyAlignment="1">
      <alignment horizontal="center" vertical="top"/>
    </xf>
    <xf numFmtId="0" fontId="16" fillId="13" borderId="1" xfId="0" applyFont="1" applyFill="1" applyBorder="1" applyAlignment="1">
      <alignment vertical="top"/>
    </xf>
    <xf numFmtId="0" fontId="16" fillId="13" borderId="1" xfId="0" applyFont="1" applyFill="1" applyBorder="1" applyAlignment="1">
      <alignment horizontal="center" vertical="top"/>
    </xf>
    <xf numFmtId="0" fontId="15" fillId="13" borderId="8" xfId="0" applyFont="1" applyFill="1" applyBorder="1" applyAlignment="1">
      <alignment horizontal="center" vertical="top" wrapText="1"/>
    </xf>
    <xf numFmtId="15" fontId="15" fillId="13" borderId="6" xfId="0" applyNumberFormat="1" applyFont="1" applyFill="1" applyBorder="1" applyAlignment="1">
      <alignment horizontal="center" vertical="top" wrapText="1"/>
    </xf>
    <xf numFmtId="15" fontId="15" fillId="13" borderId="9" xfId="0" applyNumberFormat="1" applyFont="1" applyFill="1" applyBorder="1" applyAlignment="1">
      <alignment horizontal="center" vertical="top" wrapText="1"/>
    </xf>
    <xf numFmtId="15" fontId="15" fillId="13" borderId="10" xfId="0" applyNumberFormat="1" applyFont="1" applyFill="1" applyBorder="1" applyAlignment="1">
      <alignment horizontal="center" vertical="top" wrapText="1"/>
    </xf>
    <xf numFmtId="0" fontId="15" fillId="13" borderId="9" xfId="0" applyFont="1" applyFill="1" applyBorder="1" applyAlignment="1">
      <alignment vertical="top" wrapText="1"/>
    </xf>
    <xf numFmtId="0" fontId="15" fillId="13" borderId="10" xfId="0" applyFont="1" applyFill="1" applyBorder="1" applyAlignment="1">
      <alignment vertical="top" wrapText="1"/>
    </xf>
    <xf numFmtId="0" fontId="15" fillId="13" borderId="8" xfId="0" applyFont="1" applyFill="1" applyBorder="1" applyAlignment="1">
      <alignment horizontal="left" vertical="top"/>
    </xf>
    <xf numFmtId="0" fontId="17" fillId="13" borderId="1" xfId="0" applyFont="1" applyFill="1" applyBorder="1" applyAlignment="1">
      <alignment horizontal="left" vertical="top"/>
    </xf>
    <xf numFmtId="0" fontId="15" fillId="13" borderId="6" xfId="0" applyFont="1" applyFill="1" applyBorder="1" applyAlignment="1">
      <alignment horizontal="left" vertical="top"/>
    </xf>
    <xf numFmtId="0" fontId="15" fillId="13" borderId="9" xfId="0" applyFont="1" applyFill="1" applyBorder="1" applyAlignment="1">
      <alignment horizontal="center" vertical="top"/>
    </xf>
    <xf numFmtId="0" fontId="19" fillId="13" borderId="9" xfId="0" applyFont="1" applyFill="1" applyBorder="1" applyAlignment="1">
      <alignment vertical="top" wrapText="1"/>
    </xf>
    <xf numFmtId="0" fontId="15" fillId="13" borderId="8" xfId="0" applyFont="1" applyFill="1" applyBorder="1" applyAlignment="1">
      <alignment vertical="top" wrapText="1"/>
    </xf>
    <xf numFmtId="0" fontId="15" fillId="13" borderId="17" xfId="0" applyFont="1" applyFill="1" applyBorder="1" applyAlignment="1">
      <alignment horizontal="left" vertical="top" wrapText="1"/>
    </xf>
    <xf numFmtId="0" fontId="15" fillId="13" borderId="15" xfId="0" applyFont="1" applyFill="1" applyBorder="1" applyAlignment="1">
      <alignment horizontal="center" vertical="top"/>
    </xf>
    <xf numFmtId="0" fontId="17" fillId="13" borderId="1" xfId="0" applyFont="1" applyFill="1" applyBorder="1" applyAlignment="1">
      <alignment horizontal="center" vertical="top"/>
    </xf>
    <xf numFmtId="0" fontId="17" fillId="13" borderId="1" xfId="0" applyFont="1" applyFill="1" applyBorder="1" applyAlignment="1">
      <alignment horizontal="center" vertical="top" wrapText="1"/>
    </xf>
    <xf numFmtId="15" fontId="15" fillId="13" borderId="5" xfId="0" applyNumberFormat="1" applyFont="1" applyFill="1" applyBorder="1" applyAlignment="1">
      <alignment horizontal="left" vertical="top"/>
    </xf>
    <xf numFmtId="164" fontId="17" fillId="13" borderId="7" xfId="0" applyNumberFormat="1" applyFont="1" applyFill="1" applyBorder="1" applyAlignment="1">
      <alignment horizontal="center" vertical="top" wrapText="1"/>
    </xf>
    <xf numFmtId="0" fontId="15" fillId="13" borderId="6" xfId="0" applyFont="1" applyFill="1" applyBorder="1" applyAlignment="1">
      <alignment horizontal="left" vertical="top" wrapText="1"/>
    </xf>
    <xf numFmtId="0" fontId="15" fillId="13" borderId="11" xfId="0" applyFont="1" applyFill="1" applyBorder="1" applyAlignment="1">
      <alignment horizontal="left" vertical="top" wrapText="1"/>
    </xf>
    <xf numFmtId="0" fontId="15" fillId="13" borderId="0" xfId="0" applyFont="1" applyFill="1" applyAlignment="1">
      <alignment horizontal="left" vertical="top"/>
    </xf>
    <xf numFmtId="0" fontId="17" fillId="13" borderId="1" xfId="0" applyFont="1" applyFill="1" applyBorder="1" applyAlignment="1">
      <alignment vertical="top" wrapText="1"/>
    </xf>
    <xf numFmtId="0" fontId="15" fillId="13" borderId="8" xfId="0" quotePrefix="1" applyFont="1" applyFill="1" applyBorder="1" applyAlignment="1">
      <alignment horizontal="center" vertical="top" wrapText="1"/>
    </xf>
    <xf numFmtId="0" fontId="15" fillId="13" borderId="7" xfId="0" applyFont="1" applyFill="1" applyBorder="1" applyAlignment="1">
      <alignment horizontal="left" vertical="top" wrapText="1"/>
    </xf>
    <xf numFmtId="0" fontId="15" fillId="13" borderId="4" xfId="0" applyFont="1" applyFill="1" applyBorder="1" applyAlignment="1">
      <alignment horizontal="left" vertical="top" wrapText="1"/>
    </xf>
    <xf numFmtId="15" fontId="15" fillId="13" borderId="1" xfId="0" applyNumberFormat="1" applyFont="1" applyFill="1" applyBorder="1" applyAlignment="1">
      <alignment horizontal="left" vertical="top"/>
    </xf>
    <xf numFmtId="164" fontId="17" fillId="13" borderId="1" xfId="0" applyNumberFormat="1" applyFont="1" applyFill="1" applyBorder="1" applyAlignment="1">
      <alignment horizontal="center" vertical="top" wrapText="1"/>
    </xf>
    <xf numFmtId="165" fontId="15" fillId="13" borderId="8" xfId="0" quotePrefix="1" applyNumberFormat="1" applyFont="1" applyFill="1" applyBorder="1" applyAlignment="1">
      <alignment horizontal="center" vertical="top"/>
    </xf>
    <xf numFmtId="165" fontId="15" fillId="13" borderId="1" xfId="0" quotePrefix="1" applyNumberFormat="1" applyFont="1" applyFill="1" applyBorder="1" applyAlignment="1">
      <alignment horizontal="center" vertical="top"/>
    </xf>
    <xf numFmtId="0" fontId="15" fillId="13" borderId="6" xfId="0" applyFont="1" applyFill="1" applyBorder="1" applyAlignment="1">
      <alignment horizontal="center" vertical="top"/>
    </xf>
    <xf numFmtId="0" fontId="15" fillId="13" borderId="8" xfId="0" applyFont="1" applyFill="1" applyBorder="1" applyAlignment="1">
      <alignment horizontal="center" vertical="top"/>
    </xf>
    <xf numFmtId="15" fontId="15" fillId="13" borderId="11" xfId="0" applyNumberFormat="1" applyFont="1" applyFill="1" applyBorder="1" applyAlignment="1">
      <alignment horizontal="center" vertical="top" wrapText="1"/>
    </xf>
    <xf numFmtId="165" fontId="15" fillId="13" borderId="1" xfId="0" applyNumberFormat="1" applyFont="1" applyFill="1" applyBorder="1" applyAlignment="1">
      <alignment vertical="top"/>
    </xf>
    <xf numFmtId="0" fontId="15" fillId="13" borderId="1" xfId="0" quotePrefix="1" applyFont="1" applyFill="1" applyBorder="1" applyAlignment="1">
      <alignment vertical="top"/>
    </xf>
    <xf numFmtId="0" fontId="15" fillId="13" borderId="1" xfId="0" applyFont="1" applyFill="1" applyBorder="1" applyAlignment="1">
      <alignment horizontal="center" vertical="top" readingOrder="1"/>
    </xf>
    <xf numFmtId="15" fontId="15" fillId="13" borderId="1" xfId="0" quotePrefix="1" applyNumberFormat="1" applyFont="1" applyFill="1" applyBorder="1" applyAlignment="1">
      <alignment horizontal="center" vertical="top" wrapText="1"/>
    </xf>
    <xf numFmtId="0" fontId="15" fillId="13" borderId="4" xfId="0" applyFont="1" applyFill="1" applyBorder="1" applyAlignment="1">
      <alignment vertical="top" wrapText="1"/>
    </xf>
    <xf numFmtId="49" fontId="15" fillId="13" borderId="1" xfId="0" applyNumberFormat="1" applyFont="1" applyFill="1" applyBorder="1" applyAlignment="1">
      <alignment horizontal="center" vertical="top" wrapText="1"/>
    </xf>
    <xf numFmtId="0" fontId="15" fillId="13" borderId="1" xfId="0" applyFont="1" applyFill="1" applyBorder="1" applyAlignment="1">
      <alignment horizontal="left" vertical="top" wrapText="1" readingOrder="1"/>
    </xf>
    <xf numFmtId="0" fontId="15" fillId="13" borderId="11" xfId="0" applyFont="1" applyFill="1" applyBorder="1" applyAlignment="1">
      <alignment vertical="top" wrapText="1"/>
    </xf>
    <xf numFmtId="0" fontId="15" fillId="13" borderId="19" xfId="0" applyFont="1" applyFill="1" applyBorder="1" applyAlignment="1">
      <alignment horizontal="left" vertical="top" wrapText="1"/>
    </xf>
    <xf numFmtId="0" fontId="15" fillId="13" borderId="20" xfId="0" applyFont="1" applyFill="1" applyBorder="1" applyAlignment="1">
      <alignment vertical="top" wrapText="1"/>
    </xf>
    <xf numFmtId="0" fontId="15" fillId="13" borderId="4" xfId="0" applyFont="1" applyFill="1" applyBorder="1" applyAlignment="1">
      <alignment horizontal="center" vertical="top" wrapText="1"/>
    </xf>
    <xf numFmtId="0" fontId="15" fillId="13" borderId="7" xfId="0" applyFont="1" applyFill="1" applyBorder="1" applyAlignment="1">
      <alignment horizontal="center" vertical="top"/>
    </xf>
    <xf numFmtId="0" fontId="15" fillId="13" borderId="24" xfId="0" applyFont="1" applyFill="1" applyBorder="1" applyAlignment="1">
      <alignment vertical="top" wrapText="1"/>
    </xf>
    <xf numFmtId="0" fontId="15" fillId="13" borderId="4" xfId="0" applyFont="1" applyFill="1" applyBorder="1" applyAlignment="1">
      <alignment horizontal="center" vertical="top"/>
    </xf>
    <xf numFmtId="10" fontId="15" fillId="13" borderId="4" xfId="0" applyNumberFormat="1" applyFont="1" applyFill="1" applyBorder="1" applyAlignment="1">
      <alignment horizontal="center" vertical="top" wrapText="1"/>
    </xf>
    <xf numFmtId="0" fontId="15" fillId="13" borderId="4" xfId="0" applyFont="1" applyFill="1" applyBorder="1" applyAlignment="1">
      <alignment horizontal="center" vertical="top" wrapText="1" readingOrder="1"/>
    </xf>
    <xf numFmtId="164" fontId="15" fillId="13" borderId="4" xfId="0" applyNumberFormat="1" applyFont="1" applyFill="1" applyBorder="1" applyAlignment="1">
      <alignment horizontal="center" vertical="top" wrapText="1"/>
    </xf>
    <xf numFmtId="0" fontId="15" fillId="13" borderId="38" xfId="0" applyFont="1" applyFill="1" applyBorder="1" applyAlignment="1">
      <alignment horizontal="center" vertical="top"/>
    </xf>
    <xf numFmtId="15" fontId="15" fillId="13" borderId="23" xfId="0" applyNumberFormat="1" applyFont="1" applyFill="1" applyBorder="1" applyAlignment="1">
      <alignment horizontal="center" vertical="top" wrapText="1"/>
    </xf>
    <xf numFmtId="15" fontId="15" fillId="13" borderId="15" xfId="0" applyNumberFormat="1" applyFont="1" applyFill="1" applyBorder="1" applyAlignment="1">
      <alignment horizontal="center" vertical="top" wrapText="1"/>
    </xf>
    <xf numFmtId="164" fontId="15" fillId="13" borderId="15" xfId="0" applyNumberFormat="1" applyFont="1" applyFill="1" applyBorder="1" applyAlignment="1">
      <alignment horizontal="center" vertical="top"/>
    </xf>
    <xf numFmtId="165" fontId="15" fillId="13" borderId="4" xfId="0" applyNumberFormat="1" applyFont="1" applyFill="1" applyBorder="1" applyAlignment="1">
      <alignment horizontal="center" vertical="top"/>
    </xf>
    <xf numFmtId="10" fontId="15" fillId="13" borderId="4" xfId="0" applyNumberFormat="1" applyFont="1" applyFill="1" applyBorder="1" applyAlignment="1">
      <alignment horizontal="center" vertical="top"/>
    </xf>
    <xf numFmtId="0" fontId="15" fillId="13" borderId="15" xfId="0" applyFont="1" applyFill="1" applyBorder="1" applyAlignment="1">
      <alignment vertical="top"/>
    </xf>
    <xf numFmtId="9" fontId="15" fillId="13" borderId="4" xfId="0" applyNumberFormat="1" applyFont="1" applyFill="1" applyBorder="1" applyAlignment="1">
      <alignment horizontal="center" vertical="top" wrapText="1"/>
    </xf>
    <xf numFmtId="9" fontId="15" fillId="13" borderId="15" xfId="0" applyNumberFormat="1" applyFont="1" applyFill="1" applyBorder="1" applyAlignment="1">
      <alignment horizontal="center" vertical="top" wrapText="1"/>
    </xf>
    <xf numFmtId="0" fontId="15" fillId="13" borderId="15" xfId="0" applyFont="1" applyFill="1" applyBorder="1" applyAlignment="1">
      <alignment vertical="top" wrapText="1"/>
    </xf>
    <xf numFmtId="164" fontId="17" fillId="13" borderId="23" xfId="0" applyNumberFormat="1" applyFont="1" applyFill="1" applyBorder="1" applyAlignment="1">
      <alignment horizontal="center" vertical="top" wrapText="1"/>
    </xf>
    <xf numFmtId="164" fontId="15" fillId="13" borderId="15" xfId="0" applyNumberFormat="1" applyFont="1" applyFill="1" applyBorder="1" applyAlignment="1">
      <alignment horizontal="center" vertical="top" wrapText="1"/>
    </xf>
    <xf numFmtId="164" fontId="15" fillId="13" borderId="23" xfId="0" applyNumberFormat="1" applyFont="1" applyFill="1" applyBorder="1" applyAlignment="1">
      <alignment horizontal="center" vertical="top" wrapText="1"/>
    </xf>
    <xf numFmtId="0" fontId="15" fillId="13" borderId="15" xfId="0" applyFont="1" applyFill="1" applyBorder="1" applyAlignment="1">
      <alignment horizontal="left" vertical="top"/>
    </xf>
    <xf numFmtId="0" fontId="15" fillId="13" borderId="22" xfId="0" applyFont="1" applyFill="1" applyBorder="1" applyAlignment="1">
      <alignment vertical="top"/>
    </xf>
    <xf numFmtId="0" fontId="15" fillId="13" borderId="39" xfId="0" applyFont="1" applyFill="1" applyBorder="1" applyAlignment="1">
      <alignment horizontal="left" vertical="top" wrapText="1"/>
    </xf>
    <xf numFmtId="0" fontId="15" fillId="13" borderId="18" xfId="0" applyFont="1" applyFill="1" applyBorder="1" applyAlignment="1">
      <alignment horizontal="left" vertical="top" wrapText="1"/>
    </xf>
    <xf numFmtId="0" fontId="0" fillId="13" borderId="1" xfId="0" applyFill="1" applyBorder="1" applyAlignment="1">
      <alignment vertical="top" wrapText="1"/>
    </xf>
    <xf numFmtId="0" fontId="0" fillId="13" borderId="1" xfId="0" applyFill="1" applyBorder="1" applyAlignment="1">
      <alignment vertical="top"/>
    </xf>
    <xf numFmtId="0" fontId="0" fillId="13" borderId="1" xfId="0" applyFill="1" applyBorder="1" applyAlignment="1">
      <alignment wrapText="1"/>
    </xf>
    <xf numFmtId="0" fontId="15" fillId="13" borderId="6" xfId="1" applyFont="1" applyFill="1" applyBorder="1" applyAlignment="1">
      <alignment vertical="top" wrapText="1"/>
    </xf>
    <xf numFmtId="0" fontId="16" fillId="13" borderId="1" xfId="0" applyFont="1" applyFill="1" applyBorder="1" applyAlignment="1">
      <alignment horizontal="left" vertical="top"/>
    </xf>
    <xf numFmtId="0" fontId="15" fillId="13" borderId="11" xfId="0" applyFont="1" applyFill="1" applyBorder="1" applyAlignment="1">
      <alignment horizontal="center" vertical="top"/>
    </xf>
    <xf numFmtId="0" fontId="15" fillId="13" borderId="30" xfId="0" applyFont="1" applyFill="1" applyBorder="1" applyAlignment="1">
      <alignment horizontal="center" vertical="top"/>
    </xf>
    <xf numFmtId="0" fontId="15" fillId="13" borderId="21" xfId="0" applyFont="1" applyFill="1" applyBorder="1" applyAlignment="1">
      <alignment vertical="top" wrapText="1"/>
    </xf>
    <xf numFmtId="0" fontId="15" fillId="13" borderId="11" xfId="0" applyFont="1" applyFill="1" applyBorder="1" applyAlignment="1">
      <alignment horizontal="center" vertical="top" wrapText="1"/>
    </xf>
    <xf numFmtId="0" fontId="15" fillId="13" borderId="11" xfId="0" applyFont="1" applyFill="1" applyBorder="1" applyAlignment="1">
      <alignment horizontal="center" vertical="top" wrapText="1" readingOrder="1"/>
    </xf>
    <xf numFmtId="164" fontId="15" fillId="13" borderId="11" xfId="0" applyNumberFormat="1" applyFont="1" applyFill="1" applyBorder="1" applyAlignment="1">
      <alignment horizontal="center" vertical="top" wrapText="1"/>
    </xf>
    <xf numFmtId="0" fontId="15" fillId="13" borderId="31" xfId="0" applyFont="1" applyFill="1" applyBorder="1" applyAlignment="1">
      <alignment horizontal="center" vertical="top"/>
    </xf>
    <xf numFmtId="164" fontId="15" fillId="13" borderId="12" xfId="0" applyNumberFormat="1" applyFont="1" applyFill="1" applyBorder="1" applyAlignment="1">
      <alignment horizontal="center" vertical="top"/>
    </xf>
    <xf numFmtId="164" fontId="15" fillId="13" borderId="11" xfId="0" applyNumberFormat="1" applyFont="1" applyFill="1" applyBorder="1" applyAlignment="1">
      <alignment horizontal="center" vertical="top"/>
    </xf>
    <xf numFmtId="10" fontId="15" fillId="13" borderId="11" xfId="0" applyNumberFormat="1" applyFont="1" applyFill="1" applyBorder="1" applyAlignment="1">
      <alignment horizontal="center" vertical="top"/>
    </xf>
    <xf numFmtId="0" fontId="15" fillId="13" borderId="11" xfId="0" applyFont="1" applyFill="1" applyBorder="1" applyAlignment="1">
      <alignment vertical="top"/>
    </xf>
    <xf numFmtId="9" fontId="15" fillId="13" borderId="11" xfId="0" applyNumberFormat="1" applyFont="1" applyFill="1" applyBorder="1" applyAlignment="1">
      <alignment horizontal="center" vertical="top" wrapText="1"/>
    </xf>
    <xf numFmtId="164" fontId="17" fillId="13" borderId="12" xfId="0" applyNumberFormat="1" applyFont="1" applyFill="1" applyBorder="1" applyAlignment="1">
      <alignment horizontal="center" vertical="top" wrapText="1"/>
    </xf>
    <xf numFmtId="164" fontId="15" fillId="13" borderId="12" xfId="0" applyNumberFormat="1" applyFont="1" applyFill="1" applyBorder="1" applyAlignment="1">
      <alignment horizontal="center" vertical="top" wrapText="1"/>
    </xf>
    <xf numFmtId="0" fontId="15" fillId="13" borderId="11" xfId="0" applyFont="1" applyFill="1" applyBorder="1" applyAlignment="1">
      <alignment horizontal="left" vertical="top"/>
    </xf>
    <xf numFmtId="0" fontId="15" fillId="13" borderId="17" xfId="0" applyFont="1" applyFill="1" applyBorder="1" applyAlignment="1">
      <alignment vertical="top"/>
    </xf>
    <xf numFmtId="0" fontId="16" fillId="13" borderId="11" xfId="0" applyFont="1" applyFill="1" applyBorder="1" applyAlignment="1">
      <alignment horizontal="center" vertical="top"/>
    </xf>
    <xf numFmtId="0" fontId="15" fillId="13" borderId="26" xfId="0" applyFont="1" applyFill="1" applyBorder="1" applyAlignment="1">
      <alignment horizontal="left" vertical="top" wrapText="1"/>
    </xf>
    <xf numFmtId="15" fontId="15" fillId="13" borderId="12" xfId="0" applyNumberFormat="1" applyFont="1" applyFill="1" applyBorder="1" applyAlignment="1">
      <alignment horizontal="center" vertical="top" wrapText="1"/>
    </xf>
    <xf numFmtId="164" fontId="15" fillId="13" borderId="6" xfId="0" applyNumberFormat="1" applyFont="1" applyFill="1" applyBorder="1" applyAlignment="1">
      <alignment horizontal="center" vertical="top" wrapText="1"/>
    </xf>
    <xf numFmtId="0" fontId="16" fillId="13" borderId="1" xfId="0" applyFont="1" applyFill="1" applyBorder="1" applyAlignment="1">
      <alignment horizontal="center" vertical="top" wrapText="1"/>
    </xf>
    <xf numFmtId="15" fontId="15" fillId="13" borderId="8" xfId="0" applyNumberFormat="1" applyFont="1" applyFill="1" applyBorder="1" applyAlignment="1">
      <alignment horizontal="left" vertical="top"/>
    </xf>
    <xf numFmtId="0" fontId="15" fillId="13" borderId="18" xfId="0" applyFont="1" applyFill="1" applyBorder="1" applyAlignment="1">
      <alignment horizontal="center" vertical="top" wrapText="1"/>
    </xf>
    <xf numFmtId="0" fontId="15" fillId="13" borderId="18" xfId="0" applyFont="1" applyFill="1" applyBorder="1" applyAlignment="1">
      <alignment vertical="top" wrapText="1"/>
    </xf>
    <xf numFmtId="164" fontId="15" fillId="13" borderId="7" xfId="0" applyNumberFormat="1" applyFont="1" applyFill="1" applyBorder="1" applyAlignment="1">
      <alignment horizontal="center" vertical="top" wrapText="1"/>
    </xf>
    <xf numFmtId="0" fontId="15" fillId="13" borderId="4" xfId="0" quotePrefix="1" applyFont="1" applyFill="1" applyBorder="1" applyAlignment="1">
      <alignment vertical="top" wrapText="1"/>
    </xf>
    <xf numFmtId="0" fontId="15" fillId="13" borderId="4" xfId="0" applyFont="1" applyFill="1" applyBorder="1" applyAlignment="1">
      <alignment vertical="top"/>
    </xf>
    <xf numFmtId="0" fontId="15" fillId="13" borderId="18" xfId="0" applyFont="1" applyFill="1" applyBorder="1" applyAlignment="1">
      <alignment vertical="top"/>
    </xf>
    <xf numFmtId="0" fontId="15" fillId="13" borderId="39" xfId="0" applyFont="1" applyFill="1" applyBorder="1" applyAlignment="1">
      <alignment horizontal="center" vertical="top"/>
    </xf>
    <xf numFmtId="0" fontId="15" fillId="13" borderId="30" xfId="0" applyFont="1" applyFill="1" applyBorder="1" applyAlignment="1">
      <alignment vertical="top" wrapText="1"/>
    </xf>
    <xf numFmtId="15" fontId="15" fillId="13" borderId="7" xfId="0" applyNumberFormat="1" applyFont="1" applyFill="1" applyBorder="1" applyAlignment="1">
      <alignment horizontal="center" vertical="top" wrapText="1"/>
    </xf>
    <xf numFmtId="165" fontId="15" fillId="13" borderId="1" xfId="0" applyNumberFormat="1" applyFont="1" applyFill="1" applyBorder="1" applyAlignment="1">
      <alignment horizontal="center" vertical="top" wrapText="1"/>
    </xf>
    <xf numFmtId="164" fontId="15" fillId="13" borderId="18" xfId="0" applyNumberFormat="1" applyFont="1" applyFill="1" applyBorder="1" applyAlignment="1">
      <alignment horizontal="center" vertical="top"/>
    </xf>
    <xf numFmtId="0" fontId="15" fillId="13" borderId="40" xfId="0" applyFont="1" applyFill="1" applyBorder="1" applyAlignment="1">
      <alignment horizontal="center" vertical="top"/>
    </xf>
    <xf numFmtId="0" fontId="15" fillId="13" borderId="16" xfId="0" applyFont="1" applyFill="1" applyBorder="1" applyAlignment="1">
      <alignment horizontal="left" vertical="top" wrapText="1"/>
    </xf>
    <xf numFmtId="164" fontId="15" fillId="13" borderId="4" xfId="0" applyNumberFormat="1" applyFont="1" applyFill="1" applyBorder="1" applyAlignment="1">
      <alignment horizontal="center" vertical="top"/>
    </xf>
    <xf numFmtId="0" fontId="15" fillId="13" borderId="9" xfId="0" applyFont="1" applyFill="1" applyBorder="1" applyAlignment="1">
      <alignment horizontal="center" vertical="top" wrapText="1"/>
    </xf>
    <xf numFmtId="164" fontId="17" fillId="13" borderId="16" xfId="0" applyNumberFormat="1" applyFont="1" applyFill="1" applyBorder="1" applyAlignment="1">
      <alignment horizontal="center" vertical="top" wrapText="1"/>
    </xf>
    <xf numFmtId="164" fontId="15" fillId="13" borderId="9" xfId="0" applyNumberFormat="1" applyFont="1" applyFill="1" applyBorder="1" applyAlignment="1">
      <alignment horizontal="center" vertical="top" wrapText="1"/>
    </xf>
    <xf numFmtId="0" fontId="15" fillId="13" borderId="7" xfId="0" applyFont="1" applyFill="1" applyBorder="1" applyAlignment="1">
      <alignment vertical="top"/>
    </xf>
    <xf numFmtId="0" fontId="15" fillId="13" borderId="9" xfId="0" applyFont="1" applyFill="1" applyBorder="1" applyAlignment="1">
      <alignment vertical="top"/>
    </xf>
    <xf numFmtId="164" fontId="15" fillId="13" borderId="4" xfId="0" applyNumberFormat="1" applyFont="1" applyFill="1" applyBorder="1" applyAlignment="1">
      <alignment vertical="top"/>
    </xf>
    <xf numFmtId="164" fontId="15" fillId="13" borderId="22" xfId="0" applyNumberFormat="1" applyFont="1" applyFill="1" applyBorder="1" applyAlignment="1">
      <alignment horizontal="center" vertical="top"/>
    </xf>
    <xf numFmtId="0" fontId="15" fillId="13" borderId="32" xfId="0" applyFont="1" applyFill="1" applyBorder="1" applyAlignment="1">
      <alignment horizontal="center" vertical="top"/>
    </xf>
    <xf numFmtId="15" fontId="15" fillId="13" borderId="8" xfId="0" quotePrefix="1" applyNumberFormat="1" applyFont="1" applyFill="1" applyBorder="1" applyAlignment="1">
      <alignment horizontal="left" vertical="top"/>
    </xf>
    <xf numFmtId="15" fontId="15" fillId="13" borderId="1" xfId="0" quotePrefix="1" applyNumberFormat="1" applyFont="1" applyFill="1" applyBorder="1" applyAlignment="1">
      <alignment horizontal="left" vertical="top"/>
    </xf>
    <xf numFmtId="15" fontId="15" fillId="13" borderId="14" xfId="0" applyNumberFormat="1" applyFont="1" applyFill="1" applyBorder="1" applyAlignment="1">
      <alignment horizontal="center" vertical="top" wrapText="1"/>
    </xf>
    <xf numFmtId="15" fontId="15" fillId="13" borderId="25" xfId="0" applyNumberFormat="1" applyFont="1" applyFill="1" applyBorder="1" applyAlignment="1">
      <alignment horizontal="center" vertical="top" wrapText="1"/>
    </xf>
    <xf numFmtId="0" fontId="15" fillId="13" borderId="9" xfId="0" applyFont="1" applyFill="1" applyBorder="1" applyAlignment="1">
      <alignment horizontal="center" vertical="top" wrapText="1" readingOrder="1"/>
    </xf>
    <xf numFmtId="15" fontId="15" fillId="13" borderId="9" xfId="0" applyNumberFormat="1" applyFont="1" applyFill="1" applyBorder="1" applyAlignment="1">
      <alignment horizontal="left" vertical="top"/>
    </xf>
    <xf numFmtId="15" fontId="15" fillId="13" borderId="9" xfId="0" applyNumberFormat="1" applyFont="1" applyFill="1" applyBorder="1" applyAlignment="1">
      <alignment horizontal="center" vertical="top"/>
    </xf>
    <xf numFmtId="10" fontId="15" fillId="13" borderId="18" xfId="0" applyNumberFormat="1" applyFont="1" applyFill="1" applyBorder="1" applyAlignment="1">
      <alignment horizontal="center" vertical="top"/>
    </xf>
    <xf numFmtId="0" fontId="15" fillId="13" borderId="10" xfId="0" applyFont="1" applyFill="1" applyBorder="1" applyAlignment="1">
      <alignment horizontal="center" vertical="top" wrapText="1"/>
    </xf>
    <xf numFmtId="0" fontId="15" fillId="13" borderId="9" xfId="0" applyFont="1" applyFill="1" applyBorder="1" applyAlignment="1">
      <alignment horizontal="left" vertical="top"/>
    </xf>
    <xf numFmtId="0" fontId="15" fillId="13" borderId="16" xfId="0" applyFont="1" applyFill="1" applyBorder="1" applyAlignment="1">
      <alignment vertical="top"/>
    </xf>
    <xf numFmtId="0" fontId="15" fillId="13" borderId="42" xfId="0" applyFont="1" applyFill="1" applyBorder="1" applyAlignment="1">
      <alignment vertical="top" wrapText="1"/>
    </xf>
    <xf numFmtId="15" fontId="15" fillId="13" borderId="6" xfId="0" applyNumberFormat="1" applyFont="1" applyFill="1" applyBorder="1" applyAlignment="1">
      <alignment horizontal="center" vertical="top"/>
    </xf>
    <xf numFmtId="0" fontId="15" fillId="13" borderId="41" xfId="0" applyFont="1" applyFill="1" applyBorder="1" applyAlignment="1">
      <alignment horizontal="center" vertical="top"/>
    </xf>
    <xf numFmtId="0" fontId="17" fillId="13" borderId="1" xfId="0" quotePrefix="1" applyFont="1" applyFill="1" applyBorder="1" applyAlignment="1">
      <alignment horizontal="center" vertical="top"/>
    </xf>
    <xf numFmtId="0" fontId="15" fillId="13" borderId="27" xfId="0" applyFont="1" applyFill="1" applyBorder="1" applyAlignment="1">
      <alignment horizontal="left" vertical="top" wrapText="1"/>
    </xf>
    <xf numFmtId="164" fontId="15" fillId="13" borderId="6" xfId="0" applyNumberFormat="1" applyFont="1" applyFill="1" applyBorder="1" applyAlignment="1">
      <alignment horizontal="center" vertical="top"/>
    </xf>
    <xf numFmtId="0" fontId="15" fillId="13" borderId="22" xfId="0" applyFont="1" applyFill="1" applyBorder="1" applyAlignment="1">
      <alignment horizontal="left" vertical="top" wrapText="1"/>
    </xf>
    <xf numFmtId="0" fontId="17" fillId="13" borderId="8" xfId="0" applyFont="1" applyFill="1" applyBorder="1" applyAlignment="1">
      <alignment horizontal="center" vertical="top" wrapText="1"/>
    </xf>
    <xf numFmtId="9" fontId="15" fillId="13" borderId="6" xfId="0" applyNumberFormat="1" applyFont="1" applyFill="1" applyBorder="1" applyAlignment="1">
      <alignment horizontal="center" vertical="top" wrapText="1"/>
    </xf>
    <xf numFmtId="15" fontId="15" fillId="13" borderId="7" xfId="0" applyNumberFormat="1" applyFont="1" applyFill="1" applyBorder="1" applyAlignment="1">
      <alignment horizontal="center" vertical="top"/>
    </xf>
    <xf numFmtId="15" fontId="15" fillId="13" borderId="4" xfId="0" applyNumberFormat="1" applyFont="1" applyFill="1" applyBorder="1" applyAlignment="1">
      <alignment horizontal="center" vertical="top"/>
    </xf>
    <xf numFmtId="15" fontId="15" fillId="13" borderId="4" xfId="0" applyNumberFormat="1" applyFont="1" applyFill="1" applyBorder="1" applyAlignment="1">
      <alignment horizontal="left" vertical="top"/>
    </xf>
    <xf numFmtId="164" fontId="15" fillId="13" borderId="20" xfId="0" applyNumberFormat="1" applyFont="1" applyFill="1" applyBorder="1" applyAlignment="1">
      <alignment horizontal="center" vertical="top"/>
    </xf>
    <xf numFmtId="0" fontId="15" fillId="13" borderId="5" xfId="0" applyFont="1" applyFill="1" applyBorder="1" applyAlignment="1">
      <alignment vertical="top" wrapText="1"/>
    </xf>
    <xf numFmtId="164" fontId="15" fillId="13" borderId="29" xfId="0" applyNumberFormat="1" applyFont="1" applyFill="1" applyBorder="1" applyAlignment="1">
      <alignment horizontal="center" vertical="top"/>
    </xf>
    <xf numFmtId="164" fontId="15" fillId="13" borderId="5" xfId="0" applyNumberFormat="1" applyFont="1" applyFill="1" applyBorder="1" applyAlignment="1">
      <alignment horizontal="center" vertical="top"/>
    </xf>
    <xf numFmtId="164" fontId="15" fillId="13" borderId="28" xfId="0" applyNumberFormat="1" applyFont="1" applyFill="1" applyBorder="1" applyAlignment="1">
      <alignment horizontal="center" vertical="top"/>
    </xf>
    <xf numFmtId="164" fontId="15" fillId="13" borderId="29" xfId="0" applyNumberFormat="1" applyFont="1" applyFill="1" applyBorder="1" applyAlignment="1">
      <alignment horizontal="center" vertical="top" wrapText="1"/>
    </xf>
    <xf numFmtId="0" fontId="15" fillId="13" borderId="5" xfId="0" applyFont="1" applyFill="1" applyBorder="1" applyAlignment="1">
      <alignment vertical="top"/>
    </xf>
    <xf numFmtId="0" fontId="15" fillId="13" borderId="28" xfId="0" applyFont="1" applyFill="1" applyBorder="1" applyAlignment="1">
      <alignment vertical="top"/>
    </xf>
    <xf numFmtId="164" fontId="15" fillId="13" borderId="7" xfId="0" applyNumberFormat="1" applyFont="1" applyFill="1" applyBorder="1" applyAlignment="1">
      <alignment horizontal="center" vertical="top"/>
    </xf>
    <xf numFmtId="164" fontId="15" fillId="13" borderId="18" xfId="0" applyNumberFormat="1" applyFont="1" applyFill="1" applyBorder="1" applyAlignment="1">
      <alignment horizontal="center" vertical="top" wrapText="1"/>
    </xf>
    <xf numFmtId="0" fontId="15" fillId="13" borderId="4" xfId="0" applyFont="1" applyFill="1" applyBorder="1" applyAlignment="1">
      <alignment horizontal="left" vertical="top"/>
    </xf>
    <xf numFmtId="0" fontId="15" fillId="13" borderId="8" xfId="0" applyFont="1" applyFill="1" applyBorder="1" applyAlignment="1">
      <alignment horizontal="left" vertical="top" wrapText="1" readingOrder="1"/>
    </xf>
    <xf numFmtId="0" fontId="15" fillId="13" borderId="6" xfId="0" applyFont="1" applyFill="1" applyBorder="1" applyAlignment="1">
      <alignment horizontal="left" vertical="top" wrapText="1" readingOrder="1"/>
    </xf>
    <xf numFmtId="0" fontId="15" fillId="13" borderId="6" xfId="0" applyFont="1" applyFill="1" applyBorder="1" applyAlignment="1">
      <alignment vertical="top" wrapText="1"/>
    </xf>
    <xf numFmtId="0" fontId="0" fillId="13" borderId="0" xfId="0" applyFill="1" applyAlignment="1">
      <alignment vertical="top" wrapText="1"/>
    </xf>
    <xf numFmtId="0" fontId="0" fillId="13" borderId="1" xfId="0" applyFill="1" applyBorder="1" applyAlignment="1" applyProtection="1">
      <alignment vertical="top"/>
      <protection locked="0"/>
    </xf>
    <xf numFmtId="0" fontId="0" fillId="13" borderId="1" xfId="0" applyFill="1" applyBorder="1" applyAlignment="1" applyProtection="1">
      <alignment horizontal="center" vertical="top"/>
      <protection locked="0"/>
    </xf>
    <xf numFmtId="0" fontId="15" fillId="13" borderId="1" xfId="0" applyFont="1" applyFill="1" applyBorder="1" applyAlignment="1" applyProtection="1">
      <alignment horizontal="center" vertical="top" wrapText="1"/>
      <protection locked="0"/>
    </xf>
    <xf numFmtId="0" fontId="18" fillId="13" borderId="1" xfId="0" quotePrefix="1" applyFont="1" applyFill="1" applyBorder="1" applyAlignment="1" applyProtection="1">
      <alignment vertical="top" wrapText="1"/>
      <protection locked="0"/>
    </xf>
    <xf numFmtId="0" fontId="28" fillId="2" borderId="17" xfId="0" applyFont="1" applyFill="1" applyBorder="1" applyAlignment="1">
      <alignment horizontal="center" vertical="top" wrapText="1"/>
    </xf>
    <xf numFmtId="0" fontId="0" fillId="21" borderId="1" xfId="0" applyFill="1" applyBorder="1" applyAlignment="1">
      <alignment vertical="top" wrapText="1"/>
    </xf>
    <xf numFmtId="0" fontId="15" fillId="0" borderId="6" xfId="0" applyFont="1" applyBorder="1" applyAlignment="1">
      <alignment horizontal="left" vertical="top" wrapText="1"/>
    </xf>
    <xf numFmtId="0" fontId="15" fillId="13" borderId="0" xfId="0" applyFont="1" applyFill="1" applyAlignment="1">
      <alignment vertical="top" wrapText="1"/>
    </xf>
    <xf numFmtId="15" fontId="15" fillId="15" borderId="9" xfId="0" applyNumberFormat="1" applyFont="1" applyFill="1" applyBorder="1" applyAlignment="1">
      <alignment horizontal="center" vertical="top"/>
    </xf>
    <xf numFmtId="0" fontId="0" fillId="0" borderId="9" xfId="0" applyBorder="1"/>
    <xf numFmtId="0" fontId="37" fillId="13" borderId="2" xfId="0" applyFont="1" applyFill="1" applyBorder="1" applyAlignment="1">
      <alignment vertical="top" wrapText="1"/>
    </xf>
    <xf numFmtId="0" fontId="37" fillId="0" borderId="2" xfId="0" applyFont="1" applyBorder="1" applyAlignment="1">
      <alignment vertical="top" wrapText="1"/>
    </xf>
    <xf numFmtId="0" fontId="37" fillId="13" borderId="1" xfId="0" applyFont="1" applyFill="1" applyBorder="1" applyAlignment="1">
      <alignment vertical="top" wrapText="1"/>
    </xf>
    <xf numFmtId="0" fontId="37" fillId="0" borderId="1" xfId="0" applyFont="1" applyBorder="1" applyAlignment="1">
      <alignment vertical="top" wrapText="1"/>
    </xf>
    <xf numFmtId="9" fontId="0" fillId="0" borderId="0" xfId="0" applyNumberFormat="1"/>
    <xf numFmtId="10" fontId="0" fillId="0" borderId="0" xfId="0" applyNumberFormat="1"/>
    <xf numFmtId="9" fontId="2" fillId="18" borderId="0" xfId="2" applyFont="1" applyFill="1" applyBorder="1" applyAlignment="1">
      <alignment horizontal="center" vertical="center" wrapText="1"/>
    </xf>
    <xf numFmtId="9" fontId="38" fillId="0" borderId="1" xfId="2" applyFont="1" applyBorder="1" applyAlignment="1">
      <alignment horizontal="center" vertical="top"/>
    </xf>
    <xf numFmtId="0" fontId="0" fillId="23" borderId="8" xfId="0" applyFill="1" applyBorder="1" applyAlignment="1">
      <alignment horizontal="center" vertical="top"/>
    </xf>
    <xf numFmtId="0" fontId="0" fillId="23" borderId="1" xfId="0" applyFill="1" applyBorder="1" applyAlignment="1">
      <alignment horizontal="center" vertical="top"/>
    </xf>
    <xf numFmtId="0" fontId="0" fillId="23" borderId="1" xfId="0" applyFill="1" applyBorder="1" applyAlignment="1">
      <alignment horizontal="left" vertical="top" wrapText="1"/>
    </xf>
    <xf numFmtId="0" fontId="0" fillId="23" borderId="1" xfId="0" applyFill="1" applyBorder="1" applyAlignment="1">
      <alignment vertical="top" wrapText="1"/>
    </xf>
    <xf numFmtId="15" fontId="0" fillId="23" borderId="1" xfId="0" applyNumberFormat="1" applyFill="1" applyBorder="1" applyAlignment="1">
      <alignment horizontal="center" vertical="top"/>
    </xf>
    <xf numFmtId="164" fontId="0" fillId="23" borderId="1" xfId="0" applyNumberFormat="1" applyFill="1" applyBorder="1" applyAlignment="1" applyProtection="1">
      <alignment horizontal="center" vertical="top"/>
      <protection locked="0"/>
    </xf>
    <xf numFmtId="164" fontId="0" fillId="23" borderId="1" xfId="0" applyNumberFormat="1" applyFill="1" applyBorder="1" applyAlignment="1" applyProtection="1">
      <alignment horizontal="center" vertical="top" wrapText="1"/>
      <protection locked="0"/>
    </xf>
    <xf numFmtId="0" fontId="0" fillId="23" borderId="1" xfId="0" applyFill="1" applyBorder="1" applyAlignment="1">
      <alignment horizontal="center" vertical="top" wrapText="1"/>
    </xf>
    <xf numFmtId="15" fontId="0" fillId="23" borderId="1" xfId="0" applyNumberFormat="1" applyFill="1" applyBorder="1" applyAlignment="1" applyProtection="1">
      <alignment horizontal="center" vertical="top" wrapText="1"/>
      <protection locked="0"/>
    </xf>
    <xf numFmtId="10" fontId="0" fillId="23" borderId="1" xfId="0" applyNumberFormat="1" applyFill="1" applyBorder="1" applyAlignment="1">
      <alignment horizontal="center" vertical="top"/>
    </xf>
    <xf numFmtId="9" fontId="0" fillId="23" borderId="1" xfId="2" applyFont="1" applyFill="1" applyBorder="1" applyAlignment="1">
      <alignment horizontal="center" vertical="top"/>
    </xf>
    <xf numFmtId="0" fontId="0" fillId="23" borderId="1" xfId="0" applyFill="1" applyBorder="1" applyAlignment="1">
      <alignment vertical="top"/>
    </xf>
    <xf numFmtId="9" fontId="30" fillId="23" borderId="1" xfId="2" applyFont="1" applyFill="1" applyBorder="1" applyAlignment="1">
      <alignment horizontal="center" vertical="top"/>
    </xf>
    <xf numFmtId="9" fontId="31" fillId="23" borderId="1" xfId="2" applyFont="1" applyFill="1" applyBorder="1" applyAlignment="1">
      <alignment horizontal="center" vertical="top"/>
    </xf>
    <xf numFmtId="0" fontId="0" fillId="23" borderId="0" xfId="0" applyFill="1" applyAlignment="1">
      <alignment wrapText="1"/>
    </xf>
    <xf numFmtId="15" fontId="0" fillId="23" borderId="1" xfId="0" applyNumberFormat="1" applyFill="1" applyBorder="1" applyAlignment="1">
      <alignment horizontal="center" vertical="top" wrapText="1"/>
    </xf>
    <xf numFmtId="0" fontId="5" fillId="23" borderId="0" xfId="0" applyFont="1" applyFill="1" applyAlignment="1">
      <alignment vertical="top" wrapText="1"/>
    </xf>
    <xf numFmtId="0" fontId="5" fillId="23" borderId="9" xfId="0" applyFont="1" applyFill="1" applyBorder="1" applyAlignment="1">
      <alignment vertical="top" wrapText="1"/>
    </xf>
    <xf numFmtId="0" fontId="0" fillId="23" borderId="4" xfId="0" applyFill="1" applyBorder="1" applyAlignment="1">
      <alignment vertical="top" wrapText="1"/>
    </xf>
    <xf numFmtId="0" fontId="0" fillId="23" borderId="0" xfId="0" applyFill="1" applyAlignment="1">
      <alignment horizontal="left" vertical="top"/>
    </xf>
    <xf numFmtId="0" fontId="0" fillId="23" borderId="0" xfId="0" applyFill="1" applyAlignment="1">
      <alignment vertical="top"/>
    </xf>
    <xf numFmtId="9" fontId="15" fillId="13" borderId="1" xfId="0" quotePrefix="1" applyNumberFormat="1" applyFont="1" applyFill="1" applyBorder="1" applyAlignment="1" applyProtection="1">
      <alignment horizontal="center" vertical="top"/>
      <protection locked="0"/>
    </xf>
    <xf numFmtId="9" fontId="0" fillId="0" borderId="1" xfId="2" applyFont="1" applyFill="1" applyBorder="1" applyAlignment="1">
      <alignment horizontal="left" vertical="top"/>
    </xf>
    <xf numFmtId="0" fontId="0" fillId="7" borderId="1" xfId="0" applyFill="1" applyBorder="1" applyAlignment="1">
      <alignment vertical="top"/>
    </xf>
    <xf numFmtId="0" fontId="0" fillId="7" borderId="1" xfId="0" applyFill="1" applyBorder="1" applyAlignment="1">
      <alignment vertical="top" wrapText="1"/>
    </xf>
    <xf numFmtId="0" fontId="0" fillId="0" borderId="5" xfId="0" applyBorder="1" applyAlignment="1">
      <alignment vertical="top"/>
    </xf>
    <xf numFmtId="0" fontId="0" fillId="0" borderId="5" xfId="0" applyBorder="1" applyAlignment="1">
      <alignment vertical="top" wrapText="1"/>
    </xf>
    <xf numFmtId="0" fontId="5" fillId="7" borderId="1" xfId="0" applyFont="1" applyFill="1" applyBorder="1" applyAlignment="1">
      <alignment vertical="top" wrapText="1"/>
    </xf>
    <xf numFmtId="9" fontId="0" fillId="7" borderId="1" xfId="2" applyFont="1" applyFill="1" applyBorder="1" applyAlignment="1">
      <alignment horizontal="center" vertical="top"/>
    </xf>
    <xf numFmtId="9" fontId="0" fillId="0" borderId="5" xfId="2" applyFont="1" applyBorder="1" applyAlignment="1">
      <alignment horizontal="center" vertical="top"/>
    </xf>
    <xf numFmtId="0" fontId="17" fillId="13" borderId="4" xfId="0" quotePrefix="1" applyFont="1" applyFill="1" applyBorder="1" applyAlignment="1" applyProtection="1">
      <alignment vertical="top" wrapText="1"/>
      <protection locked="0"/>
    </xf>
    <xf numFmtId="15" fontId="0" fillId="0" borderId="4" xfId="0" applyNumberFormat="1" applyBorder="1" applyAlignment="1">
      <alignment horizontal="center" vertical="top" wrapText="1"/>
    </xf>
    <xf numFmtId="9" fontId="0" fillId="0" borderId="4" xfId="0" applyNumberFormat="1" applyBorder="1" applyAlignment="1">
      <alignment horizontal="center" vertical="top" wrapText="1"/>
    </xf>
    <xf numFmtId="164" fontId="15" fillId="13" borderId="4" xfId="0" applyNumberFormat="1" applyFont="1" applyFill="1" applyBorder="1" applyAlignment="1" applyProtection="1">
      <alignment horizontal="center" vertical="top" wrapText="1"/>
      <protection locked="0"/>
    </xf>
    <xf numFmtId="164" fontId="17" fillId="13" borderId="7" xfId="0" applyNumberFormat="1" applyFont="1" applyFill="1" applyBorder="1" applyAlignment="1" applyProtection="1">
      <alignment horizontal="center" vertical="top" wrapText="1"/>
      <protection locked="0"/>
    </xf>
    <xf numFmtId="0" fontId="15" fillId="13" borderId="4" xfId="0" applyFont="1" applyFill="1" applyBorder="1" applyAlignment="1" applyProtection="1">
      <alignment vertical="top"/>
      <protection locked="0"/>
    </xf>
    <xf numFmtId="0" fontId="15" fillId="13" borderId="41" xfId="0" applyFont="1" applyFill="1" applyBorder="1" applyAlignment="1">
      <alignment vertical="top" wrapText="1"/>
    </xf>
    <xf numFmtId="0" fontId="15" fillId="13" borderId="17" xfId="0" applyFont="1" applyFill="1" applyBorder="1" applyAlignment="1">
      <alignment horizontal="center" vertical="top" wrapText="1"/>
    </xf>
    <xf numFmtId="0" fontId="0" fillId="13" borderId="1" xfId="0" applyFill="1" applyBorder="1" applyAlignment="1">
      <alignment horizontal="center"/>
    </xf>
    <xf numFmtId="9" fontId="2" fillId="18" borderId="0" xfId="2" applyFont="1" applyFill="1" applyAlignment="1">
      <alignment horizontal="center" vertical="center" wrapText="1"/>
    </xf>
    <xf numFmtId="0" fontId="17" fillId="5" borderId="1" xfId="0" applyFont="1" applyFill="1" applyBorder="1" applyAlignment="1" applyProtection="1">
      <alignment vertical="top" wrapText="1"/>
      <protection locked="0"/>
    </xf>
    <xf numFmtId="9" fontId="15" fillId="13" borderId="1" xfId="0" quotePrefix="1" applyNumberFormat="1" applyFont="1" applyFill="1" applyBorder="1" applyAlignment="1" applyProtection="1">
      <alignment horizontal="center" vertical="top" wrapText="1"/>
      <protection locked="0"/>
    </xf>
    <xf numFmtId="0" fontId="16" fillId="13" borderId="1" xfId="0" applyFont="1" applyFill="1" applyBorder="1" applyAlignment="1">
      <alignment vertical="top" wrapText="1"/>
    </xf>
    <xf numFmtId="0" fontId="15" fillId="15" borderId="1" xfId="0" applyFont="1" applyFill="1" applyBorder="1" applyAlignment="1">
      <alignment horizontal="center" vertical="top" wrapText="1"/>
    </xf>
    <xf numFmtId="0" fontId="15" fillId="15" borderId="1" xfId="1" applyFont="1" applyFill="1" applyBorder="1" applyAlignment="1">
      <alignment vertical="top" wrapText="1"/>
    </xf>
    <xf numFmtId="0" fontId="37" fillId="24" borderId="2" xfId="0" applyFont="1" applyFill="1" applyBorder="1" applyAlignment="1">
      <alignment vertical="top" wrapText="1"/>
    </xf>
    <xf numFmtId="0" fontId="37" fillId="24" borderId="1" xfId="0" applyFont="1" applyFill="1" applyBorder="1" applyAlignment="1">
      <alignment vertical="top" wrapText="1"/>
    </xf>
    <xf numFmtId="0" fontId="37" fillId="7" borderId="1" xfId="0" applyFont="1" applyFill="1" applyBorder="1" applyAlignment="1">
      <alignment vertical="top" wrapText="1"/>
    </xf>
    <xf numFmtId="0" fontId="37" fillId="7" borderId="2" xfId="0" applyFont="1" applyFill="1" applyBorder="1" applyAlignment="1">
      <alignment vertical="top" wrapText="1"/>
    </xf>
    <xf numFmtId="0" fontId="2" fillId="0" borderId="0" xfId="0" applyFont="1" applyAlignment="1">
      <alignment horizontal="center"/>
    </xf>
    <xf numFmtId="165" fontId="0" fillId="0" borderId="0" xfId="0" applyNumberFormat="1" applyAlignment="1">
      <alignment horizontal="center"/>
    </xf>
    <xf numFmtId="9" fontId="0" fillId="0" borderId="0" xfId="0" applyNumberFormat="1" applyAlignment="1">
      <alignment horizontal="center"/>
    </xf>
    <xf numFmtId="0" fontId="18" fillId="13" borderId="1" xfId="0" quotePrefix="1" applyFont="1" applyFill="1" applyBorder="1" applyAlignment="1" applyProtection="1">
      <alignment horizontal="left" vertical="top" wrapText="1"/>
      <protection locked="0"/>
    </xf>
    <xf numFmtId="0" fontId="18" fillId="13" borderId="0" xfId="0" applyFont="1" applyFill="1" applyAlignment="1" applyProtection="1">
      <alignment vertical="top" wrapText="1"/>
      <protection locked="0"/>
    </xf>
    <xf numFmtId="0" fontId="15" fillId="13" borderId="17" xfId="0" applyFont="1" applyFill="1" applyBorder="1" applyAlignment="1">
      <alignment horizontal="center" vertical="top"/>
    </xf>
    <xf numFmtId="0" fontId="15" fillId="13" borderId="6" xfId="1" applyFont="1" applyFill="1" applyBorder="1" applyAlignment="1">
      <alignment horizontal="center" vertical="top" wrapText="1"/>
    </xf>
    <xf numFmtId="0" fontId="2" fillId="2" borderId="4" xfId="0" applyFont="1" applyFill="1" applyBorder="1" applyAlignment="1">
      <alignment horizontal="center" vertical="center" wrapText="1"/>
    </xf>
    <xf numFmtId="0" fontId="2" fillId="2" borderId="18" xfId="0" applyFont="1" applyFill="1" applyBorder="1" applyAlignment="1">
      <alignment horizontal="center" vertical="center" wrapText="1"/>
    </xf>
    <xf numFmtId="10" fontId="0" fillId="0" borderId="6" xfId="0" applyNumberFormat="1" applyBorder="1" applyAlignment="1">
      <alignment horizontal="center" vertical="top"/>
    </xf>
    <xf numFmtId="0" fontId="2" fillId="2" borderId="1" xfId="0" applyFont="1" applyFill="1" applyBorder="1" applyAlignment="1">
      <alignment horizontal="center" vertical="top" wrapText="1"/>
    </xf>
    <xf numFmtId="0" fontId="0" fillId="0" borderId="6" xfId="0" applyBorder="1" applyAlignment="1">
      <alignment horizontal="center"/>
    </xf>
    <xf numFmtId="0" fontId="25" fillId="19" borderId="4" xfId="0" applyFont="1" applyFill="1" applyBorder="1" applyAlignment="1">
      <alignment horizontal="center" vertical="center" wrapText="1"/>
    </xf>
    <xf numFmtId="0" fontId="2" fillId="0" borderId="1" xfId="0" applyFont="1" applyBorder="1" applyAlignment="1">
      <alignment horizontal="center"/>
    </xf>
    <xf numFmtId="0" fontId="0" fillId="7" borderId="1" xfId="0" applyFill="1" applyBorder="1" applyAlignment="1">
      <alignment horizontal="left" vertical="top" wrapText="1"/>
    </xf>
    <xf numFmtId="0" fontId="0" fillId="7" borderId="1" xfId="0" applyFill="1" applyBorder="1" applyAlignment="1">
      <alignment horizontal="center" vertical="top" wrapText="1"/>
    </xf>
    <xf numFmtId="0" fontId="0" fillId="7" borderId="1" xfId="0" applyFill="1" applyBorder="1" applyAlignment="1">
      <alignment horizontal="center" vertical="top"/>
    </xf>
    <xf numFmtId="0" fontId="0" fillId="7" borderId="0" xfId="0" applyFill="1"/>
    <xf numFmtId="0" fontId="15" fillId="25" borderId="1" xfId="0" applyFont="1" applyFill="1" applyBorder="1" applyAlignment="1">
      <alignment horizontal="center" vertical="top" wrapText="1"/>
    </xf>
    <xf numFmtId="0" fontId="15" fillId="25" borderId="1" xfId="1" applyFont="1" applyFill="1" applyBorder="1" applyAlignment="1">
      <alignment horizontal="center" vertical="top"/>
    </xf>
    <xf numFmtId="15" fontId="15" fillId="25" borderId="1" xfId="0" applyNumberFormat="1" applyFont="1" applyFill="1" applyBorder="1" applyAlignment="1">
      <alignment horizontal="center" vertical="top" wrapText="1"/>
    </xf>
    <xf numFmtId="0" fontId="4" fillId="5" borderId="48" xfId="0" applyFont="1" applyFill="1" applyBorder="1" applyAlignment="1">
      <alignment vertical="top" wrapText="1"/>
    </xf>
    <xf numFmtId="0" fontId="27" fillId="13" borderId="1" xfId="0" applyFont="1" applyFill="1" applyBorder="1" applyAlignment="1" applyProtection="1">
      <alignment vertical="top" wrapText="1"/>
      <protection locked="0"/>
    </xf>
    <xf numFmtId="15" fontId="15" fillId="13" borderId="8" xfId="0" quotePrefix="1" applyNumberFormat="1" applyFont="1" applyFill="1" applyBorder="1" applyAlignment="1">
      <alignment horizontal="center" vertical="top" wrapText="1"/>
    </xf>
    <xf numFmtId="0" fontId="17" fillId="5" borderId="9" xfId="0" applyFont="1" applyFill="1" applyBorder="1" applyAlignment="1" applyProtection="1">
      <alignment vertical="top" wrapText="1"/>
      <protection locked="0"/>
    </xf>
    <xf numFmtId="0" fontId="18" fillId="23" borderId="1" xfId="0" applyFont="1" applyFill="1" applyBorder="1" applyAlignment="1" applyProtection="1">
      <alignment vertical="top" wrapText="1"/>
      <protection locked="0"/>
    </xf>
    <xf numFmtId="0" fontId="49" fillId="27" borderId="51" xfId="0" applyFont="1" applyFill="1" applyBorder="1" applyAlignment="1">
      <alignment horizontal="center" vertical="center" wrapText="1" readingOrder="1"/>
    </xf>
    <xf numFmtId="0" fontId="49" fillId="27" borderId="51" xfId="0" applyFont="1" applyFill="1" applyBorder="1" applyAlignment="1">
      <alignment horizontal="left" vertical="center" wrapText="1" readingOrder="1"/>
    </xf>
    <xf numFmtId="0" fontId="49" fillId="27" borderId="51" xfId="0" applyFont="1" applyFill="1" applyBorder="1" applyAlignment="1">
      <alignment horizontal="justify" vertical="center" wrapText="1" readingOrder="1"/>
    </xf>
    <xf numFmtId="0" fontId="50" fillId="27" borderId="50" xfId="0" applyFont="1" applyFill="1" applyBorder="1" applyAlignment="1">
      <alignment horizontal="center" vertical="center" wrapText="1" readingOrder="1"/>
    </xf>
    <xf numFmtId="0" fontId="48" fillId="26" borderId="50" xfId="0" applyFont="1" applyFill="1" applyBorder="1" applyAlignment="1">
      <alignment horizontal="center" vertical="center" wrapText="1" readingOrder="1"/>
    </xf>
    <xf numFmtId="0" fontId="50" fillId="27" borderId="51" xfId="0" applyFont="1" applyFill="1" applyBorder="1" applyAlignment="1">
      <alignment horizontal="center" vertical="center" wrapText="1" readingOrder="1"/>
    </xf>
    <xf numFmtId="0" fontId="52" fillId="27" borderId="50" xfId="0" applyFont="1" applyFill="1" applyBorder="1" applyAlignment="1">
      <alignment horizontal="center" vertical="center" wrapText="1" readingOrder="1"/>
    </xf>
    <xf numFmtId="0" fontId="54" fillId="27" borderId="50" xfId="0" applyFont="1" applyFill="1" applyBorder="1" applyAlignment="1">
      <alignment horizontal="center" vertical="center" wrapText="1" readingOrder="1"/>
    </xf>
    <xf numFmtId="0" fontId="0" fillId="7" borderId="0" xfId="0" applyFill="1" applyAlignment="1">
      <alignment vertical="top" wrapText="1"/>
    </xf>
    <xf numFmtId="0" fontId="0" fillId="7" borderId="0" xfId="0" applyFill="1" applyAlignment="1">
      <alignment wrapText="1"/>
    </xf>
    <xf numFmtId="0" fontId="0" fillId="7" borderId="0" xfId="0" quotePrefix="1" applyFill="1" applyAlignment="1">
      <alignment wrapText="1"/>
    </xf>
    <xf numFmtId="0" fontId="15" fillId="13" borderId="0" xfId="0" applyFont="1" applyFill="1" applyAlignment="1">
      <alignment horizontal="center" vertical="top" wrapText="1"/>
    </xf>
    <xf numFmtId="0" fontId="15" fillId="13" borderId="0" xfId="0" applyFont="1" applyFill="1" applyAlignment="1">
      <alignment horizontal="center" vertical="top"/>
    </xf>
    <xf numFmtId="15" fontId="15" fillId="13" borderId="0" xfId="0" applyNumberFormat="1" applyFont="1" applyFill="1" applyAlignment="1">
      <alignment horizontal="center" vertical="top" wrapText="1"/>
    </xf>
    <xf numFmtId="165" fontId="15" fillId="13" borderId="0" xfId="0" applyNumberFormat="1" applyFont="1" applyFill="1" applyAlignment="1">
      <alignment horizontal="center" vertical="top"/>
    </xf>
    <xf numFmtId="0" fontId="15" fillId="13" borderId="0" xfId="0" applyFont="1" applyFill="1" applyAlignment="1" applyProtection="1">
      <alignment vertical="top" wrapText="1"/>
      <protection locked="0"/>
    </xf>
    <xf numFmtId="0" fontId="17" fillId="13" borderId="0" xfId="0" applyFont="1" applyFill="1" applyAlignment="1" applyProtection="1">
      <alignment vertical="top" wrapText="1"/>
      <protection locked="0"/>
    </xf>
    <xf numFmtId="0" fontId="2" fillId="0" borderId="0" xfId="0" applyFont="1" applyAlignment="1">
      <alignment horizontal="center" vertical="top"/>
    </xf>
    <xf numFmtId="0" fontId="0" fillId="13" borderId="0" xfId="0" applyFill="1" applyAlignment="1">
      <alignment horizontal="center" vertical="top"/>
    </xf>
    <xf numFmtId="0" fontId="0" fillId="13" borderId="0" xfId="0" applyFill="1" applyAlignment="1">
      <alignment horizontal="center"/>
    </xf>
    <xf numFmtId="15" fontId="15" fillId="13" borderId="0" xfId="0" applyNumberFormat="1" applyFont="1" applyFill="1" applyAlignment="1">
      <alignment horizontal="center" vertical="top"/>
    </xf>
    <xf numFmtId="0" fontId="2" fillId="0" borderId="0" xfId="0" applyFont="1" applyAlignment="1">
      <alignment horizontal="center" vertical="top" wrapText="1"/>
    </xf>
    <xf numFmtId="15" fontId="15" fillId="13" borderId="0" xfId="0" applyNumberFormat="1" applyFont="1" applyFill="1" applyAlignment="1">
      <alignment vertical="top"/>
    </xf>
    <xf numFmtId="0" fontId="0" fillId="11" borderId="0" xfId="0" applyFill="1" applyAlignment="1">
      <alignment horizontal="center" vertical="top" wrapText="1"/>
    </xf>
    <xf numFmtId="0" fontId="2" fillId="11" borderId="0" xfId="0" applyFont="1" applyFill="1" applyAlignment="1">
      <alignment horizontal="center" vertical="top"/>
    </xf>
    <xf numFmtId="0" fontId="0" fillId="11" borderId="0" xfId="0" applyFill="1" applyAlignment="1">
      <alignment horizontal="center" vertical="top"/>
    </xf>
    <xf numFmtId="0" fontId="0" fillId="11" borderId="0" xfId="0" applyFill="1" applyAlignment="1">
      <alignment vertical="top"/>
    </xf>
    <xf numFmtId="0" fontId="2" fillId="11" borderId="0" xfId="0" applyFont="1" applyFill="1" applyAlignment="1">
      <alignment vertical="top"/>
    </xf>
    <xf numFmtId="0" fontId="0" fillId="11" borderId="0" xfId="0" applyFill="1"/>
    <xf numFmtId="0" fontId="2" fillId="12" borderId="0" xfId="0" applyFont="1" applyFill="1" applyAlignment="1">
      <alignment vertical="top"/>
    </xf>
    <xf numFmtId="0" fontId="15" fillId="13" borderId="0" xfId="0" applyFont="1" applyFill="1" applyAlignment="1" applyProtection="1">
      <alignment vertical="top"/>
      <protection locked="0"/>
    </xf>
    <xf numFmtId="0" fontId="2" fillId="12" borderId="0" xfId="0" applyFont="1" applyFill="1" applyAlignment="1">
      <alignment horizontal="center" vertical="top"/>
    </xf>
    <xf numFmtId="0" fontId="0" fillId="13" borderId="0" xfId="0" applyFill="1" applyProtection="1">
      <protection locked="0"/>
    </xf>
    <xf numFmtId="0" fontId="2" fillId="3" borderId="0" xfId="0" applyFont="1" applyFill="1" applyAlignment="1">
      <alignment vertical="top" wrapText="1"/>
    </xf>
    <xf numFmtId="0" fontId="18" fillId="0" borderId="0" xfId="0" applyFont="1" applyAlignment="1">
      <alignment vertical="top" wrapText="1"/>
    </xf>
    <xf numFmtId="0" fontId="27" fillId="5" borderId="0" xfId="0" applyFont="1" applyFill="1" applyAlignment="1" applyProtection="1">
      <alignment vertical="top" wrapText="1"/>
      <protection locked="0"/>
    </xf>
    <xf numFmtId="0" fontId="18" fillId="0" borderId="0" xfId="0" applyFont="1" applyAlignment="1">
      <alignment wrapText="1"/>
    </xf>
    <xf numFmtId="0" fontId="2" fillId="0" borderId="0" xfId="0" applyFont="1" applyAlignment="1">
      <alignment vertical="top" wrapText="1"/>
    </xf>
    <xf numFmtId="0" fontId="2" fillId="0" borderId="0" xfId="0" applyFont="1" applyAlignment="1">
      <alignment horizontal="left" vertical="top"/>
    </xf>
    <xf numFmtId="0" fontId="2" fillId="0" borderId="0" xfId="0" applyFont="1" applyAlignment="1">
      <alignment wrapText="1"/>
    </xf>
    <xf numFmtId="0" fontId="2" fillId="0" borderId="0" xfId="0" applyFont="1" applyAlignment="1">
      <alignment horizontal="left" vertical="top" wrapText="1"/>
    </xf>
    <xf numFmtId="0" fontId="0" fillId="0" borderId="4" xfId="0" applyBorder="1" applyAlignment="1">
      <alignment horizontal="left" vertical="top" wrapText="1"/>
    </xf>
    <xf numFmtId="0" fontId="0" fillId="0" borderId="4" xfId="0" applyBorder="1"/>
    <xf numFmtId="0" fontId="0" fillId="0" borderId="4" xfId="0" applyBorder="1" applyAlignment="1">
      <alignment horizontal="center"/>
    </xf>
    <xf numFmtId="164" fontId="56" fillId="0" borderId="1" xfId="0" applyNumberFormat="1" applyFont="1" applyBorder="1" applyAlignment="1">
      <alignment horizontal="center" vertical="center" wrapText="1"/>
    </xf>
    <xf numFmtId="0" fontId="29" fillId="0" borderId="1" xfId="0" applyFont="1" applyBorder="1" applyAlignment="1">
      <alignment wrapText="1"/>
    </xf>
    <xf numFmtId="0" fontId="29" fillId="0" borderId="11" xfId="0" applyFont="1" applyBorder="1" applyAlignment="1">
      <alignment wrapText="1"/>
    </xf>
    <xf numFmtId="15" fontId="29" fillId="0" borderId="1" xfId="0" applyNumberFormat="1" applyFont="1" applyBorder="1" applyAlignment="1">
      <alignment horizontal="center" vertical="center" wrapText="1"/>
    </xf>
    <xf numFmtId="15" fontId="29" fillId="0" borderId="11" xfId="0" applyNumberFormat="1" applyFont="1" applyBorder="1" applyAlignment="1">
      <alignment horizontal="center" vertical="center" wrapText="1"/>
    </xf>
    <xf numFmtId="0" fontId="0" fillId="7" borderId="1" xfId="0" applyFill="1" applyBorder="1" applyAlignment="1">
      <alignment horizontal="center" vertical="center" wrapText="1"/>
    </xf>
    <xf numFmtId="15" fontId="0" fillId="0" borderId="1" xfId="0" applyNumberFormat="1" applyBorder="1" applyAlignment="1">
      <alignment horizontal="center" vertical="center" wrapText="1"/>
    </xf>
    <xf numFmtId="164" fontId="36" fillId="0" borderId="1" xfId="0" applyNumberFormat="1" applyFont="1" applyBorder="1" applyAlignment="1">
      <alignment horizontal="center" vertical="center" wrapText="1"/>
    </xf>
    <xf numFmtId="0" fontId="36" fillId="0" borderId="1" xfId="0" applyFont="1" applyBorder="1" applyAlignment="1">
      <alignment horizontal="left" vertical="top" wrapText="1"/>
    </xf>
    <xf numFmtId="15" fontId="36" fillId="0" borderId="1" xfId="0" applyNumberFormat="1" applyFont="1" applyBorder="1" applyAlignment="1">
      <alignment horizontal="center" vertical="center" wrapText="1"/>
    </xf>
    <xf numFmtId="0" fontId="0" fillId="0" borderId="8" xfId="0" applyBorder="1" applyAlignment="1">
      <alignment horizontal="center" vertical="top" wrapText="1"/>
    </xf>
    <xf numFmtId="15" fontId="35" fillId="0" borderId="1" xfId="0" applyNumberFormat="1" applyFont="1" applyBorder="1" applyAlignment="1">
      <alignment horizontal="center" vertical="center" wrapText="1"/>
    </xf>
    <xf numFmtId="15" fontId="35" fillId="0" borderId="8" xfId="0" applyNumberFormat="1" applyFont="1" applyBorder="1" applyAlignment="1">
      <alignment horizontal="center" vertical="center" wrapText="1"/>
    </xf>
    <xf numFmtId="0" fontId="36" fillId="15" borderId="1" xfId="0" applyFont="1" applyFill="1" applyBorder="1" applyAlignment="1">
      <alignment horizontal="center" vertical="top" wrapText="1"/>
    </xf>
    <xf numFmtId="15" fontId="0" fillId="13" borderId="1" xfId="0" applyNumberFormat="1" applyFill="1" applyBorder="1" applyAlignment="1">
      <alignment horizontal="center" vertical="top"/>
    </xf>
    <xf numFmtId="164" fontId="0" fillId="0" borderId="6" xfId="0" applyNumberFormat="1" applyBorder="1" applyAlignment="1" applyProtection="1">
      <alignment horizontal="center" vertical="top"/>
      <protection locked="0"/>
    </xf>
    <xf numFmtId="15" fontId="26" fillId="0" borderId="4" xfId="0" applyNumberFormat="1" applyFont="1" applyBorder="1" applyAlignment="1">
      <alignment horizontal="center" vertical="top"/>
    </xf>
    <xf numFmtId="15" fontId="0" fillId="0" borderId="4" xfId="0" applyNumberFormat="1" applyBorder="1" applyAlignment="1">
      <alignment horizontal="center" vertical="top"/>
    </xf>
    <xf numFmtId="0" fontId="0" fillId="0" borderId="4" xfId="0" applyBorder="1" applyAlignment="1">
      <alignment horizontal="center" vertical="top" wrapText="1"/>
    </xf>
    <xf numFmtId="15" fontId="29" fillId="28" borderId="1" xfId="0" applyNumberFormat="1" applyFont="1" applyFill="1" applyBorder="1" applyAlignment="1">
      <alignment horizontal="center" vertical="center" wrapText="1"/>
    </xf>
    <xf numFmtId="164" fontId="56" fillId="28" borderId="1" xfId="0" applyNumberFormat="1" applyFont="1" applyFill="1" applyBorder="1" applyAlignment="1">
      <alignment horizontal="center" vertical="center" wrapText="1"/>
    </xf>
    <xf numFmtId="15" fontId="41" fillId="13" borderId="1" xfId="0" applyNumberFormat="1" applyFont="1" applyFill="1" applyBorder="1" applyAlignment="1">
      <alignment horizontal="center" vertical="top" wrapText="1"/>
    </xf>
    <xf numFmtId="0" fontId="57" fillId="0" borderId="1" xfId="0" applyFont="1" applyBorder="1" applyAlignment="1">
      <alignment vertical="top" wrapText="1"/>
    </xf>
    <xf numFmtId="0" fontId="15" fillId="13" borderId="4" xfId="0" applyFont="1" applyFill="1" applyBorder="1" applyAlignment="1" applyProtection="1">
      <alignment horizontal="center" vertical="top" wrapText="1"/>
      <protection locked="0"/>
    </xf>
    <xf numFmtId="9" fontId="15" fillId="13" borderId="11" xfId="0" applyNumberFormat="1" applyFont="1" applyFill="1" applyBorder="1" applyAlignment="1" applyProtection="1">
      <alignment horizontal="center" vertical="top" wrapText="1"/>
      <protection locked="0"/>
    </xf>
    <xf numFmtId="0" fontId="18" fillId="15" borderId="14" xfId="0" applyFont="1" applyFill="1" applyBorder="1" applyAlignment="1" applyProtection="1">
      <alignment vertical="top" wrapText="1"/>
      <protection locked="0"/>
    </xf>
    <xf numFmtId="0" fontId="15" fillId="15" borderId="4" xfId="0" quotePrefix="1" applyFont="1" applyFill="1" applyBorder="1" applyAlignment="1" applyProtection="1">
      <alignment horizontal="left" vertical="top" wrapText="1"/>
      <protection locked="0"/>
    </xf>
    <xf numFmtId="0" fontId="22" fillId="15" borderId="14" xfId="0" quotePrefix="1" applyFont="1" applyFill="1" applyBorder="1" applyAlignment="1" applyProtection="1">
      <alignment horizontal="left" vertical="top" wrapText="1"/>
      <protection locked="0"/>
    </xf>
    <xf numFmtId="0" fontId="22" fillId="15" borderId="1" xfId="0" applyFont="1" applyFill="1" applyBorder="1" applyAlignment="1" applyProtection="1">
      <alignment vertical="top" wrapText="1"/>
      <protection locked="0"/>
    </xf>
    <xf numFmtId="0" fontId="18" fillId="15" borderId="1" xfId="0" applyFont="1" applyFill="1" applyBorder="1" applyAlignment="1" applyProtection="1">
      <alignment vertical="top" wrapText="1"/>
      <protection locked="0"/>
    </xf>
    <xf numFmtId="0" fontId="57" fillId="0" borderId="1" xfId="0" applyFont="1" applyBorder="1" applyAlignment="1">
      <alignment horizontal="left" vertical="top" wrapText="1"/>
    </xf>
    <xf numFmtId="17" fontId="0" fillId="0" borderId="1" xfId="0" applyNumberFormat="1" applyBorder="1" applyAlignment="1">
      <alignment vertical="top" wrapText="1"/>
    </xf>
    <xf numFmtId="9" fontId="0" fillId="0" borderId="1" xfId="2" applyFont="1" applyFill="1" applyBorder="1" applyAlignment="1">
      <alignment horizontal="left" vertical="top" wrapText="1"/>
    </xf>
    <xf numFmtId="164" fontId="62" fillId="0" borderId="1" xfId="0" applyNumberFormat="1" applyFont="1" applyBorder="1" applyAlignment="1">
      <alignment horizontal="center" vertical="center" wrapText="1"/>
    </xf>
    <xf numFmtId="9" fontId="17" fillId="13" borderId="6" xfId="0" applyNumberFormat="1" applyFont="1" applyFill="1" applyBorder="1" applyAlignment="1" applyProtection="1">
      <alignment horizontal="center" vertical="top" wrapText="1"/>
      <protection locked="0"/>
    </xf>
    <xf numFmtId="9" fontId="17" fillId="13" borderId="9" xfId="0" applyNumberFormat="1" applyFont="1" applyFill="1" applyBorder="1" applyAlignment="1" applyProtection="1">
      <alignment horizontal="center" vertical="top" wrapText="1"/>
      <protection locked="0"/>
    </xf>
    <xf numFmtId="9" fontId="17" fillId="13" borderId="8" xfId="0" applyNumberFormat="1" applyFont="1" applyFill="1" applyBorder="1" applyAlignment="1" applyProtection="1">
      <alignment horizontal="center" vertical="top"/>
      <protection locked="0"/>
    </xf>
    <xf numFmtId="9" fontId="17" fillId="13" borderId="9" xfId="0" applyNumberFormat="1" applyFont="1" applyFill="1" applyBorder="1" applyAlignment="1" applyProtection="1">
      <alignment horizontal="center" vertical="top"/>
      <protection locked="0"/>
    </xf>
    <xf numFmtId="9" fontId="17" fillId="13" borderId="10" xfId="0" applyNumberFormat="1" applyFont="1" applyFill="1" applyBorder="1" applyAlignment="1" applyProtection="1">
      <alignment horizontal="center" vertical="top"/>
      <protection locked="0"/>
    </xf>
    <xf numFmtId="9" fontId="17" fillId="13" borderId="16" xfId="0" applyNumberFormat="1" applyFont="1" applyFill="1" applyBorder="1" applyAlignment="1" applyProtection="1">
      <alignment horizontal="center" vertical="top"/>
      <protection locked="0"/>
    </xf>
    <xf numFmtId="0" fontId="58" fillId="23" borderId="1" xfId="0" applyFont="1" applyFill="1" applyBorder="1" applyAlignment="1" applyProtection="1">
      <alignment vertical="top" wrapText="1"/>
      <protection locked="0"/>
    </xf>
    <xf numFmtId="15" fontId="15" fillId="13" borderId="1" xfId="0" applyNumberFormat="1" applyFont="1" applyFill="1" applyBorder="1" applyAlignment="1">
      <alignment vertical="top" wrapText="1"/>
    </xf>
    <xf numFmtId="9" fontId="17" fillId="13" borderId="13" xfId="0" applyNumberFormat="1" applyFont="1" applyFill="1" applyBorder="1" applyAlignment="1" applyProtection="1">
      <alignment horizontal="center" vertical="top"/>
      <protection locked="0"/>
    </xf>
    <xf numFmtId="17" fontId="2" fillId="18" borderId="1" xfId="0" applyNumberFormat="1" applyFont="1" applyFill="1" applyBorder="1" applyAlignment="1">
      <alignment horizontal="center" vertical="top" wrapText="1"/>
    </xf>
    <xf numFmtId="0" fontId="15" fillId="15" borderId="30" xfId="0" applyFont="1" applyFill="1" applyBorder="1" applyAlignment="1">
      <alignment vertical="top" wrapText="1"/>
    </xf>
    <xf numFmtId="0" fontId="15" fillId="15" borderId="2" xfId="0" applyFont="1" applyFill="1" applyBorder="1" applyAlignment="1">
      <alignment vertical="top" wrapText="1"/>
    </xf>
    <xf numFmtId="0" fontId="15" fillId="15" borderId="20" xfId="0" applyFont="1" applyFill="1" applyBorder="1" applyAlignment="1">
      <alignment horizontal="center" vertical="top"/>
    </xf>
    <xf numFmtId="0" fontId="15" fillId="15" borderId="1" xfId="0" applyFont="1" applyFill="1" applyBorder="1" applyAlignment="1">
      <alignment horizontal="center" vertical="top"/>
    </xf>
    <xf numFmtId="15" fontId="15" fillId="15" borderId="8" xfId="0" applyNumberFormat="1" applyFont="1" applyFill="1" applyBorder="1" applyAlignment="1">
      <alignment horizontal="center" vertical="top" wrapText="1"/>
    </xf>
    <xf numFmtId="15" fontId="15" fillId="15" borderId="1" xfId="0" applyNumberFormat="1" applyFont="1" applyFill="1" applyBorder="1" applyAlignment="1">
      <alignment horizontal="center" vertical="top" wrapText="1"/>
    </xf>
    <xf numFmtId="165" fontId="15" fillId="15" borderId="1" xfId="0" applyNumberFormat="1" applyFont="1" applyFill="1" applyBorder="1" applyAlignment="1">
      <alignment horizontal="center" vertical="top"/>
    </xf>
    <xf numFmtId="10" fontId="15" fillId="15" borderId="1" xfId="0" applyNumberFormat="1" applyFont="1" applyFill="1" applyBorder="1" applyAlignment="1">
      <alignment horizontal="center" vertical="top"/>
    </xf>
    <xf numFmtId="9" fontId="15" fillId="15" borderId="0" xfId="0" applyNumberFormat="1" applyFont="1" applyFill="1" applyAlignment="1">
      <alignment vertical="top"/>
    </xf>
    <xf numFmtId="9" fontId="15" fillId="15" borderId="1" xfId="0" applyNumberFormat="1" applyFont="1" applyFill="1" applyBorder="1" applyAlignment="1">
      <alignment horizontal="center" vertical="top" wrapText="1"/>
    </xf>
    <xf numFmtId="9" fontId="15" fillId="15" borderId="1" xfId="0" applyNumberFormat="1" applyFont="1" applyFill="1" applyBorder="1" applyAlignment="1" applyProtection="1">
      <alignment horizontal="center" vertical="top"/>
      <protection locked="0"/>
    </xf>
    <xf numFmtId="0" fontId="15" fillId="15" borderId="1" xfId="0" applyFont="1" applyFill="1" applyBorder="1" applyAlignment="1" applyProtection="1">
      <alignment vertical="top" wrapText="1"/>
      <protection locked="0"/>
    </xf>
    <xf numFmtId="0" fontId="15" fillId="15" borderId="1" xfId="0" applyFont="1" applyFill="1" applyBorder="1" applyAlignment="1">
      <alignment vertical="top" wrapText="1"/>
    </xf>
    <xf numFmtId="164" fontId="15" fillId="15" borderId="1" xfId="0" applyNumberFormat="1" applyFont="1" applyFill="1" applyBorder="1" applyAlignment="1">
      <alignment horizontal="center" vertical="top" wrapText="1"/>
    </xf>
    <xf numFmtId="164" fontId="17" fillId="15" borderId="8" xfId="0" applyNumberFormat="1" applyFont="1" applyFill="1" applyBorder="1" applyAlignment="1">
      <alignment horizontal="center" vertical="top" wrapText="1"/>
    </xf>
    <xf numFmtId="0" fontId="15" fillId="15" borderId="1" xfId="0" applyFont="1" applyFill="1" applyBorder="1" applyAlignment="1">
      <alignment vertical="top"/>
    </xf>
    <xf numFmtId="0" fontId="16" fillId="15" borderId="1" xfId="0" applyFont="1" applyFill="1" applyBorder="1" applyAlignment="1">
      <alignment horizontal="left" vertical="top" wrapText="1"/>
    </xf>
    <xf numFmtId="0" fontId="18" fillId="15" borderId="1" xfId="0" applyFont="1" applyFill="1" applyBorder="1" applyAlignment="1">
      <alignment horizontal="left" vertical="top" wrapText="1"/>
    </xf>
    <xf numFmtId="0" fontId="15" fillId="15" borderId="1" xfId="0" applyFont="1" applyFill="1" applyBorder="1" applyAlignment="1">
      <alignment horizontal="left" vertical="top" wrapText="1"/>
    </xf>
    <xf numFmtId="0" fontId="15" fillId="15" borderId="1" xfId="0" applyFont="1" applyFill="1" applyBorder="1" applyAlignment="1">
      <alignment horizontal="left" vertical="top"/>
    </xf>
    <xf numFmtId="0" fontId="0" fillId="15" borderId="0" xfId="0" applyFill="1" applyAlignment="1">
      <alignment vertical="top"/>
    </xf>
    <xf numFmtId="0" fontId="57" fillId="0" borderId="5" xfId="0" applyFont="1" applyBorder="1" applyAlignment="1">
      <alignment vertical="top" wrapText="1"/>
    </xf>
    <xf numFmtId="0" fontId="58" fillId="13" borderId="14" xfId="0" applyFont="1" applyFill="1" applyBorder="1" applyAlignment="1" applyProtection="1">
      <alignment vertical="top" wrapText="1"/>
      <protection locked="0"/>
    </xf>
    <xf numFmtId="9" fontId="17" fillId="13" borderId="1" xfId="0" applyNumberFormat="1" applyFont="1" applyFill="1" applyBorder="1" applyAlignment="1" applyProtection="1">
      <alignment horizontal="center" vertical="top" wrapText="1"/>
      <protection locked="0"/>
    </xf>
    <xf numFmtId="9" fontId="17" fillId="13" borderId="14" xfId="0" applyNumberFormat="1" applyFont="1" applyFill="1" applyBorder="1" applyAlignment="1" applyProtection="1">
      <alignment horizontal="center" vertical="top"/>
      <protection locked="0"/>
    </xf>
    <xf numFmtId="165" fontId="15" fillId="0" borderId="1" xfId="0" applyNumberFormat="1" applyFont="1" applyBorder="1" applyAlignment="1">
      <alignment horizontal="center" vertical="top"/>
    </xf>
    <xf numFmtId="0" fontId="15" fillId="13" borderId="14" xfId="0" applyFont="1" applyFill="1" applyBorder="1" applyAlignment="1" applyProtection="1">
      <alignment vertical="top" wrapText="1"/>
      <protection locked="0"/>
    </xf>
    <xf numFmtId="0" fontId="29" fillId="0" borderId="11" xfId="0" applyFont="1" applyBorder="1" applyAlignment="1">
      <alignment vertical="top" wrapText="1"/>
    </xf>
    <xf numFmtId="0" fontId="0" fillId="11" borderId="0" xfId="0" applyFill="1" applyAlignment="1">
      <alignment horizontal="center"/>
    </xf>
    <xf numFmtId="0" fontId="15" fillId="15" borderId="21" xfId="0" applyFont="1" applyFill="1" applyBorder="1" applyAlignment="1">
      <alignment vertical="top" wrapText="1"/>
    </xf>
    <xf numFmtId="49" fontId="15" fillId="13" borderId="1" xfId="0" quotePrefix="1" applyNumberFormat="1" applyFont="1" applyFill="1" applyBorder="1" applyAlignment="1" applyProtection="1">
      <alignment horizontal="center" vertical="top" wrapText="1"/>
      <protection locked="0"/>
    </xf>
    <xf numFmtId="0" fontId="2" fillId="11" borderId="0" xfId="0" applyFont="1" applyFill="1" applyAlignment="1">
      <alignment horizontal="center"/>
    </xf>
    <xf numFmtId="9" fontId="18" fillId="13" borderId="1" xfId="0" applyNumberFormat="1" applyFont="1" applyFill="1" applyBorder="1" applyAlignment="1" applyProtection="1">
      <alignment vertical="top" wrapText="1"/>
      <protection locked="0"/>
    </xf>
    <xf numFmtId="0" fontId="15" fillId="13" borderId="22" xfId="0" quotePrefix="1" applyFont="1" applyFill="1" applyBorder="1" applyAlignment="1" applyProtection="1">
      <alignment horizontal="left" vertical="top" wrapText="1"/>
      <protection locked="0"/>
    </xf>
    <xf numFmtId="15" fontId="15" fillId="13" borderId="18" xfId="0" applyNumberFormat="1" applyFont="1" applyFill="1" applyBorder="1" applyAlignment="1">
      <alignment vertical="top" wrapText="1"/>
    </xf>
    <xf numFmtId="0" fontId="16" fillId="13" borderId="6" xfId="0" applyFont="1" applyFill="1" applyBorder="1" applyAlignment="1">
      <alignment horizontal="left" vertical="top" wrapText="1"/>
    </xf>
    <xf numFmtId="0" fontId="16" fillId="13" borderId="4" xfId="0" applyFont="1" applyFill="1" applyBorder="1" applyAlignment="1">
      <alignment horizontal="center" vertical="top" wrapText="1"/>
    </xf>
    <xf numFmtId="0" fontId="16" fillId="13" borderId="4" xfId="0" applyFont="1" applyFill="1" applyBorder="1" applyAlignment="1">
      <alignment horizontal="center" vertical="top"/>
    </xf>
    <xf numFmtId="0" fontId="16" fillId="13" borderId="4" xfId="0" applyFont="1" applyFill="1" applyBorder="1" applyAlignment="1">
      <alignment vertical="top"/>
    </xf>
    <xf numFmtId="0" fontId="16" fillId="13" borderId="9" xfId="0" applyFont="1" applyFill="1" applyBorder="1" applyAlignment="1">
      <alignment horizontal="center" vertical="top" wrapText="1"/>
    </xf>
    <xf numFmtId="0" fontId="16" fillId="13" borderId="9" xfId="0" applyFont="1" applyFill="1" applyBorder="1" applyAlignment="1">
      <alignment vertical="top"/>
    </xf>
    <xf numFmtId="0" fontId="16" fillId="13" borderId="9" xfId="0" applyFont="1" applyFill="1" applyBorder="1" applyAlignment="1">
      <alignment horizontal="left" vertical="top" wrapText="1"/>
    </xf>
    <xf numFmtId="0" fontId="15" fillId="13" borderId="9" xfId="0" applyFont="1" applyFill="1" applyBorder="1" applyAlignment="1">
      <alignment horizontal="left" vertical="top" wrapText="1"/>
    </xf>
    <xf numFmtId="0" fontId="0" fillId="13" borderId="9" xfId="0" applyFill="1" applyBorder="1" applyAlignment="1">
      <alignment vertical="top" wrapText="1"/>
    </xf>
    <xf numFmtId="164" fontId="17" fillId="13" borderId="9" xfId="0" applyNumberFormat="1" applyFont="1" applyFill="1" applyBorder="1" applyAlignment="1">
      <alignment horizontal="center" vertical="top" wrapText="1"/>
    </xf>
    <xf numFmtId="0" fontId="2" fillId="18" borderId="11" xfId="0" applyFont="1" applyFill="1" applyBorder="1" applyAlignment="1">
      <alignment horizontal="center" vertical="top" wrapText="1"/>
    </xf>
    <xf numFmtId="17" fontId="2" fillId="18" borderId="11" xfId="0" applyNumberFormat="1" applyFont="1" applyFill="1" applyBorder="1" applyAlignment="1">
      <alignment horizontal="center" vertical="top" wrapText="1"/>
    </xf>
    <xf numFmtId="9" fontId="30" fillId="0" borderId="1" xfId="2" applyFont="1" applyFill="1" applyBorder="1" applyAlignment="1">
      <alignment horizontal="center" vertical="top"/>
    </xf>
    <xf numFmtId="0" fontId="61" fillId="0" borderId="0" xfId="0" applyFont="1" applyAlignment="1">
      <alignment vertical="top" wrapText="1"/>
    </xf>
    <xf numFmtId="0" fontId="64" fillId="0" borderId="14" xfId="0" applyFont="1" applyBorder="1" applyAlignment="1">
      <alignment vertical="top"/>
    </xf>
    <xf numFmtId="0" fontId="64" fillId="0" borderId="45" xfId="0" applyFont="1" applyBorder="1" applyAlignment="1">
      <alignment vertical="top"/>
    </xf>
    <xf numFmtId="0" fontId="65" fillId="30" borderId="0" xfId="0" applyFont="1" applyFill="1"/>
    <xf numFmtId="0" fontId="66" fillId="0" borderId="0" xfId="0" applyFont="1" applyAlignment="1">
      <alignment vertical="center"/>
    </xf>
    <xf numFmtId="0" fontId="65" fillId="0" borderId="0" xfId="0" applyFont="1" applyAlignment="1">
      <alignment wrapText="1"/>
    </xf>
    <xf numFmtId="0" fontId="65" fillId="32" borderId="0" xfId="0" applyFont="1" applyFill="1"/>
    <xf numFmtId="0" fontId="67" fillId="0" borderId="0" xfId="0" applyFont="1"/>
    <xf numFmtId="0" fontId="65" fillId="31" borderId="0" xfId="0" applyFont="1" applyFill="1"/>
    <xf numFmtId="0" fontId="66" fillId="0" borderId="0" xfId="0" applyFont="1" applyAlignment="1">
      <alignment horizontal="center" vertical="center"/>
    </xf>
    <xf numFmtId="0" fontId="68" fillId="0" borderId="0" xfId="0" applyFont="1"/>
    <xf numFmtId="0" fontId="67" fillId="0" borderId="0" xfId="0" applyFont="1" applyAlignment="1">
      <alignment horizontal="center" vertical="center" wrapText="1"/>
    </xf>
    <xf numFmtId="0" fontId="65" fillId="0" borderId="0" xfId="0" applyFont="1"/>
    <xf numFmtId="0" fontId="65" fillId="29" borderId="0" xfId="0" applyFont="1" applyFill="1"/>
    <xf numFmtId="0" fontId="65" fillId="0" borderId="0" xfId="0" applyFont="1" applyAlignment="1">
      <alignment horizontal="center" vertical="center" wrapText="1"/>
    </xf>
    <xf numFmtId="0" fontId="66" fillId="33" borderId="14" xfId="0" applyFont="1" applyFill="1" applyBorder="1" applyAlignment="1">
      <alignment horizontal="center" vertical="center"/>
    </xf>
    <xf numFmtId="0" fontId="66" fillId="22" borderId="43" xfId="0" applyFont="1" applyFill="1" applyBorder="1" applyAlignment="1">
      <alignment horizontal="center" vertical="center" wrapText="1"/>
    </xf>
    <xf numFmtId="0" fontId="66" fillId="22" borderId="14" xfId="0" applyFont="1" applyFill="1" applyBorder="1" applyAlignment="1">
      <alignment horizontal="center" vertical="center" wrapText="1"/>
    </xf>
    <xf numFmtId="0" fontId="66" fillId="0" borderId="9" xfId="0" applyFont="1" applyBorder="1" applyAlignment="1">
      <alignment horizontal="center" vertical="top"/>
    </xf>
    <xf numFmtId="0" fontId="66" fillId="32" borderId="9" xfId="0" applyFont="1" applyFill="1" applyBorder="1" applyAlignment="1">
      <alignment vertical="top" wrapText="1"/>
    </xf>
    <xf numFmtId="0" fontId="65" fillId="0" borderId="9" xfId="0" applyFont="1" applyBorder="1" applyAlignment="1">
      <alignment vertical="top" wrapText="1"/>
    </xf>
    <xf numFmtId="0" fontId="65" fillId="0" borderId="9" xfId="0" applyFont="1" applyBorder="1" applyAlignment="1">
      <alignment vertical="center"/>
    </xf>
    <xf numFmtId="0" fontId="65" fillId="0" borderId="9" xfId="0" applyFont="1" applyBorder="1" applyAlignment="1">
      <alignment vertical="top"/>
    </xf>
    <xf numFmtId="0" fontId="66" fillId="32" borderId="9" xfId="0" applyFont="1" applyFill="1" applyBorder="1" applyAlignment="1">
      <alignment horizontal="center" vertical="top" wrapText="1"/>
    </xf>
    <xf numFmtId="9" fontId="66" fillId="32" borderId="9" xfId="0" applyNumberFormat="1" applyFont="1" applyFill="1" applyBorder="1" applyAlignment="1">
      <alignment horizontal="center" vertical="top"/>
    </xf>
    <xf numFmtId="0" fontId="65" fillId="32" borderId="9" xfId="0" applyFont="1" applyFill="1" applyBorder="1" applyAlignment="1">
      <alignment vertical="top"/>
    </xf>
    <xf numFmtId="0" fontId="65" fillId="32" borderId="9" xfId="0" applyFont="1" applyFill="1" applyBorder="1" applyAlignment="1">
      <alignment horizontal="center" vertical="top"/>
    </xf>
    <xf numFmtId="15" fontId="65" fillId="32" borderId="9" xfId="0" applyNumberFormat="1" applyFont="1" applyFill="1" applyBorder="1" applyAlignment="1">
      <alignment horizontal="center" vertical="top"/>
    </xf>
    <xf numFmtId="15" fontId="65" fillId="32" borderId="9" xfId="0" applyNumberFormat="1" applyFont="1" applyFill="1" applyBorder="1" applyAlignment="1">
      <alignment horizontal="center" vertical="top" wrapText="1"/>
    </xf>
    <xf numFmtId="0" fontId="65" fillId="32" borderId="9" xfId="0" applyFont="1" applyFill="1" applyBorder="1" applyAlignment="1">
      <alignment horizontal="center" vertical="top" wrapText="1"/>
    </xf>
    <xf numFmtId="0" fontId="66" fillId="32" borderId="9" xfId="0" applyFont="1" applyFill="1" applyBorder="1" applyAlignment="1">
      <alignment horizontal="center" vertical="top"/>
    </xf>
    <xf numFmtId="0" fontId="65" fillId="32" borderId="9" xfId="0" applyFont="1" applyFill="1" applyBorder="1"/>
    <xf numFmtId="0" fontId="66" fillId="32" borderId="14" xfId="0" applyFont="1" applyFill="1" applyBorder="1" applyAlignment="1">
      <alignment vertical="top" wrapText="1"/>
    </xf>
    <xf numFmtId="0" fontId="65" fillId="32" borderId="14" xfId="0" applyFont="1" applyFill="1" applyBorder="1" applyAlignment="1">
      <alignment horizontal="center" vertical="top" wrapText="1"/>
    </xf>
    <xf numFmtId="0" fontId="66" fillId="32" borderId="45" xfId="0" applyFont="1" applyFill="1" applyBorder="1" applyAlignment="1">
      <alignment vertical="top" wrapText="1"/>
    </xf>
    <xf numFmtId="0" fontId="65" fillId="32" borderId="45" xfId="0" applyFont="1" applyFill="1" applyBorder="1" applyAlignment="1">
      <alignment horizontal="center" vertical="top" wrapText="1"/>
    </xf>
    <xf numFmtId="0" fontId="66" fillId="32" borderId="13" xfId="0" applyFont="1" applyFill="1" applyBorder="1" applyAlignment="1">
      <alignment vertical="top" wrapText="1"/>
    </xf>
    <xf numFmtId="0" fontId="65" fillId="32" borderId="13" xfId="0" applyFont="1" applyFill="1" applyBorder="1" applyAlignment="1">
      <alignment horizontal="center" vertical="top" wrapText="1"/>
    </xf>
    <xf numFmtId="0" fontId="16" fillId="0" borderId="0" xfId="0" applyFont="1"/>
    <xf numFmtId="0" fontId="70" fillId="32" borderId="9" xfId="0" applyFont="1" applyFill="1" applyBorder="1" applyAlignment="1">
      <alignment vertical="top" wrapText="1" readingOrder="1"/>
    </xf>
    <xf numFmtId="0" fontId="64" fillId="0" borderId="10" xfId="0" applyFont="1" applyBorder="1" applyAlignment="1">
      <alignment vertical="top"/>
    </xf>
    <xf numFmtId="0" fontId="64" fillId="0" borderId="9" xfId="0" applyFont="1" applyBorder="1" applyAlignment="1">
      <alignment vertical="top"/>
    </xf>
    <xf numFmtId="15" fontId="27" fillId="32" borderId="44" xfId="0" applyNumberFormat="1" applyFont="1" applyFill="1" applyBorder="1" applyAlignment="1">
      <alignment horizontal="center" vertical="top"/>
    </xf>
    <xf numFmtId="9" fontId="34" fillId="32" borderId="14" xfId="0" applyNumberFormat="1" applyFont="1" applyFill="1" applyBorder="1" applyAlignment="1">
      <alignment horizontal="center" vertical="top"/>
    </xf>
    <xf numFmtId="0" fontId="64" fillId="32" borderId="9" xfId="0" applyFont="1" applyFill="1" applyBorder="1" applyAlignment="1">
      <alignment vertical="top"/>
    </xf>
    <xf numFmtId="0" fontId="64" fillId="32" borderId="9" xfId="0" applyFont="1" applyFill="1" applyBorder="1"/>
    <xf numFmtId="15" fontId="18" fillId="32" borderId="13" xfId="0" applyNumberFormat="1" applyFont="1" applyFill="1" applyBorder="1" applyAlignment="1">
      <alignment horizontal="center" vertical="top"/>
    </xf>
    <xf numFmtId="15" fontId="18" fillId="32" borderId="44" xfId="0" applyNumberFormat="1" applyFont="1" applyFill="1" applyBorder="1" applyAlignment="1">
      <alignment horizontal="center" vertical="top"/>
    </xf>
    <xf numFmtId="0" fontId="34" fillId="32" borderId="9" xfId="0" applyFont="1" applyFill="1" applyBorder="1" applyAlignment="1">
      <alignment vertical="top" wrapText="1"/>
    </xf>
    <xf numFmtId="0" fontId="64" fillId="32" borderId="14" xfId="0" applyFont="1" applyFill="1" applyBorder="1" applyAlignment="1">
      <alignment horizontal="center" vertical="top" wrapText="1"/>
    </xf>
    <xf numFmtId="15" fontId="27" fillId="32" borderId="46" xfId="0" applyNumberFormat="1" applyFont="1" applyFill="1" applyBorder="1" applyAlignment="1">
      <alignment horizontal="center" vertical="center"/>
    </xf>
    <xf numFmtId="0" fontId="64" fillId="32" borderId="10" xfId="0" applyFont="1" applyFill="1" applyBorder="1" applyAlignment="1">
      <alignment vertical="top"/>
    </xf>
    <xf numFmtId="15" fontId="18" fillId="32" borderId="9" xfId="0" applyNumberFormat="1" applyFont="1" applyFill="1" applyBorder="1" applyAlignment="1">
      <alignment horizontal="center" vertical="top"/>
    </xf>
    <xf numFmtId="15" fontId="18" fillId="32" borderId="10" xfId="0" applyNumberFormat="1" applyFont="1" applyFill="1" applyBorder="1" applyAlignment="1">
      <alignment horizontal="center" vertical="top"/>
    </xf>
    <xf numFmtId="0" fontId="34" fillId="32" borderId="9" xfId="0" applyFont="1" applyFill="1" applyBorder="1" applyAlignment="1">
      <alignment vertical="top"/>
    </xf>
    <xf numFmtId="0" fontId="64" fillId="32" borderId="9" xfId="0" applyFont="1" applyFill="1" applyBorder="1" applyAlignment="1">
      <alignment horizontal="center" vertical="top" wrapText="1"/>
    </xf>
    <xf numFmtId="0" fontId="70" fillId="32" borderId="14" xfId="0" applyFont="1" applyFill="1" applyBorder="1" applyAlignment="1">
      <alignment vertical="top" wrapText="1" readingOrder="1"/>
    </xf>
    <xf numFmtId="15" fontId="27" fillId="32" borderId="46" xfId="0" applyNumberFormat="1" applyFont="1" applyFill="1" applyBorder="1" applyAlignment="1">
      <alignment horizontal="center"/>
    </xf>
    <xf numFmtId="9" fontId="34" fillId="32" borderId="9" xfId="0" applyNumberFormat="1" applyFont="1" applyFill="1" applyBorder="1" applyAlignment="1">
      <alignment horizontal="center" vertical="top"/>
    </xf>
    <xf numFmtId="0" fontId="64" fillId="32" borderId="13" xfId="0" applyFont="1" applyFill="1" applyBorder="1" applyAlignment="1">
      <alignment horizontal="center" vertical="top" wrapText="1"/>
    </xf>
    <xf numFmtId="15" fontId="27" fillId="32" borderId="10" xfId="0" applyNumberFormat="1" applyFont="1" applyFill="1" applyBorder="1" applyAlignment="1">
      <alignment horizontal="center"/>
    </xf>
    <xf numFmtId="9" fontId="34" fillId="32" borderId="13" xfId="0" applyNumberFormat="1" applyFont="1" applyFill="1" applyBorder="1" applyAlignment="1">
      <alignment horizontal="center" vertical="top"/>
    </xf>
    <xf numFmtId="0" fontId="34" fillId="32" borderId="0" xfId="0" applyFont="1" applyFill="1" applyAlignment="1">
      <alignment vertical="top"/>
    </xf>
    <xf numFmtId="0" fontId="70" fillId="32" borderId="13" xfId="0" applyFont="1" applyFill="1" applyBorder="1" applyAlignment="1">
      <alignment vertical="top" wrapText="1" readingOrder="1"/>
    </xf>
    <xf numFmtId="15" fontId="27" fillId="32" borderId="44" xfId="0" applyNumberFormat="1" applyFont="1" applyFill="1" applyBorder="1" applyAlignment="1">
      <alignment horizontal="center"/>
    </xf>
    <xf numFmtId="15" fontId="18" fillId="32" borderId="48" xfId="0" applyNumberFormat="1" applyFont="1" applyFill="1" applyBorder="1" applyAlignment="1">
      <alignment horizontal="center" vertical="top"/>
    </xf>
    <xf numFmtId="0" fontId="64" fillId="32" borderId="10" xfId="0" applyFont="1" applyFill="1" applyBorder="1" applyAlignment="1">
      <alignment horizontal="center" vertical="top" wrapText="1"/>
    </xf>
    <xf numFmtId="0" fontId="71" fillId="0" borderId="14" xfId="0" applyFont="1" applyBorder="1" applyAlignment="1">
      <alignment vertical="top"/>
    </xf>
    <xf numFmtId="0" fontId="71" fillId="32" borderId="14" xfId="0" applyFont="1" applyFill="1" applyBorder="1" applyAlignment="1">
      <alignment horizontal="left" vertical="top"/>
    </xf>
    <xf numFmtId="0" fontId="71" fillId="32" borderId="14" xfId="0" applyFont="1" applyFill="1" applyBorder="1" applyAlignment="1">
      <alignment horizontal="center"/>
    </xf>
    <xf numFmtId="15" fontId="18" fillId="32" borderId="14" xfId="0" applyNumberFormat="1" applyFont="1" applyFill="1" applyBorder="1" applyAlignment="1">
      <alignment horizontal="center" vertical="top"/>
    </xf>
    <xf numFmtId="0" fontId="71" fillId="32" borderId="14" xfId="0" applyFont="1" applyFill="1" applyBorder="1" applyAlignment="1">
      <alignment horizontal="center" vertical="top" wrapText="1"/>
    </xf>
    <xf numFmtId="0" fontId="71" fillId="0" borderId="13" xfId="0" applyFont="1" applyBorder="1" applyAlignment="1">
      <alignment vertical="top"/>
    </xf>
    <xf numFmtId="0" fontId="71" fillId="32" borderId="13" xfId="0" applyFont="1" applyFill="1" applyBorder="1" applyAlignment="1">
      <alignment horizontal="center" vertical="top" wrapText="1"/>
    </xf>
    <xf numFmtId="0" fontId="71" fillId="0" borderId="10" xfId="0" applyFont="1" applyBorder="1" applyAlignment="1">
      <alignment vertical="top"/>
    </xf>
    <xf numFmtId="0" fontId="71" fillId="0" borderId="9" xfId="0" applyFont="1" applyBorder="1" applyAlignment="1">
      <alignment vertical="top"/>
    </xf>
    <xf numFmtId="15" fontId="17" fillId="32" borderId="10" xfId="0" applyNumberFormat="1" applyFont="1" applyFill="1" applyBorder="1" applyAlignment="1">
      <alignment horizontal="center"/>
    </xf>
    <xf numFmtId="9" fontId="70" fillId="32" borderId="9" xfId="0" applyNumberFormat="1" applyFont="1" applyFill="1" applyBorder="1" applyAlignment="1">
      <alignment horizontal="center" vertical="top"/>
    </xf>
    <xf numFmtId="0" fontId="71" fillId="32" borderId="9" xfId="0" applyFont="1" applyFill="1" applyBorder="1" applyAlignment="1">
      <alignment horizontal="left" vertical="top"/>
    </xf>
    <xf numFmtId="0" fontId="71" fillId="32" borderId="9" xfId="0" applyFont="1" applyFill="1" applyBorder="1" applyAlignment="1">
      <alignment horizontal="center"/>
    </xf>
    <xf numFmtId="15" fontId="18" fillId="32" borderId="47" xfId="0" applyNumberFormat="1" applyFont="1" applyFill="1" applyBorder="1" applyAlignment="1">
      <alignment horizontal="center" vertical="top"/>
    </xf>
    <xf numFmtId="15" fontId="15" fillId="32" borderId="10" xfId="0" applyNumberFormat="1" applyFont="1" applyFill="1" applyBorder="1" applyAlignment="1">
      <alignment horizontal="center" vertical="top"/>
    </xf>
    <xf numFmtId="0" fontId="71" fillId="32" borderId="9" xfId="0" applyFont="1" applyFill="1" applyBorder="1" applyAlignment="1">
      <alignment horizontal="center" vertical="top" wrapText="1"/>
    </xf>
    <xf numFmtId="9" fontId="70" fillId="32" borderId="9" xfId="0" applyNumberFormat="1" applyFont="1" applyFill="1" applyBorder="1" applyAlignment="1">
      <alignment horizontal="center"/>
    </xf>
    <xf numFmtId="15" fontId="18" fillId="32" borderId="43" xfId="0" applyNumberFormat="1" applyFont="1" applyFill="1" applyBorder="1" applyAlignment="1">
      <alignment horizontal="center" vertical="top"/>
    </xf>
    <xf numFmtId="15" fontId="18" fillId="32" borderId="1" xfId="0" applyNumberFormat="1" applyFont="1" applyFill="1" applyBorder="1" applyAlignment="1">
      <alignment horizontal="center" vertical="top"/>
    </xf>
    <xf numFmtId="0" fontId="64" fillId="34" borderId="0" xfId="0" applyFont="1" applyFill="1" applyAlignment="1">
      <alignment wrapText="1"/>
    </xf>
    <xf numFmtId="0" fontId="64" fillId="34" borderId="0" xfId="0" applyFont="1" applyFill="1"/>
    <xf numFmtId="0" fontId="64" fillId="34" borderId="0" xfId="0" applyFont="1" applyFill="1" applyAlignment="1">
      <alignment horizontal="center" vertical="center" wrapText="1"/>
    </xf>
    <xf numFmtId="0" fontId="64" fillId="0" borderId="14" xfId="0" applyFont="1" applyBorder="1"/>
    <xf numFmtId="0" fontId="71" fillId="0" borderId="14" xfId="0" applyFont="1" applyBorder="1" applyAlignment="1">
      <alignment horizontal="left" vertical="top"/>
    </xf>
    <xf numFmtId="0" fontId="34" fillId="31" borderId="14" xfId="0" applyFont="1" applyFill="1" applyBorder="1" applyAlignment="1">
      <alignment vertical="top" wrapText="1"/>
    </xf>
    <xf numFmtId="0" fontId="64" fillId="0" borderId="14" xfId="0" applyFont="1" applyBorder="1" applyAlignment="1">
      <alignment horizontal="center" vertical="center" wrapText="1"/>
    </xf>
    <xf numFmtId="0" fontId="34" fillId="31" borderId="45" xfId="0" applyFont="1" applyFill="1" applyBorder="1" applyAlignment="1">
      <alignment vertical="top" wrapText="1"/>
    </xf>
    <xf numFmtId="0" fontId="71" fillId="0" borderId="13" xfId="0" applyFont="1" applyBorder="1" applyAlignment="1">
      <alignment horizontal="left" vertical="top"/>
    </xf>
    <xf numFmtId="15" fontId="18" fillId="0" borderId="13" xfId="0" applyNumberFormat="1" applyFont="1" applyBorder="1" applyAlignment="1">
      <alignment horizontal="center" vertical="top"/>
    </xf>
    <xf numFmtId="0" fontId="34" fillId="31" borderId="13" xfId="0" applyFont="1" applyFill="1" applyBorder="1" applyAlignment="1">
      <alignment vertical="top" wrapText="1"/>
    </xf>
    <xf numFmtId="0" fontId="71" fillId="30" borderId="13" xfId="0" applyFont="1" applyFill="1" applyBorder="1" applyAlignment="1">
      <alignment vertical="top" wrapText="1"/>
    </xf>
    <xf numFmtId="0" fontId="34" fillId="0" borderId="9" xfId="0" applyFont="1" applyBorder="1" applyAlignment="1">
      <alignment vertical="center"/>
    </xf>
    <xf numFmtId="15" fontId="27" fillId="0" borderId="10" xfId="0" applyNumberFormat="1" applyFont="1" applyBorder="1" applyAlignment="1">
      <alignment horizontal="center"/>
    </xf>
    <xf numFmtId="0" fontId="64" fillId="0" borderId="9" xfId="0" applyFont="1" applyBorder="1"/>
    <xf numFmtId="15" fontId="18" fillId="0" borderId="13" xfId="0" applyNumberFormat="1" applyFont="1" applyBorder="1" applyAlignment="1">
      <alignment horizontal="center"/>
    </xf>
    <xf numFmtId="15" fontId="18" fillId="0" borderId="44" xfId="0" applyNumberFormat="1" applyFont="1" applyBorder="1" applyAlignment="1">
      <alignment horizontal="center"/>
    </xf>
    <xf numFmtId="15" fontId="18" fillId="0" borderId="10" xfId="0" applyNumberFormat="1" applyFont="1" applyBorder="1" applyAlignment="1">
      <alignment horizontal="center"/>
    </xf>
    <xf numFmtId="0" fontId="64" fillId="0" borderId="9" xfId="0" applyFont="1" applyBorder="1" applyAlignment="1">
      <alignment horizontal="center" vertical="center" wrapText="1"/>
    </xf>
    <xf numFmtId="0" fontId="71" fillId="30" borderId="9" xfId="0" applyFont="1" applyFill="1" applyBorder="1" applyAlignment="1">
      <alignment vertical="top" wrapText="1"/>
    </xf>
    <xf numFmtId="15" fontId="27" fillId="0" borderId="44" xfId="0" applyNumberFormat="1" applyFont="1" applyBorder="1" applyAlignment="1">
      <alignment horizontal="center"/>
    </xf>
    <xf numFmtId="0" fontId="71" fillId="0" borderId="9" xfId="0" applyFont="1" applyBorder="1" applyAlignment="1">
      <alignment horizontal="left" vertical="top"/>
    </xf>
    <xf numFmtId="0" fontId="71" fillId="30" borderId="14" xfId="0" applyFont="1" applyFill="1" applyBorder="1" applyAlignment="1">
      <alignment vertical="top" wrapText="1"/>
    </xf>
    <xf numFmtId="15" fontId="27" fillId="0" borderId="47" xfId="0" applyNumberFormat="1" applyFont="1" applyBorder="1" applyAlignment="1">
      <alignment horizontal="center"/>
    </xf>
    <xf numFmtId="15" fontId="18" fillId="0" borderId="45" xfId="0" applyNumberFormat="1" applyFont="1" applyBorder="1" applyAlignment="1">
      <alignment horizontal="center"/>
    </xf>
    <xf numFmtId="15" fontId="18" fillId="0" borderId="47" xfId="0" applyNumberFormat="1" applyFont="1" applyBorder="1" applyAlignment="1">
      <alignment horizontal="center"/>
    </xf>
    <xf numFmtId="0" fontId="18" fillId="0" borderId="9" xfId="0" applyFont="1" applyBorder="1" applyAlignment="1">
      <alignment vertical="top" wrapText="1"/>
    </xf>
    <xf numFmtId="15" fontId="27" fillId="0" borderId="10" xfId="0" applyNumberFormat="1" applyFont="1" applyBorder="1" applyAlignment="1">
      <alignment horizontal="center" vertical="center"/>
    </xf>
    <xf numFmtId="15" fontId="18" fillId="0" borderId="9" xfId="0" applyNumberFormat="1" applyFont="1" applyBorder="1" applyAlignment="1">
      <alignment horizontal="center" vertical="center"/>
    </xf>
    <xf numFmtId="15" fontId="18" fillId="0" borderId="10" xfId="0" applyNumberFormat="1" applyFont="1" applyBorder="1" applyAlignment="1">
      <alignment horizontal="center" vertical="center"/>
    </xf>
    <xf numFmtId="15" fontId="27" fillId="0" borderId="44" xfId="0" applyNumberFormat="1" applyFont="1" applyBorder="1" applyAlignment="1">
      <alignment horizontal="center" vertical="center"/>
    </xf>
    <xf numFmtId="15" fontId="18" fillId="0" borderId="13" xfId="0" applyNumberFormat="1" applyFont="1" applyBorder="1" applyAlignment="1">
      <alignment horizontal="center" vertical="center"/>
    </xf>
    <xf numFmtId="15" fontId="18" fillId="0" borderId="44" xfId="0" applyNumberFormat="1" applyFont="1" applyBorder="1" applyAlignment="1">
      <alignment horizontal="center" vertical="center"/>
    </xf>
    <xf numFmtId="0" fontId="18" fillId="0" borderId="9" xfId="0" applyFont="1" applyBorder="1" applyAlignment="1">
      <alignment wrapText="1"/>
    </xf>
    <xf numFmtId="15" fontId="27" fillId="0" borderId="47" xfId="0" applyNumberFormat="1" applyFont="1" applyBorder="1" applyAlignment="1">
      <alignment horizontal="center" vertical="center"/>
    </xf>
    <xf numFmtId="15" fontId="18" fillId="0" borderId="45" xfId="0" applyNumberFormat="1" applyFont="1" applyBorder="1" applyAlignment="1">
      <alignment horizontal="center" vertical="center"/>
    </xf>
    <xf numFmtId="15" fontId="18" fillId="0" borderId="47" xfId="0" applyNumberFormat="1" applyFont="1" applyBorder="1" applyAlignment="1">
      <alignment horizontal="center" vertical="center"/>
    </xf>
    <xf numFmtId="0" fontId="18" fillId="0" borderId="16" xfId="0" applyFont="1" applyBorder="1" applyAlignment="1">
      <alignment vertical="top" wrapText="1"/>
    </xf>
    <xf numFmtId="0" fontId="18" fillId="0" borderId="14" xfId="0" applyFont="1" applyBorder="1" applyAlignment="1">
      <alignment wrapText="1"/>
    </xf>
    <xf numFmtId="0" fontId="64" fillId="0" borderId="25" xfId="0" applyFont="1" applyBorder="1"/>
    <xf numFmtId="0" fontId="18" fillId="30" borderId="9" xfId="0" applyFont="1" applyFill="1" applyBorder="1" applyAlignment="1">
      <alignment wrapText="1"/>
    </xf>
    <xf numFmtId="0" fontId="71" fillId="0" borderId="9" xfId="0" applyFont="1" applyBorder="1"/>
    <xf numFmtId="15" fontId="27" fillId="0" borderId="9" xfId="0" applyNumberFormat="1" applyFont="1" applyBorder="1" applyAlignment="1">
      <alignment horizontal="center"/>
    </xf>
    <xf numFmtId="0" fontId="64" fillId="0" borderId="16" xfId="0" applyFont="1" applyBorder="1"/>
    <xf numFmtId="15" fontId="18" fillId="0" borderId="9" xfId="0" applyNumberFormat="1" applyFont="1" applyBorder="1" applyAlignment="1">
      <alignment horizontal="center"/>
    </xf>
    <xf numFmtId="0" fontId="64" fillId="0" borderId="10" xfId="0" applyFont="1" applyBorder="1"/>
    <xf numFmtId="0" fontId="71" fillId="0" borderId="14" xfId="0" applyFont="1" applyBorder="1" applyAlignment="1">
      <alignment horizontal="center" vertical="center" wrapText="1"/>
    </xf>
    <xf numFmtId="0" fontId="64" fillId="30" borderId="9" xfId="0" applyFont="1" applyFill="1" applyBorder="1"/>
    <xf numFmtId="0" fontId="64" fillId="0" borderId="16" xfId="0" applyFont="1" applyBorder="1" applyAlignment="1">
      <alignment horizontal="center"/>
    </xf>
    <xf numFmtId="15" fontId="64" fillId="0" borderId="9" xfId="0" applyNumberFormat="1" applyFont="1" applyBorder="1" applyAlignment="1">
      <alignment horizontal="center" vertical="top"/>
    </xf>
    <xf numFmtId="15" fontId="18" fillId="0" borderId="10" xfId="0" applyNumberFormat="1" applyFont="1" applyBorder="1" applyAlignment="1">
      <alignment horizontal="center" vertical="top"/>
    </xf>
    <xf numFmtId="15" fontId="18" fillId="0" borderId="44" xfId="0" applyNumberFormat="1" applyFont="1" applyBorder="1" applyAlignment="1">
      <alignment horizontal="center" vertical="top"/>
    </xf>
    <xf numFmtId="0" fontId="64" fillId="0" borderId="9" xfId="0" applyFont="1" applyBorder="1" applyAlignment="1">
      <alignment horizontal="center" vertical="top"/>
    </xf>
    <xf numFmtId="0" fontId="64" fillId="0" borderId="13" xfId="0" applyFont="1" applyBorder="1" applyAlignment="1">
      <alignment horizontal="center" vertical="top" wrapText="1"/>
    </xf>
    <xf numFmtId="0" fontId="18" fillId="30" borderId="9" xfId="0" applyFont="1" applyFill="1" applyBorder="1"/>
    <xf numFmtId="0" fontId="64" fillId="0" borderId="9" xfId="0" applyFont="1" applyBorder="1" applyAlignment="1">
      <alignment horizontal="center"/>
    </xf>
    <xf numFmtId="0" fontId="71" fillId="0" borderId="16" xfId="0" applyFont="1" applyBorder="1"/>
    <xf numFmtId="0" fontId="18" fillId="0" borderId="14" xfId="0" applyFont="1" applyBorder="1" applyAlignment="1">
      <alignment vertical="top" wrapText="1"/>
    </xf>
    <xf numFmtId="15" fontId="27" fillId="0" borderId="14" xfId="0" applyNumberFormat="1" applyFont="1" applyBorder="1" applyAlignment="1">
      <alignment horizontal="center" vertical="center"/>
    </xf>
    <xf numFmtId="15" fontId="18" fillId="0" borderId="14" xfId="0" applyNumberFormat="1" applyFont="1" applyBorder="1" applyAlignment="1">
      <alignment horizontal="center" vertical="center"/>
    </xf>
    <xf numFmtId="0" fontId="18" fillId="0" borderId="10" xfId="0" applyFont="1" applyBorder="1"/>
    <xf numFmtId="0" fontId="18" fillId="0" borderId="10" xfId="0" applyFont="1" applyBorder="1" applyAlignment="1">
      <alignment wrapText="1"/>
    </xf>
    <xf numFmtId="0" fontId="16" fillId="0" borderId="0" xfId="0" applyFont="1" applyAlignment="1">
      <alignment horizontal="center" vertical="center" wrapText="1"/>
    </xf>
    <xf numFmtId="0" fontId="74" fillId="0" borderId="1" xfId="0" applyFont="1" applyBorder="1" applyAlignment="1">
      <alignment vertical="top" wrapText="1"/>
    </xf>
    <xf numFmtId="0" fontId="18" fillId="23" borderId="6" xfId="0" applyFont="1" applyFill="1" applyBorder="1" applyAlignment="1" applyProtection="1">
      <alignment vertical="top" wrapText="1"/>
      <protection locked="0"/>
    </xf>
    <xf numFmtId="0" fontId="74" fillId="0" borderId="4" xfId="0" applyFont="1" applyBorder="1" applyAlignment="1">
      <alignment vertical="top" wrapText="1"/>
    </xf>
    <xf numFmtId="0" fontId="0" fillId="13" borderId="11" xfId="0" applyFill="1" applyBorder="1" applyAlignment="1">
      <alignment horizontal="center" vertical="top"/>
    </xf>
    <xf numFmtId="0" fontId="0" fillId="13" borderId="17" xfId="0" applyFill="1" applyBorder="1" applyAlignment="1">
      <alignment horizontal="center"/>
    </xf>
    <xf numFmtId="9" fontId="0" fillId="13" borderId="1" xfId="0" applyNumberFormat="1" applyFill="1" applyBorder="1" applyAlignment="1" applyProtection="1">
      <alignment vertical="top"/>
      <protection locked="0"/>
    </xf>
    <xf numFmtId="15" fontId="0" fillId="35" borderId="1" xfId="0" applyNumberFormat="1" applyFill="1" applyBorder="1" applyAlignment="1">
      <alignment horizontal="center" vertical="top" wrapText="1"/>
    </xf>
    <xf numFmtId="0" fontId="16" fillId="0" borderId="1" xfId="0" applyFont="1" applyBorder="1"/>
    <xf numFmtId="15" fontId="16" fillId="0" borderId="1" xfId="0" applyNumberFormat="1" applyFont="1" applyBorder="1"/>
    <xf numFmtId="0" fontId="67" fillId="0" borderId="0" xfId="0" applyFont="1" applyAlignment="1">
      <alignment horizontal="center"/>
    </xf>
    <xf numFmtId="0" fontId="64" fillId="34" borderId="0" xfId="0" applyFont="1" applyFill="1" applyAlignment="1">
      <alignment horizontal="center"/>
    </xf>
    <xf numFmtId="15" fontId="16" fillId="0" borderId="1" xfId="0" applyNumberFormat="1" applyFont="1" applyBorder="1" applyAlignment="1">
      <alignment horizontal="center"/>
    </xf>
    <xf numFmtId="0" fontId="16" fillId="0" borderId="0" xfId="0" applyFont="1" applyAlignment="1">
      <alignment horizontal="center"/>
    </xf>
    <xf numFmtId="0" fontId="65" fillId="0" borderId="0" xfId="0" applyFont="1" applyAlignment="1">
      <alignment horizontal="center"/>
    </xf>
    <xf numFmtId="15" fontId="16" fillId="0" borderId="1" xfId="0" applyNumberFormat="1" applyFont="1" applyBorder="1" applyAlignment="1">
      <alignment horizontal="center" vertical="center" wrapText="1"/>
    </xf>
    <xf numFmtId="0" fontId="2" fillId="4"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xf>
    <xf numFmtId="0" fontId="2" fillId="10" borderId="1" xfId="0" applyFont="1" applyFill="1" applyBorder="1" applyAlignment="1">
      <alignment horizontal="center" vertical="center" wrapText="1"/>
    </xf>
    <xf numFmtId="0" fontId="2" fillId="10" borderId="1" xfId="0" applyFont="1" applyFill="1" applyBorder="1" applyAlignment="1">
      <alignment horizontal="center" vertical="center"/>
    </xf>
    <xf numFmtId="0" fontId="2" fillId="9" borderId="1" xfId="0" applyFont="1" applyFill="1" applyBorder="1" applyAlignment="1">
      <alignment horizontal="center" vertical="center" wrapText="1"/>
    </xf>
    <xf numFmtId="0" fontId="2" fillId="9" borderId="1" xfId="0" applyFont="1" applyFill="1" applyBorder="1" applyAlignment="1">
      <alignment horizontal="center" vertical="center"/>
    </xf>
    <xf numFmtId="0" fontId="11" fillId="8" borderId="34" xfId="0" applyFont="1" applyFill="1" applyBorder="1" applyAlignment="1">
      <alignment horizontal="center" vertical="center" wrapText="1"/>
    </xf>
    <xf numFmtId="0" fontId="11" fillId="8" borderId="35" xfId="0" applyFont="1" applyFill="1" applyBorder="1" applyAlignment="1">
      <alignment horizontal="center" vertical="center" wrapText="1"/>
    </xf>
    <xf numFmtId="0" fontId="11" fillId="8" borderId="49" xfId="0" applyFont="1" applyFill="1" applyBorder="1" applyAlignment="1">
      <alignment horizontal="center" vertical="center" wrapText="1"/>
    </xf>
    <xf numFmtId="0" fontId="11" fillId="8" borderId="33" xfId="0" applyFont="1" applyFill="1" applyBorder="1" applyAlignment="1">
      <alignment horizontal="center" vertical="center" wrapText="1"/>
    </xf>
    <xf numFmtId="0" fontId="70" fillId="0" borderId="14" xfId="0" applyFont="1" applyBorder="1" applyAlignment="1">
      <alignment vertical="top" wrapText="1"/>
    </xf>
    <xf numFmtId="0" fontId="70" fillId="0" borderId="13" xfId="0" applyFont="1" applyBorder="1" applyAlignment="1">
      <alignment vertical="top" wrapText="1"/>
    </xf>
    <xf numFmtId="0" fontId="34" fillId="0" borderId="4" xfId="0" applyFont="1" applyBorder="1" applyAlignment="1">
      <alignment horizontal="center" vertical="top"/>
    </xf>
    <xf numFmtId="0" fontId="34" fillId="0" borderId="15" xfId="0" applyFont="1" applyBorder="1" applyAlignment="1">
      <alignment horizontal="center" vertical="top"/>
    </xf>
    <xf numFmtId="0" fontId="34" fillId="0" borderId="11" xfId="0" applyFont="1" applyBorder="1" applyAlignment="1">
      <alignment horizontal="center" vertical="top"/>
    </xf>
    <xf numFmtId="0" fontId="64" fillId="34" borderId="0" xfId="0" applyFont="1" applyFill="1"/>
    <xf numFmtId="0" fontId="70" fillId="0" borderId="14" xfId="0" applyFont="1" applyBorder="1" applyAlignment="1">
      <alignment horizontal="center" vertical="top"/>
    </xf>
    <xf numFmtId="0" fontId="70" fillId="0" borderId="13" xfId="0" applyFont="1" applyBorder="1" applyAlignment="1">
      <alignment horizontal="center" vertical="top"/>
    </xf>
    <xf numFmtId="0" fontId="65" fillId="0" borderId="14" xfId="0" applyFont="1" applyBorder="1" applyAlignment="1">
      <alignment horizontal="center" vertical="center" wrapText="1"/>
    </xf>
    <xf numFmtId="0" fontId="65" fillId="0" borderId="45" xfId="0" applyFont="1" applyBorder="1" applyAlignment="1">
      <alignment horizontal="center" vertical="center" wrapText="1"/>
    </xf>
    <xf numFmtId="0" fontId="65" fillId="0" borderId="13" xfId="0" applyFont="1" applyBorder="1" applyAlignment="1">
      <alignment horizontal="center" vertical="center" wrapText="1"/>
    </xf>
    <xf numFmtId="0" fontId="34" fillId="0" borderId="1" xfId="0" applyFont="1" applyBorder="1" applyAlignment="1">
      <alignment horizontal="center" vertical="top"/>
    </xf>
    <xf numFmtId="0" fontId="70" fillId="0" borderId="1" xfId="0" applyFont="1" applyBorder="1" applyAlignment="1">
      <alignment horizontal="center" vertical="top" wrapText="1"/>
    </xf>
    <xf numFmtId="0" fontId="65" fillId="0" borderId="14" xfId="0" applyFont="1" applyBorder="1" applyAlignment="1">
      <alignment horizontal="left" vertical="top" wrapText="1"/>
    </xf>
    <xf numFmtId="0" fontId="65" fillId="0" borderId="13" xfId="0" applyFont="1" applyBorder="1" applyAlignment="1">
      <alignment horizontal="left" vertical="top" wrapText="1"/>
    </xf>
    <xf numFmtId="0" fontId="65" fillId="30" borderId="14" xfId="0" applyFont="1" applyFill="1" applyBorder="1" applyAlignment="1">
      <alignment horizontal="left" vertical="top" wrapText="1"/>
    </xf>
    <xf numFmtId="0" fontId="65" fillId="30" borderId="45" xfId="0" applyFont="1" applyFill="1" applyBorder="1" applyAlignment="1">
      <alignment horizontal="left" vertical="top" wrapText="1"/>
    </xf>
    <xf numFmtId="0" fontId="65" fillId="30" borderId="13" xfId="0" applyFont="1" applyFill="1" applyBorder="1" applyAlignment="1">
      <alignment horizontal="left" vertical="top" wrapText="1"/>
    </xf>
    <xf numFmtId="0" fontId="65" fillId="0" borderId="45" xfId="0" applyFont="1" applyBorder="1" applyAlignment="1">
      <alignment horizontal="left" vertical="top" wrapText="1"/>
    </xf>
    <xf numFmtId="0" fontId="66" fillId="0" borderId="14" xfId="0" applyFont="1" applyBorder="1" applyAlignment="1">
      <alignment horizontal="center" vertical="top"/>
    </xf>
    <xf numFmtId="0" fontId="66" fillId="0" borderId="45" xfId="0" applyFont="1" applyBorder="1" applyAlignment="1">
      <alignment horizontal="center" vertical="top"/>
    </xf>
    <xf numFmtId="0" fontId="66" fillId="0" borderId="13" xfId="0" applyFont="1" applyBorder="1" applyAlignment="1">
      <alignment horizontal="center" vertical="top"/>
    </xf>
    <xf numFmtId="0" fontId="34" fillId="0" borderId="14" xfId="0" applyFont="1" applyBorder="1" applyAlignment="1">
      <alignment horizontal="center" vertical="top"/>
    </xf>
    <xf numFmtId="0" fontId="34" fillId="0" borderId="45" xfId="0" applyFont="1" applyBorder="1" applyAlignment="1">
      <alignment horizontal="center" vertical="top"/>
    </xf>
    <xf numFmtId="0" fontId="34" fillId="0" borderId="13" xfId="0" applyFont="1" applyBorder="1" applyAlignment="1">
      <alignment horizontal="center" vertical="top"/>
    </xf>
    <xf numFmtId="0" fontId="70" fillId="0" borderId="45" xfId="0" applyFont="1" applyBorder="1" applyAlignment="1">
      <alignment horizontal="center" vertical="top"/>
    </xf>
    <xf numFmtId="0" fontId="34" fillId="0" borderId="56" xfId="0" applyFont="1" applyBorder="1" applyAlignment="1">
      <alignment horizontal="center" vertical="top"/>
    </xf>
    <xf numFmtId="0" fontId="70" fillId="0" borderId="14" xfId="0" applyFont="1" applyBorder="1" applyAlignment="1">
      <alignment horizontal="center" vertical="top" wrapText="1"/>
    </xf>
    <xf numFmtId="0" fontId="70" fillId="0" borderId="45" xfId="0" applyFont="1" applyBorder="1" applyAlignment="1">
      <alignment horizontal="center" vertical="top" wrapText="1"/>
    </xf>
    <xf numFmtId="0" fontId="64" fillId="34" borderId="48" xfId="0" applyFont="1" applyFill="1" applyBorder="1"/>
    <xf numFmtId="0" fontId="34" fillId="0" borderId="14" xfId="0" applyFont="1" applyBorder="1" applyAlignment="1">
      <alignment horizontal="center" vertical="top" wrapText="1"/>
    </xf>
    <xf numFmtId="0" fontId="34" fillId="0" borderId="45" xfId="0" applyFont="1" applyBorder="1" applyAlignment="1">
      <alignment horizontal="center" vertical="top" wrapText="1"/>
    </xf>
    <xf numFmtId="15" fontId="18" fillId="0" borderId="45" xfId="0" applyNumberFormat="1" applyFont="1" applyBorder="1" applyAlignment="1">
      <alignment horizontal="center" vertical="top"/>
    </xf>
    <xf numFmtId="15" fontId="18" fillId="0" borderId="13" xfId="0" applyNumberFormat="1" applyFont="1" applyBorder="1" applyAlignment="1">
      <alignment horizontal="center" vertical="top"/>
    </xf>
    <xf numFmtId="0" fontId="64" fillId="0" borderId="14" xfId="0" applyFont="1" applyBorder="1" applyAlignment="1">
      <alignment horizontal="center" vertical="center" wrapText="1"/>
    </xf>
    <xf numFmtId="0" fontId="64" fillId="0" borderId="45" xfId="0" applyFont="1" applyBorder="1" applyAlignment="1">
      <alignment horizontal="center" vertical="center" wrapText="1"/>
    </xf>
    <xf numFmtId="0" fontId="64" fillId="0" borderId="13" xfId="0" applyFont="1" applyBorder="1" applyAlignment="1">
      <alignment horizontal="center" vertical="center" wrapText="1"/>
    </xf>
    <xf numFmtId="0" fontId="34" fillId="0" borderId="13" xfId="0" applyFont="1" applyBorder="1" applyAlignment="1">
      <alignment horizontal="center" vertical="top" wrapText="1"/>
    </xf>
    <xf numFmtId="15" fontId="64" fillId="0" borderId="14" xfId="0" applyNumberFormat="1" applyFont="1" applyBorder="1" applyAlignment="1">
      <alignment horizontal="center" vertical="top"/>
    </xf>
    <xf numFmtId="15" fontId="64" fillId="0" borderId="45" xfId="0" applyNumberFormat="1" applyFont="1" applyBorder="1" applyAlignment="1">
      <alignment horizontal="center" vertical="top"/>
    </xf>
    <xf numFmtId="15" fontId="64" fillId="0" borderId="13" xfId="0" applyNumberFormat="1" applyFont="1" applyBorder="1" applyAlignment="1">
      <alignment horizontal="center" vertical="top"/>
    </xf>
    <xf numFmtId="0" fontId="71" fillId="32" borderId="14" xfId="0" applyFont="1" applyFill="1" applyBorder="1" applyAlignment="1">
      <alignment horizontal="center" vertical="top" wrapText="1"/>
    </xf>
    <xf numFmtId="0" fontId="71" fillId="32" borderId="13" xfId="0" applyFont="1" applyFill="1" applyBorder="1" applyAlignment="1">
      <alignment horizontal="center" vertical="top" wrapText="1"/>
    </xf>
    <xf numFmtId="0" fontId="64" fillId="34" borderId="46" xfId="0" applyFont="1" applyFill="1" applyBorder="1"/>
    <xf numFmtId="0" fontId="34" fillId="0" borderId="14" xfId="0" applyFont="1" applyBorder="1" applyAlignment="1">
      <alignment horizontal="left" vertical="top" wrapText="1"/>
    </xf>
    <xf numFmtId="0" fontId="34" fillId="0" borderId="45" xfId="0" applyFont="1" applyBorder="1" applyAlignment="1">
      <alignment horizontal="left" vertical="top" wrapText="1"/>
    </xf>
    <xf numFmtId="0" fontId="34" fillId="0" borderId="13" xfId="0" applyFont="1" applyBorder="1" applyAlignment="1">
      <alignment horizontal="left" vertical="top" wrapText="1"/>
    </xf>
    <xf numFmtId="0" fontId="72" fillId="30" borderId="14" xfId="0" applyFont="1" applyFill="1" applyBorder="1" applyAlignment="1">
      <alignment vertical="top" wrapText="1"/>
    </xf>
    <xf numFmtId="0" fontId="72" fillId="30" borderId="45" xfId="0" applyFont="1" applyFill="1" applyBorder="1" applyAlignment="1">
      <alignment vertical="top" wrapText="1"/>
    </xf>
    <xf numFmtId="0" fontId="72" fillId="30" borderId="13" xfId="0" applyFont="1" applyFill="1" applyBorder="1" applyAlignment="1">
      <alignment vertical="top" wrapText="1"/>
    </xf>
    <xf numFmtId="0" fontId="64" fillId="0" borderId="14" xfId="0" applyFont="1" applyBorder="1" applyAlignment="1">
      <alignment vertical="top"/>
    </xf>
    <xf numFmtId="0" fontId="64" fillId="0" borderId="45" xfId="0" applyFont="1" applyBorder="1" applyAlignment="1">
      <alignment vertical="top"/>
    </xf>
    <xf numFmtId="0" fontId="64" fillId="0" borderId="13" xfId="0" applyFont="1" applyBorder="1" applyAlignment="1">
      <alignment vertical="top"/>
    </xf>
    <xf numFmtId="0" fontId="34" fillId="0" borderId="14" xfId="0" applyFont="1" applyBorder="1" applyAlignment="1">
      <alignment vertical="center"/>
    </xf>
    <xf numFmtId="0" fontId="34" fillId="0" borderId="45" xfId="0" applyFont="1" applyBorder="1" applyAlignment="1">
      <alignment vertical="center"/>
    </xf>
    <xf numFmtId="0" fontId="34" fillId="0" borderId="13" xfId="0" applyFont="1" applyBorder="1" applyAlignment="1">
      <alignment vertical="center"/>
    </xf>
    <xf numFmtId="0" fontId="71" fillId="0" borderId="14" xfId="0" applyFont="1" applyBorder="1" applyAlignment="1">
      <alignment vertical="top"/>
    </xf>
    <xf numFmtId="0" fontId="71" fillId="0" borderId="45" xfId="0" applyFont="1" applyBorder="1" applyAlignment="1">
      <alignment vertical="top"/>
    </xf>
    <xf numFmtId="0" fontId="71" fillId="0" borderId="13" xfId="0" applyFont="1" applyBorder="1" applyAlignment="1">
      <alignment vertical="top"/>
    </xf>
    <xf numFmtId="15" fontId="34" fillId="0" borderId="14" xfId="0" applyNumberFormat="1" applyFont="1" applyBorder="1" applyAlignment="1">
      <alignment horizontal="center" vertical="center"/>
    </xf>
    <xf numFmtId="15" fontId="34" fillId="0" borderId="45" xfId="0" applyNumberFormat="1" applyFont="1" applyBorder="1" applyAlignment="1">
      <alignment horizontal="center" vertical="center"/>
    </xf>
    <xf numFmtId="15" fontId="34" fillId="0" borderId="13" xfId="0" applyNumberFormat="1" applyFont="1" applyBorder="1" applyAlignment="1">
      <alignment horizontal="center" vertical="center"/>
    </xf>
    <xf numFmtId="0" fontId="64" fillId="0" borderId="14" xfId="0" applyFont="1" applyBorder="1"/>
    <xf numFmtId="0" fontId="64" fillId="0" borderId="45" xfId="0" applyFont="1" applyBorder="1"/>
    <xf numFmtId="0" fontId="64" fillId="0" borderId="13" xfId="0" applyFont="1" applyBorder="1"/>
    <xf numFmtId="0" fontId="71" fillId="0" borderId="14" xfId="0" applyFont="1" applyBorder="1" applyAlignment="1">
      <alignment horizontal="left" vertical="top"/>
    </xf>
    <xf numFmtId="0" fontId="71" fillId="0" borderId="45" xfId="0" applyFont="1" applyBorder="1" applyAlignment="1">
      <alignment horizontal="left" vertical="top"/>
    </xf>
    <xf numFmtId="0" fontId="71" fillId="0" borderId="13" xfId="0" applyFont="1" applyBorder="1" applyAlignment="1">
      <alignment horizontal="left" vertical="top"/>
    </xf>
    <xf numFmtId="15" fontId="71" fillId="32" borderId="54" xfId="0" applyNumberFormat="1" applyFont="1" applyFill="1" applyBorder="1" applyAlignment="1">
      <alignment horizontal="center" vertical="top"/>
    </xf>
    <xf numFmtId="15" fontId="71" fillId="32" borderId="55" xfId="0" applyNumberFormat="1" applyFont="1" applyFill="1" applyBorder="1" applyAlignment="1">
      <alignment horizontal="center" vertical="top"/>
    </xf>
    <xf numFmtId="15" fontId="71" fillId="32" borderId="14" xfId="0" applyNumberFormat="1" applyFont="1" applyFill="1" applyBorder="1" applyAlignment="1">
      <alignment horizontal="center" vertical="top"/>
    </xf>
    <xf numFmtId="15" fontId="71" fillId="32" borderId="13" xfId="0" applyNumberFormat="1" applyFont="1" applyFill="1" applyBorder="1" applyAlignment="1">
      <alignment horizontal="center" vertical="top"/>
    </xf>
    <xf numFmtId="0" fontId="34" fillId="32" borderId="14" xfId="0" applyFont="1" applyFill="1" applyBorder="1" applyAlignment="1">
      <alignment vertical="top" wrapText="1"/>
    </xf>
    <xf numFmtId="0" fontId="34" fillId="32" borderId="13" xfId="0" applyFont="1" applyFill="1" applyBorder="1" applyAlignment="1">
      <alignment vertical="top" wrapText="1"/>
    </xf>
    <xf numFmtId="0" fontId="70" fillId="32" borderId="14" xfId="0" applyFont="1" applyFill="1" applyBorder="1" applyAlignment="1">
      <alignment vertical="top" wrapText="1"/>
    </xf>
    <xf numFmtId="0" fontId="70" fillId="32" borderId="13" xfId="0" applyFont="1" applyFill="1" applyBorder="1" applyAlignment="1">
      <alignment vertical="top" wrapText="1"/>
    </xf>
    <xf numFmtId="15" fontId="70" fillId="32" borderId="14" xfId="0" applyNumberFormat="1" applyFont="1" applyFill="1" applyBorder="1" applyAlignment="1">
      <alignment horizontal="center"/>
    </xf>
    <xf numFmtId="15" fontId="70" fillId="32" borderId="13" xfId="0" applyNumberFormat="1" applyFont="1" applyFill="1" applyBorder="1" applyAlignment="1">
      <alignment horizontal="center"/>
    </xf>
    <xf numFmtId="9" fontId="70" fillId="32" borderId="52" xfId="0" applyNumberFormat="1" applyFont="1" applyFill="1" applyBorder="1" applyAlignment="1">
      <alignment horizontal="center"/>
    </xf>
    <xf numFmtId="9" fontId="70" fillId="32" borderId="53" xfId="0" applyNumberFormat="1" applyFont="1" applyFill="1" applyBorder="1" applyAlignment="1">
      <alignment horizontal="center"/>
    </xf>
    <xf numFmtId="0" fontId="71" fillId="32" borderId="4" xfId="0" applyFont="1" applyFill="1" applyBorder="1" applyAlignment="1">
      <alignment horizontal="left" vertical="top"/>
    </xf>
    <xf numFmtId="0" fontId="71" fillId="32" borderId="11" xfId="0" applyFont="1" applyFill="1" applyBorder="1" applyAlignment="1">
      <alignment horizontal="left" vertical="top"/>
    </xf>
    <xf numFmtId="0" fontId="71" fillId="32" borderId="4" xfId="0" applyFont="1" applyFill="1" applyBorder="1" applyAlignment="1">
      <alignment horizontal="center"/>
    </xf>
    <xf numFmtId="0" fontId="71" fillId="32" borderId="11" xfId="0" applyFont="1" applyFill="1" applyBorder="1" applyAlignment="1">
      <alignment horizontal="center"/>
    </xf>
    <xf numFmtId="15" fontId="71" fillId="32" borderId="4" xfId="0" applyNumberFormat="1" applyFont="1" applyFill="1" applyBorder="1" applyAlignment="1">
      <alignment horizontal="center" vertical="top"/>
    </xf>
    <xf numFmtId="15" fontId="71" fillId="32" borderId="11" xfId="0" applyNumberFormat="1" applyFont="1" applyFill="1" applyBorder="1" applyAlignment="1">
      <alignment horizontal="center" vertical="top"/>
    </xf>
    <xf numFmtId="15" fontId="18" fillId="32" borderId="14" xfId="0" applyNumberFormat="1" applyFont="1" applyFill="1" applyBorder="1" applyAlignment="1">
      <alignment horizontal="center" vertical="top"/>
    </xf>
    <xf numFmtId="15" fontId="18" fillId="32" borderId="13" xfId="0" applyNumberFormat="1" applyFont="1" applyFill="1" applyBorder="1" applyAlignment="1">
      <alignment horizontal="center" vertical="top"/>
    </xf>
    <xf numFmtId="0" fontId="18" fillId="32" borderId="14" xfId="0" applyFont="1" applyFill="1" applyBorder="1" applyAlignment="1">
      <alignment horizontal="center" vertical="top"/>
    </xf>
    <xf numFmtId="0" fontId="18" fillId="32" borderId="13" xfId="0" applyFont="1" applyFill="1" applyBorder="1" applyAlignment="1">
      <alignment horizontal="center" vertical="top"/>
    </xf>
    <xf numFmtId="0" fontId="27" fillId="32" borderId="14" xfId="0" applyFont="1" applyFill="1" applyBorder="1" applyAlignment="1">
      <alignment horizontal="center"/>
    </xf>
    <xf numFmtId="0" fontId="27" fillId="32" borderId="13" xfId="0" applyFont="1" applyFill="1" applyBorder="1" applyAlignment="1">
      <alignment horizontal="center"/>
    </xf>
    <xf numFmtId="9" fontId="70" fillId="32" borderId="14" xfId="0" applyNumberFormat="1" applyFont="1" applyFill="1" applyBorder="1" applyAlignment="1">
      <alignment horizontal="center" vertical="top"/>
    </xf>
    <xf numFmtId="9" fontId="70" fillId="32" borderId="13" xfId="0" applyNumberFormat="1" applyFont="1" applyFill="1" applyBorder="1" applyAlignment="1">
      <alignment horizontal="center" vertical="top"/>
    </xf>
    <xf numFmtId="0" fontId="71" fillId="32" borderId="14" xfId="0" applyFont="1" applyFill="1" applyBorder="1" applyAlignment="1">
      <alignment horizontal="left" vertical="top"/>
    </xf>
    <xf numFmtId="0" fontId="71" fillId="32" borderId="13" xfId="0" applyFont="1" applyFill="1" applyBorder="1" applyAlignment="1">
      <alignment horizontal="left" vertical="top"/>
    </xf>
    <xf numFmtId="0" fontId="71" fillId="32" borderId="14" xfId="0" applyFont="1" applyFill="1" applyBorder="1" applyAlignment="1">
      <alignment horizontal="center"/>
    </xf>
    <xf numFmtId="0" fontId="71" fillId="32" borderId="13" xfId="0" applyFont="1" applyFill="1" applyBorder="1" applyAlignment="1">
      <alignment horizontal="center"/>
    </xf>
    <xf numFmtId="0" fontId="70" fillId="0" borderId="14" xfId="0" applyFont="1" applyBorder="1" applyAlignment="1">
      <alignment horizontal="left" vertical="top" wrapText="1"/>
    </xf>
    <xf numFmtId="0" fontId="70" fillId="0" borderId="45" xfId="0" applyFont="1" applyBorder="1" applyAlignment="1">
      <alignment horizontal="left" vertical="top" wrapText="1"/>
    </xf>
    <xf numFmtId="0" fontId="70" fillId="0" borderId="13" xfId="0" applyFont="1" applyBorder="1" applyAlignment="1">
      <alignment horizontal="left" vertical="top" wrapText="1"/>
    </xf>
    <xf numFmtId="0" fontId="65" fillId="0" borderId="14" xfId="0" applyFont="1" applyBorder="1" applyAlignment="1">
      <alignment horizontal="center" vertical="top" wrapText="1"/>
    </xf>
    <xf numFmtId="0" fontId="65" fillId="0" borderId="45" xfId="0" applyFont="1" applyBorder="1" applyAlignment="1">
      <alignment horizontal="center" vertical="top" wrapText="1"/>
    </xf>
    <xf numFmtId="0" fontId="65" fillId="0" borderId="13" xfId="0" applyFont="1" applyBorder="1" applyAlignment="1">
      <alignment horizontal="center" vertical="top" wrapText="1"/>
    </xf>
    <xf numFmtId="0" fontId="64" fillId="34" borderId="16" xfId="0" applyFont="1" applyFill="1" applyBorder="1" applyAlignment="1">
      <alignment horizontal="center" vertical="top"/>
    </xf>
    <xf numFmtId="0" fontId="64" fillId="34" borderId="46" xfId="0" applyFont="1" applyFill="1" applyBorder="1" applyAlignment="1">
      <alignment horizontal="center" vertical="top"/>
    </xf>
    <xf numFmtId="0" fontId="64" fillId="34" borderId="10" xfId="0" applyFont="1" applyFill="1" applyBorder="1" applyAlignment="1">
      <alignment horizontal="center" vertical="top"/>
    </xf>
    <xf numFmtId="15" fontId="65" fillId="0" borderId="14" xfId="0" applyNumberFormat="1" applyFont="1" applyBorder="1" applyAlignment="1">
      <alignment horizontal="center" vertical="top"/>
    </xf>
    <xf numFmtId="15" fontId="65" fillId="0" borderId="45" xfId="0" applyNumberFormat="1" applyFont="1" applyBorder="1" applyAlignment="1">
      <alignment horizontal="center" vertical="top"/>
    </xf>
    <xf numFmtId="15" fontId="65" fillId="0" borderId="13" xfId="0" applyNumberFormat="1" applyFont="1" applyBorder="1" applyAlignment="1">
      <alignment horizontal="center" vertical="top"/>
    </xf>
    <xf numFmtId="0" fontId="65" fillId="0" borderId="14" xfId="0" applyFont="1" applyBorder="1"/>
    <xf numFmtId="0" fontId="65" fillId="0" borderId="45" xfId="0" applyFont="1" applyBorder="1"/>
    <xf numFmtId="0" fontId="65" fillId="0" borderId="13" xfId="0" applyFont="1" applyBorder="1"/>
    <xf numFmtId="0" fontId="65" fillId="0" borderId="14" xfId="0" applyFont="1" applyBorder="1" applyAlignment="1">
      <alignment vertical="top" wrapText="1"/>
    </xf>
    <xf numFmtId="0" fontId="65" fillId="0" borderId="45" xfId="0" applyFont="1" applyBorder="1" applyAlignment="1">
      <alignment vertical="top" wrapText="1"/>
    </xf>
    <xf numFmtId="0" fontId="65" fillId="0" borderId="13" xfId="0" applyFont="1" applyBorder="1" applyAlignment="1">
      <alignment vertical="top" wrapText="1"/>
    </xf>
    <xf numFmtId="0" fontId="65" fillId="0" borderId="14" xfId="0" applyFont="1" applyBorder="1" applyAlignment="1">
      <alignment vertical="top"/>
    </xf>
    <xf numFmtId="0" fontId="65" fillId="0" borderId="45" xfId="0" applyFont="1" applyBorder="1" applyAlignment="1">
      <alignment vertical="top"/>
    </xf>
    <xf numFmtId="0" fontId="65" fillId="0" borderId="13" xfId="0" applyFont="1" applyBorder="1" applyAlignment="1">
      <alignment vertical="top"/>
    </xf>
    <xf numFmtId="15" fontId="66" fillId="0" borderId="14" xfId="0" applyNumberFormat="1" applyFont="1" applyBorder="1" applyAlignment="1">
      <alignment horizontal="center" vertical="top"/>
    </xf>
    <xf numFmtId="15" fontId="66" fillId="0" borderId="45" xfId="0" applyNumberFormat="1" applyFont="1" applyBorder="1" applyAlignment="1">
      <alignment horizontal="center" vertical="top"/>
    </xf>
    <xf numFmtId="15" fontId="66" fillId="0" borderId="13" xfId="0" applyNumberFormat="1" applyFont="1" applyBorder="1" applyAlignment="1">
      <alignment horizontal="center" vertical="top"/>
    </xf>
    <xf numFmtId="0" fontId="65" fillId="32" borderId="14" xfId="0" applyFont="1" applyFill="1" applyBorder="1" applyAlignment="1">
      <alignment horizontal="center" vertical="top" wrapText="1"/>
    </xf>
    <xf numFmtId="0" fontId="65" fillId="32" borderId="45" xfId="0" applyFont="1" applyFill="1" applyBorder="1" applyAlignment="1">
      <alignment horizontal="center" vertical="top" wrapText="1"/>
    </xf>
    <xf numFmtId="0" fontId="65" fillId="32" borderId="13" xfId="0" applyFont="1" applyFill="1" applyBorder="1" applyAlignment="1">
      <alignment horizontal="center" vertical="top" wrapText="1"/>
    </xf>
    <xf numFmtId="0" fontId="66" fillId="32" borderId="14" xfId="0" applyFont="1" applyFill="1" applyBorder="1" applyAlignment="1">
      <alignment vertical="top" wrapText="1"/>
    </xf>
    <xf numFmtId="0" fontId="66" fillId="32" borderId="45" xfId="0" applyFont="1" applyFill="1" applyBorder="1" applyAlignment="1">
      <alignment vertical="top" wrapText="1"/>
    </xf>
    <xf numFmtId="0" fontId="66" fillId="32" borderId="13" xfId="0" applyFont="1" applyFill="1" applyBorder="1" applyAlignment="1">
      <alignment vertical="top" wrapText="1"/>
    </xf>
    <xf numFmtId="0" fontId="65" fillId="0" borderId="14" xfId="0" applyFont="1" applyBorder="1" applyAlignment="1">
      <alignment horizontal="left" vertical="center" wrapText="1"/>
    </xf>
    <xf numFmtId="0" fontId="65" fillId="0" borderId="45" xfId="0" applyFont="1" applyBorder="1" applyAlignment="1">
      <alignment horizontal="left" vertical="center" wrapText="1"/>
    </xf>
    <xf numFmtId="0" fontId="65" fillId="0" borderId="13" xfId="0" applyFont="1" applyBorder="1" applyAlignment="1">
      <alignment horizontal="left" vertical="center" wrapText="1"/>
    </xf>
    <xf numFmtId="0" fontId="66" fillId="32" borderId="14" xfId="0" applyFont="1" applyFill="1" applyBorder="1" applyAlignment="1">
      <alignment horizontal="center" vertical="top" wrapText="1"/>
    </xf>
    <xf numFmtId="0" fontId="66" fillId="32" borderId="45" xfId="0" applyFont="1" applyFill="1" applyBorder="1" applyAlignment="1">
      <alignment horizontal="center" vertical="top" wrapText="1"/>
    </xf>
    <xf numFmtId="0" fontId="66" fillId="32" borderId="13" xfId="0" applyFont="1" applyFill="1" applyBorder="1" applyAlignment="1">
      <alignment horizontal="center" vertical="top" wrapText="1"/>
    </xf>
    <xf numFmtId="9" fontId="66" fillId="32" borderId="14" xfId="0" applyNumberFormat="1" applyFont="1" applyFill="1" applyBorder="1" applyAlignment="1">
      <alignment horizontal="center" vertical="top"/>
    </xf>
    <xf numFmtId="9" fontId="66" fillId="32" borderId="45" xfId="0" applyNumberFormat="1" applyFont="1" applyFill="1" applyBorder="1" applyAlignment="1">
      <alignment horizontal="center" vertical="top"/>
    </xf>
    <xf numFmtId="9" fontId="66" fillId="32" borderId="13" xfId="0" applyNumberFormat="1" applyFont="1" applyFill="1" applyBorder="1" applyAlignment="1">
      <alignment horizontal="center" vertical="top"/>
    </xf>
    <xf numFmtId="0" fontId="65" fillId="32" borderId="14" xfId="0" applyFont="1" applyFill="1" applyBorder="1" applyAlignment="1">
      <alignment vertical="top"/>
    </xf>
    <xf numFmtId="0" fontId="65" fillId="32" borderId="45" xfId="0" applyFont="1" applyFill="1" applyBorder="1" applyAlignment="1">
      <alignment vertical="top"/>
    </xf>
    <xf numFmtId="0" fontId="65" fillId="32" borderId="13" xfId="0" applyFont="1" applyFill="1" applyBorder="1" applyAlignment="1">
      <alignment vertical="top"/>
    </xf>
    <xf numFmtId="0" fontId="65" fillId="32" borderId="14" xfId="0" applyFont="1" applyFill="1" applyBorder="1"/>
    <xf numFmtId="0" fontId="65" fillId="32" borderId="45" xfId="0" applyFont="1" applyFill="1" applyBorder="1"/>
    <xf numFmtId="0" fontId="65" fillId="32" borderId="13" xfId="0" applyFont="1" applyFill="1" applyBorder="1"/>
    <xf numFmtId="15" fontId="65" fillId="32" borderId="14" xfId="0" applyNumberFormat="1" applyFont="1" applyFill="1" applyBorder="1" applyAlignment="1">
      <alignment horizontal="center" vertical="top"/>
    </xf>
    <xf numFmtId="15" fontId="65" fillId="32" borderId="45" xfId="0" applyNumberFormat="1" applyFont="1" applyFill="1" applyBorder="1" applyAlignment="1">
      <alignment horizontal="center" vertical="top"/>
    </xf>
    <xf numFmtId="15" fontId="65" fillId="32" borderId="13" xfId="0" applyNumberFormat="1" applyFont="1" applyFill="1" applyBorder="1" applyAlignment="1">
      <alignment horizontal="center" vertical="top"/>
    </xf>
    <xf numFmtId="15" fontId="65" fillId="32" borderId="14" xfId="0" applyNumberFormat="1" applyFont="1" applyFill="1" applyBorder="1" applyAlignment="1">
      <alignment horizontal="center" vertical="top" wrapText="1"/>
    </xf>
    <xf numFmtId="15" fontId="65" fillId="32" borderId="45" xfId="0" applyNumberFormat="1" applyFont="1" applyFill="1" applyBorder="1" applyAlignment="1">
      <alignment horizontal="center" vertical="top" wrapText="1"/>
    </xf>
    <xf numFmtId="15" fontId="65" fillId="32" borderId="13" xfId="0" applyNumberFormat="1" applyFont="1" applyFill="1" applyBorder="1" applyAlignment="1">
      <alignment horizontal="center" vertical="top" wrapText="1"/>
    </xf>
    <xf numFmtId="15" fontId="65" fillId="0" borderId="14" xfId="0" applyNumberFormat="1" applyFont="1" applyBorder="1" applyAlignment="1">
      <alignment horizontal="center" vertical="top" wrapText="1"/>
    </xf>
    <xf numFmtId="15" fontId="65" fillId="0" borderId="45" xfId="0" applyNumberFormat="1" applyFont="1" applyBorder="1" applyAlignment="1">
      <alignment horizontal="center" vertical="top" wrapText="1"/>
    </xf>
    <xf numFmtId="15" fontId="65" fillId="0" borderId="13" xfId="0" applyNumberFormat="1" applyFont="1" applyBorder="1" applyAlignment="1">
      <alignment horizontal="center" vertical="top" wrapText="1"/>
    </xf>
    <xf numFmtId="0" fontId="65" fillId="0" borderId="14" xfId="0" applyFont="1" applyBorder="1" applyAlignment="1">
      <alignment horizontal="center"/>
    </xf>
    <xf numFmtId="0" fontId="65" fillId="0" borderId="45" xfId="0" applyFont="1" applyBorder="1" applyAlignment="1">
      <alignment horizontal="center"/>
    </xf>
    <xf numFmtId="0" fontId="65" fillId="0" borderId="13" xfId="0" applyFont="1" applyBorder="1" applyAlignment="1">
      <alignment horizontal="center"/>
    </xf>
    <xf numFmtId="0" fontId="66" fillId="0" borderId="14" xfId="0" applyFont="1" applyBorder="1" applyAlignment="1">
      <alignment vertical="center"/>
    </xf>
    <xf numFmtId="0" fontId="66" fillId="0" borderId="45" xfId="0" applyFont="1" applyBorder="1" applyAlignment="1">
      <alignment vertical="center"/>
    </xf>
    <xf numFmtId="0" fontId="66" fillId="0" borderId="13" xfId="0" applyFont="1" applyBorder="1" applyAlignment="1">
      <alignment vertical="center"/>
    </xf>
    <xf numFmtId="15" fontId="66" fillId="0" borderId="14" xfId="0" applyNumberFormat="1" applyFont="1" applyBorder="1" applyAlignment="1">
      <alignment horizontal="center" vertical="top" wrapText="1"/>
    </xf>
    <xf numFmtId="15" fontId="66" fillId="0" borderId="45" xfId="0" applyNumberFormat="1" applyFont="1" applyBorder="1" applyAlignment="1">
      <alignment horizontal="center" vertical="top" wrapText="1"/>
    </xf>
    <xf numFmtId="15" fontId="66" fillId="0" borderId="13" xfId="0" applyNumberFormat="1" applyFont="1" applyBorder="1" applyAlignment="1">
      <alignment horizontal="center" vertical="top" wrapText="1"/>
    </xf>
    <xf numFmtId="0" fontId="66" fillId="33" borderId="16" xfId="0" applyFont="1" applyFill="1" applyBorder="1" applyAlignment="1">
      <alignment horizontal="center" vertical="center" wrapText="1"/>
    </xf>
    <xf numFmtId="0" fontId="66" fillId="33" borderId="10" xfId="0" applyFont="1" applyFill="1" applyBorder="1" applyAlignment="1">
      <alignment horizontal="center" vertical="center" wrapText="1"/>
    </xf>
    <xf numFmtId="0" fontId="69" fillId="33" borderId="16" xfId="0" applyFont="1" applyFill="1" applyBorder="1" applyAlignment="1">
      <alignment horizontal="center" vertical="center"/>
    </xf>
    <xf numFmtId="0" fontId="69" fillId="33" borderId="10" xfId="0" applyFont="1" applyFill="1" applyBorder="1" applyAlignment="1">
      <alignment horizontal="center" vertical="center"/>
    </xf>
    <xf numFmtId="0" fontId="66" fillId="0" borderId="14" xfId="0" applyFont="1" applyBorder="1" applyAlignment="1">
      <alignment horizontal="left" vertical="top" wrapText="1"/>
    </xf>
    <xf numFmtId="0" fontId="66" fillId="0" borderId="45" xfId="0" applyFont="1" applyBorder="1" applyAlignment="1">
      <alignment horizontal="left" vertical="top" wrapText="1"/>
    </xf>
    <xf numFmtId="0" fontId="66" fillId="0" borderId="13" xfId="0" applyFont="1" applyBorder="1" applyAlignment="1">
      <alignment horizontal="left" vertical="top" wrapText="1"/>
    </xf>
    <xf numFmtId="0" fontId="65" fillId="0" borderId="14" xfId="0" applyFont="1" applyBorder="1" applyAlignment="1">
      <alignment vertical="center"/>
    </xf>
    <xf numFmtId="0" fontId="65" fillId="0" borderId="13" xfId="0" applyFont="1" applyBorder="1" applyAlignment="1">
      <alignment vertical="center"/>
    </xf>
    <xf numFmtId="0" fontId="11" fillId="8" borderId="1" xfId="0" applyFont="1" applyFill="1" applyBorder="1" applyAlignment="1">
      <alignment horizontal="center" vertical="top" wrapText="1"/>
    </xf>
    <xf numFmtId="0" fontId="11" fillId="8" borderId="1" xfId="0" applyFont="1" applyFill="1" applyBorder="1" applyAlignment="1">
      <alignment horizontal="center" vertical="center" wrapText="1"/>
    </xf>
    <xf numFmtId="0" fontId="9" fillId="3" borderId="1" xfId="0" applyFont="1" applyFill="1" applyBorder="1" applyAlignment="1">
      <alignment horizontal="center" vertical="top" wrapText="1"/>
    </xf>
    <xf numFmtId="164" fontId="9" fillId="3" borderId="1" xfId="0" applyNumberFormat="1" applyFont="1" applyFill="1" applyBorder="1" applyAlignment="1">
      <alignment horizontal="center" vertical="top" wrapText="1"/>
    </xf>
    <xf numFmtId="0" fontId="10" fillId="8" borderId="1" xfId="0" applyFont="1" applyFill="1" applyBorder="1" applyAlignment="1">
      <alignment horizontal="center" vertical="top" wrapText="1"/>
    </xf>
    <xf numFmtId="0" fontId="10" fillId="8" borderId="1" xfId="0" applyFont="1" applyFill="1" applyBorder="1" applyAlignment="1">
      <alignment horizontal="center" vertical="center" wrapText="1"/>
    </xf>
    <xf numFmtId="0" fontId="13" fillId="3" borderId="1" xfId="0" applyFont="1" applyFill="1" applyBorder="1" applyAlignment="1">
      <alignment horizontal="center" vertical="top" wrapText="1"/>
    </xf>
    <xf numFmtId="0" fontId="10" fillId="3" borderId="6" xfId="0" applyFont="1" applyFill="1" applyBorder="1" applyAlignment="1">
      <alignment horizontal="center" vertical="top" wrapText="1"/>
    </xf>
    <xf numFmtId="0" fontId="23" fillId="3" borderId="35" xfId="0" applyFont="1" applyFill="1" applyBorder="1" applyAlignment="1">
      <alignment horizontal="center" vertical="top" wrapText="1"/>
    </xf>
    <xf numFmtId="0" fontId="9" fillId="3" borderId="34" xfId="0" applyFont="1" applyFill="1" applyBorder="1" applyAlignment="1">
      <alignment horizontal="center" vertical="top" wrapText="1"/>
    </xf>
    <xf numFmtId="0" fontId="9" fillId="3" borderId="34" xfId="0" applyFont="1" applyFill="1" applyBorder="1" applyAlignment="1">
      <alignment horizontal="center" vertical="top"/>
    </xf>
    <xf numFmtId="0" fontId="9" fillId="3" borderId="35" xfId="0" applyFont="1" applyFill="1" applyBorder="1" applyAlignment="1">
      <alignment horizontal="center" vertical="top" wrapText="1"/>
    </xf>
    <xf numFmtId="0" fontId="10" fillId="8" borderId="35" xfId="0" applyFont="1" applyFill="1" applyBorder="1" applyAlignment="1">
      <alignment horizontal="center" vertical="top" wrapText="1"/>
    </xf>
    <xf numFmtId="0" fontId="10" fillId="8" borderId="49" xfId="0" applyFont="1" applyFill="1" applyBorder="1" applyAlignment="1">
      <alignment horizontal="center" vertical="top" wrapText="1"/>
    </xf>
    <xf numFmtId="0" fontId="10" fillId="8" borderId="33" xfId="0" applyFont="1" applyFill="1" applyBorder="1" applyAlignment="1">
      <alignment horizontal="center" vertical="top" wrapText="1"/>
    </xf>
    <xf numFmtId="0" fontId="10" fillId="3" borderId="35" xfId="0" applyFont="1" applyFill="1" applyBorder="1" applyAlignment="1">
      <alignment horizontal="center" vertical="top" wrapText="1"/>
    </xf>
    <xf numFmtId="0" fontId="13" fillId="3" borderId="34" xfId="0" applyFont="1" applyFill="1" applyBorder="1" applyAlignment="1">
      <alignment horizontal="center" vertical="top" wrapText="1"/>
    </xf>
    <xf numFmtId="0" fontId="10" fillId="8" borderId="34" xfId="0" applyFont="1" applyFill="1" applyBorder="1" applyAlignment="1">
      <alignment horizontal="center" vertical="top" wrapText="1"/>
    </xf>
    <xf numFmtId="0" fontId="11" fillId="8" borderId="35" xfId="0" applyFont="1" applyFill="1" applyBorder="1" applyAlignment="1">
      <alignment horizontal="center" vertical="top" wrapText="1"/>
    </xf>
    <xf numFmtId="0" fontId="11" fillId="8" borderId="49" xfId="0" applyFont="1" applyFill="1" applyBorder="1" applyAlignment="1">
      <alignment horizontal="center" vertical="top" wrapText="1"/>
    </xf>
    <xf numFmtId="0" fontId="11" fillId="8" borderId="33" xfId="0" applyFont="1" applyFill="1" applyBorder="1" applyAlignment="1">
      <alignment horizontal="center" vertical="top" wrapText="1"/>
    </xf>
    <xf numFmtId="0" fontId="11" fillId="8" borderId="34" xfId="0" applyFont="1" applyFill="1" applyBorder="1" applyAlignment="1">
      <alignment horizontal="center" vertical="top" wrapText="1"/>
    </xf>
    <xf numFmtId="0" fontId="0" fillId="0" borderId="6" xfId="0" applyBorder="1" applyAlignment="1">
      <alignment horizontal="center" vertical="center" wrapText="1"/>
    </xf>
    <xf numFmtId="0" fontId="0" fillId="0" borderId="19" xfId="0" applyBorder="1" applyAlignment="1">
      <alignment horizontal="center" vertical="center" wrapText="1"/>
    </xf>
    <xf numFmtId="0" fontId="0" fillId="0" borderId="8" xfId="0" applyBorder="1" applyAlignment="1">
      <alignment horizontal="center" vertical="center" wrapText="1"/>
    </xf>
    <xf numFmtId="0" fontId="0" fillId="0" borderId="6" xfId="0" applyBorder="1" applyAlignment="1">
      <alignment horizontal="center" vertical="top" wrapText="1"/>
    </xf>
    <xf numFmtId="0" fontId="0" fillId="0" borderId="19" xfId="0" applyBorder="1" applyAlignment="1">
      <alignment horizontal="center" vertical="top" wrapText="1"/>
    </xf>
    <xf numFmtId="0" fontId="0" fillId="0" borderId="8" xfId="0" applyBorder="1" applyAlignment="1">
      <alignment horizontal="center" vertical="top" wrapText="1"/>
    </xf>
  </cellXfs>
  <cellStyles count="3">
    <cellStyle name="Normal" xfId="0" builtinId="0"/>
    <cellStyle name="Normal 2" xfId="1" xr:uid="{CF8AFD11-100A-4BF5-8EC3-0097E13102C8}"/>
    <cellStyle name="Percent" xfId="2" builtinId="5"/>
  </cellStyles>
  <dxfs count="14">
    <dxf>
      <font>
        <color theme="1"/>
      </font>
      <fill>
        <patternFill>
          <bgColor rgb="FFFF0000"/>
        </patternFill>
      </fill>
    </dxf>
    <dxf>
      <fill>
        <patternFill>
          <bgColor rgb="FF0070C0"/>
        </patternFill>
      </fill>
    </dxf>
    <dxf>
      <fill>
        <patternFill>
          <bgColor rgb="FF00B050"/>
        </patternFill>
      </fill>
    </dxf>
    <dxf>
      <fill>
        <patternFill>
          <bgColor theme="2" tint="-9.9948118533890809E-2"/>
        </patternFill>
      </fill>
    </dxf>
    <dxf>
      <font>
        <color rgb="FF9C0006"/>
      </font>
      <fill>
        <patternFill>
          <bgColor rgb="FFFFC7CE"/>
        </patternFill>
      </fill>
    </dxf>
    <dxf>
      <font>
        <color rgb="FF9C0006"/>
      </font>
      <fill>
        <patternFill>
          <bgColor rgb="FFFFC7CE"/>
        </patternFill>
      </fill>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tyles" Target="styles.xml"/><Relationship Id="rId27"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bankindonesiagov-my.sharepoint.com/personal/adinda_tri_bi_go_id/Documents/PIC%20Proyek%20Pengembangan%20Aplikasi.xlsx" TargetMode="External"/><Relationship Id="rId1" Type="http://schemas.openxmlformats.org/officeDocument/2006/relationships/externalLinkPath" Target="https://bankindonesiagov-my.sharepoint.com/personal/adinda_tri_bi_go_id/Documents/PIC%20Proyek%20Pengembangan%20Aplikas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ll Proyek"/>
    </sheetNames>
    <sheetDataSet>
      <sheetData sheetId="0">
        <row r="47">
          <cell r="B47" t="str">
            <v xml:space="preserve"> NP-27</v>
          </cell>
        </row>
        <row r="48">
          <cell r="B48" t="str">
            <v>NP-34</v>
          </cell>
        </row>
      </sheetData>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D9202359-5DB4-4BEA-A167-EACE3DFF34A2}"/>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Fauzan-cek" id="{1E810B85-8C5F-48F4-83EA-CAC13B6FF93C}"/>
  <namedSheetView name="Ly's" id="{6D47FE51-DAD8-4EC0-A36F-6DBE76EBBE7C}"/>
  <namedSheetView name="View1" id="{B15895C7-E23F-4E95-BFFD-2F5FD887A135}"/>
  <namedSheetView name="weekly" id="{00C1274A-CA2C-4A4F-874C-E65F670764A0}"/>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47F8090-1A79-49E2-B8E6-2ACC91D2DA96}"/>
</namedSheetViews>
</file>

<file path=xl/persons/person.xml><?xml version="1.0" encoding="utf-8"?>
<personList xmlns="http://schemas.microsoft.com/office/spreadsheetml/2018/threadedcomments" xmlns:x="http://schemas.openxmlformats.org/spreadsheetml/2006/main">
  <person displayName="Among Rogo Wicaksono" id="{F78D9FFE-E1AF-4221-B2A5-41CCC54D5DF6}" userId="S::among_rw@bi.go.id::81fc3fbf-48e4-4b86-be14-18bc2374fbf9" providerId="AD"/>
  <person displayName="Iramia Triastika" id="{E9C96A8F-EABA-495A-A6C6-E01ACC15964F}" userId="S::iramia_t@bi.go.id::cb88f6ae-88c8-468c-9b17-3d3812e62cff" providerId="AD"/>
  <person displayName="Adinda Tri Wulandari" id="{E4E6A1F4-B6CB-4823-87D9-95E0CA4664A0}" userId="S::adinda_tri@bi.go.id::78049db3-0ccf-428e-bc9b-1d192f2b69b4" providerId="AD"/>
  <person displayName="Aya Sophia" id="{129C175E-87AC-44BC-B674-BAD6A659C8D7}" userId="S::aya_sophia@bi.go.id::d6713439-7e6d-42c1-bb9e-e3ab977ec75f" providerId="AD"/>
  <person displayName="Muhamad Rifki Rizaldi (THI)" id="{255DA875-071C-470E-B170-4174EA04EEA9}" userId="S::mrifki_r.i@bi.go.id::4a65cbbd-c179-40fb-b9ad-02bd8687fb66" providerId="AD"/>
  <person displayName="Rizky Arga Tristian (P)" id="{11EB1E53-6696-4E40-9158-1482470F21EA}" userId="S::rizky_at.p@bi.go.id::ff1bc362-6c08-4306-850f-3d44ab7274bd" providerId="AD"/>
  <person displayName="Mochammad Misbahus Surur (PKWT)" id="{2BBCC33E-1A37-419D-9CAF-B2AB7B917200}" userId="S::m_misbahus.i@bi.go.id::b16fda61-f0d4-480a-9020-5c7980d3eb23" providerId="AD"/>
  <person displayName="Sri Mulya Hasanah (THI)" id="{827F35BE-3028-4424-997C-7D2C88C677EA}" userId="S::srimulya_h.i@bi.go.id::5cca6274-4ddf-4ce5-9b71-d4e474b997a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nda Tri Wulandari" refreshedDate="45957.305065856483" createdVersion="8" refreshedVersion="8" minRefreshableVersion="3" recordCount="49" xr:uid="{FC195B3C-FB2C-44A4-AC62-521AEC6BC6A4}">
  <cacheSource type="worksheet">
    <worksheetSource ref="C1:L1048576" sheet="Non Proyek"/>
  </cacheSource>
  <cacheFields count="10">
    <cacheField name="Nama Proyek" numFmtId="0">
      <sharedItems containsBlank="1"/>
    </cacheField>
    <cacheField name="Deliverables (Sub Proyek) " numFmtId="0">
      <sharedItems containsBlank="1"/>
    </cacheField>
    <cacheField name="Start Proyek" numFmtId="0">
      <sharedItems containsBlank="1" containsMixedTypes="1" containsNumber="1" containsInteger="1" minValue="2024" maxValue="2029" count="8">
        <s v="Column9"/>
        <n v="2025"/>
        <n v="2024"/>
        <n v="2026"/>
        <n v="2027"/>
        <n v="2029"/>
        <s v="                "/>
        <m/>
      </sharedItems>
    </cacheField>
    <cacheField name="End Proyek" numFmtId="0">
      <sharedItems containsBlank="1" containsMixedTypes="1" containsNumber="1" containsInteger="1" minValue="2025" maxValue="2029"/>
    </cacheField>
    <cacheField name="PIC Satker" numFmtId="0">
      <sharedItems containsBlank="1"/>
    </cacheField>
    <cacheField name="Stream " numFmtId="0">
      <sharedItems containsBlank="1"/>
    </cacheField>
    <cacheField name="Aplikasi" numFmtId="0">
      <sharedItems containsBlank="1"/>
    </cacheField>
    <cacheField name="PIC PM" numFmtId="0">
      <sharedItems containsBlank="1" containsMixedTypes="1" containsNumber="1" containsInteger="1" minValue="0" maxValue="0" count="10">
        <m/>
        <n v="0"/>
        <s v="Aldo Fernanda"/>
        <s v="Muhamad Fahmi Ridwan"/>
        <s v="Rizky Arga"/>
        <s v="Elnestor"/>
        <s v="Rangga Dhaniarto"/>
        <s v="Yolanda Dini"/>
        <s v="Rifanda Yulio"/>
        <s v="Pahman Hasibuan"/>
      </sharedItems>
    </cacheField>
    <cacheField name="Tahapan" numFmtId="0">
      <sharedItems containsBlank="1"/>
    </cacheField>
    <cacheField name="Progress" numFmtId="0">
      <sharedItems containsBlank="1" count="3">
        <s v="Column19"/>
        <m/>
        <s v="DON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0.902164930558" createdVersion="8" refreshedVersion="8" minRefreshableVersion="3" recordCount="163" xr:uid="{8B5A301B-4CE3-4E0C-B612-21C914298C8C}">
  <cacheSource type="worksheet">
    <worksheetSource ref="E1:U1048576" sheet="Proyek"/>
  </cacheSource>
  <cacheFields count="17">
    <cacheField name="9" numFmtId="0">
      <sharedItems containsBlank="1"/>
    </cacheField>
    <cacheField name="No. Sub" numFmtId="0">
      <sharedItems containsBlank="1" containsMixedTypes="1" containsNumber="1" containsInteger="1" minValue="1" maxValue="15"/>
    </cacheField>
    <cacheField name=" Nama Proyek                                           " numFmtId="0">
      <sharedItems containsBlank="1"/>
    </cacheField>
    <cacheField name="Nama Proyek Baru" numFmtId="0">
      <sharedItems containsBlank="1"/>
    </cacheField>
    <cacheField name="Deliverables (Sub Proyek) " numFmtId="0">
      <sharedItems containsBlank="1"/>
    </cacheField>
    <cacheField name="Start Proyek" numFmtId="0">
      <sharedItems containsBlank="1" containsMixedTypes="1" containsNumber="1" containsInteger="1" minValue="0" maxValue="2029" count="11">
        <s v="Column9"/>
        <n v="2025"/>
        <n v="2026"/>
        <n v="2027"/>
        <n v="2029"/>
        <n v="2028"/>
        <n v="2024"/>
        <m/>
        <n v="2"/>
        <n v="0"/>
        <n v="1"/>
      </sharedItems>
    </cacheField>
    <cacheField name="End Proyek" numFmtId="0">
      <sharedItems containsBlank="1" containsMixedTypes="1" containsNumber="1" containsInteger="1" minValue="2025" maxValue="2030" count="8">
        <s v="Column10"/>
        <n v="2028"/>
        <n v="2029"/>
        <n v="2025"/>
        <n v="2027"/>
        <n v="2030"/>
        <n v="2026"/>
        <m/>
      </sharedItems>
    </cacheField>
    <cacheField name="Stratifikasi Aset" numFmtId="0">
      <sharedItems containsBlank="1" containsMixedTypes="1" containsNumber="1" containsInteger="1" minValue="2026" maxValue="2026"/>
    </cacheField>
    <cacheField name="Leveling Aset TD" numFmtId="0">
      <sharedItems containsBlank="1"/>
    </cacheField>
    <cacheField name="DMP RBT" numFmtId="0">
      <sharedItems containsBlank="1"/>
    </cacheField>
    <cacheField name="PIC Satker" numFmtId="0">
      <sharedItems containsBlank="1"/>
    </cacheField>
    <cacheField name="Portofolio" numFmtId="0">
      <sharedItems containsBlank="1"/>
    </cacheField>
    <cacheField name="Stream " numFmtId="0">
      <sharedItems containsBlank="1"/>
    </cacheField>
    <cacheField name="Aplikasi" numFmtId="0">
      <sharedItems containsBlank="1"/>
    </cacheField>
    <cacheField name="Tahapan" numFmtId="0">
      <sharedItems containsBlank="1" containsMixedTypes="1" containsNumber="1" containsInteger="1" minValue="0" maxValue="0"/>
    </cacheField>
    <cacheField name="Progress" numFmtId="0">
      <sharedItems containsBlank="1" count="7">
        <s v="Column19"/>
        <s v="On Progress"/>
        <s v="Not Started"/>
        <s v="DONE"/>
        <m/>
        <e v="#VALUE!" u="1"/>
        <b v="0" u="1"/>
      </sharedItems>
    </cacheField>
    <cacheField name="PM" numFmtId="0">
      <sharedItems containsBlank="1" containsMixedTypes="1" containsNumber="1" containsInteger="1" minValue="0" maxValue="0" count="11">
        <m/>
        <s v="Aldo Fernanda"/>
        <s v="Rizky Arga"/>
        <s v="Rifanda Yulio"/>
        <s v="Elnestor"/>
        <n v="0"/>
        <s v="Pahman Hasibuan"/>
        <s v="Yolanda Dini"/>
        <s v="Rangga Dhaniarto"/>
        <s v="M. Fahmi Ridwan"/>
        <s v="Among Rogo Wicaksono"/>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0.904648263888" createdVersion="8" refreshedVersion="8" minRefreshableVersion="3" recordCount="54" xr:uid="{EC3A0FD7-479F-44BA-AA21-D2F6134D4CDF}">
  <cacheSource type="worksheet">
    <worksheetSource ref="C1:J1048576" sheet="Non Proyek"/>
  </cacheSource>
  <cacheFields count="8">
    <cacheField name="Nama Proyek" numFmtId="0">
      <sharedItems containsBlank="1"/>
    </cacheField>
    <cacheField name="Deliverables (Sub Proyek) " numFmtId="0">
      <sharedItems containsBlank="1" containsMixedTypes="1" containsNumber="1" containsInteger="1" minValue="199" maxValue="199"/>
    </cacheField>
    <cacheField name="Start Proyek" numFmtId="0">
      <sharedItems containsBlank="1" containsMixedTypes="1" containsNumber="1" containsInteger="1" minValue="2024" maxValue="2029"/>
    </cacheField>
    <cacheField name="End Proyek" numFmtId="0">
      <sharedItems containsBlank="1" containsMixedTypes="1" containsNumber="1" containsInteger="1" minValue="2025" maxValue="2029"/>
    </cacheField>
    <cacheField name="PIC Satker" numFmtId="0">
      <sharedItems containsBlank="1"/>
    </cacheField>
    <cacheField name="Stream " numFmtId="0">
      <sharedItems containsBlank="1"/>
    </cacheField>
    <cacheField name="Aplikasi" numFmtId="0">
      <sharedItems containsBlank="1"/>
    </cacheField>
    <cacheField name="PIC PM" numFmtId="0">
      <sharedItems containsBlank="1" containsMixedTypes="1" containsNumber="1" containsInteger="1" minValue="0" maxValue="2025" count="11">
        <m/>
        <n v="0"/>
        <s v="Aldo Fernanda"/>
        <s v="Muhamad Fahmi Ridwan"/>
        <s v="Rizky Arga"/>
        <s v="Elnestor"/>
        <s v="Rangga Dhaniarto"/>
        <s v="Yolanda Dini"/>
        <s v="Rifanda Yulio"/>
        <s v="Pahman Hasibuan"/>
        <n v="2025"/>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ramia Triastika" refreshedDate="46045.708179861111" createdVersion="8" refreshedVersion="8" minRefreshableVersion="3" recordCount="154" xr:uid="{A96798A9-0655-41F3-8DC3-422B6BAEC27F}">
  <cacheSource type="worksheet">
    <worksheetSource ref="E1:S157" sheet="Proyek"/>
  </cacheSource>
  <cacheFields count="15">
    <cacheField name="No" numFmtId="0">
      <sharedItems/>
    </cacheField>
    <cacheField name="No. Sub" numFmtId="0">
      <sharedItems containsBlank="1" containsMixedTypes="1" containsNumber="1" containsInteger="1" minValue="1" maxValue="15"/>
    </cacheField>
    <cacheField name=" Nama Proyek                                           " numFmtId="0">
      <sharedItems/>
    </cacheField>
    <cacheField name="Nama Proyek Baru" numFmtId="0">
      <sharedItems containsBlank="1"/>
    </cacheField>
    <cacheField name="Deliverables (Sub Proyek) " numFmtId="0">
      <sharedItems/>
    </cacheField>
    <cacheField name="Start Proyek" numFmtId="0">
      <sharedItems containsBlank="1" containsMixedTypes="1" containsNumber="1" containsInteger="1" minValue="2024" maxValue="2029" count="8">
        <s v="Column9"/>
        <n v="2025"/>
        <n v="2026"/>
        <n v="2027"/>
        <n v="2029"/>
        <n v="2028"/>
        <n v="2024"/>
        <m/>
      </sharedItems>
    </cacheField>
    <cacheField name="End Proyek" numFmtId="0">
      <sharedItems containsBlank="1" containsMixedTypes="1" containsNumber="1" containsInteger="1" minValue="2025" maxValue="2030" count="8">
        <s v="Column10"/>
        <n v="2028"/>
        <n v="2029"/>
        <n v="2025"/>
        <n v="2027"/>
        <n v="2030"/>
        <n v="2026"/>
        <m/>
      </sharedItems>
    </cacheField>
    <cacheField name="Stratifikasi Aset" numFmtId="0">
      <sharedItems containsMixedTypes="1" containsNumber="1" containsInteger="1" minValue="2026" maxValue="2026"/>
    </cacheField>
    <cacheField name="Leveling Aset TD" numFmtId="0">
      <sharedItems/>
    </cacheField>
    <cacheField name="DMP RBT" numFmtId="0">
      <sharedItems containsBlank="1"/>
    </cacheField>
    <cacheField name="PIC Satker" numFmtId="0">
      <sharedItems containsBlank="1"/>
    </cacheField>
    <cacheField name="Portofolio" numFmtId="0">
      <sharedItems containsBlank="1"/>
    </cacheField>
    <cacheField name="Stream " numFmtId="0">
      <sharedItems count="13">
        <s v="Column16"/>
        <s v="MI, SP"/>
        <s v="SP"/>
        <s v="Market"/>
        <s v="Moneter"/>
        <s v="Moneter, Market"/>
        <s v="Market, Moneter, MI "/>
        <s v="MI"/>
        <s v="Market, SSK"/>
        <s v="MD"/>
        <s v="SSK"/>
        <s v="Moneter, SSK"/>
        <s v="Market, SP "/>
      </sharedItems>
    </cacheField>
    <cacheField name="Aplikasi" numFmtId="0">
      <sharedItems containsBlank="1"/>
    </cacheField>
    <cacheField name="Tahapan" numFmtId="0">
      <sharedItems containsBlank="1"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nda Tri Wulandari" refreshedDate="46049.644232060185" createdVersion="8" refreshedVersion="8" minRefreshableVersion="3" recordCount="207" xr:uid="{39AAA67D-5EDC-4D4B-A91B-851F7E697015}">
  <cacheSource type="worksheet">
    <worksheetSource ref="D2:D1048576" sheet="Tabel 1"/>
  </cacheSource>
  <cacheFields count="1">
    <cacheField name="Stream" numFmtId="0">
      <sharedItems containsBlank="1" containsMixedTypes="1" containsNumber="1" containsInteger="1" minValue="1" maxValue="100" count="26">
        <s v="SP, MI"/>
        <s v="SP"/>
        <s v="Market"/>
        <s v="Moneter"/>
        <s v="Moneter, Market"/>
        <s v="Market, Moneter, MI "/>
        <s v="Market, Moneter"/>
        <s v="MI"/>
        <s v="Market, SSK"/>
        <s v="MD"/>
        <s v="SSK"/>
        <s v="Moneter, SSK"/>
        <s v="Market, SP "/>
        <s v="Market, MD"/>
        <s v="Middleware, Moneter"/>
        <s v="Middleware"/>
        <m/>
        <n v="20" u="1"/>
        <n v="1" u="1"/>
        <n v="4" u="1"/>
        <n v="30" u="1"/>
        <n v="15" u="1"/>
        <n v="3" u="1"/>
        <n v="10" u="1"/>
        <n v="13" u="1"/>
        <n v="100" u="1"/>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nda Tri Wulandari" refreshedDate="46049.644296527775" createdVersion="8" refreshedVersion="8" minRefreshableVersion="3" recordCount="207" xr:uid="{B6EF1B99-4D4D-4F1F-A0AA-9F4E1DF47A23}">
  <cacheSource type="worksheet">
    <worksheetSource ref="D2:G1048576" sheet="Tabel 1"/>
  </cacheSource>
  <cacheFields count="4">
    <cacheField name="Stream" numFmtId="0">
      <sharedItems containsBlank="1" count="18">
        <s v="SP, MI"/>
        <s v="SP"/>
        <s v="Market"/>
        <s v="Moneter"/>
        <s v="Moneter, Market"/>
        <s v="Market, Moneter, MI "/>
        <s v="Market, Moneter"/>
        <s v="MI"/>
        <s v="Market, SSK"/>
        <s v="MD"/>
        <s v="SSK"/>
        <s v="Moneter, SSK"/>
        <s v="Market, SP "/>
        <s v="Market, MD"/>
        <s v="Middleware, Moneter"/>
        <s v="Middleware"/>
        <m/>
        <s v="MI, SP" u="1"/>
      </sharedItems>
    </cacheField>
    <cacheField name="Status" numFmtId="0">
      <sharedItems containsBlank="1" containsMixedTypes="1" containsNumber="1" containsInteger="1" minValue="0" maxValue="0"/>
    </cacheField>
    <cacheField name="Start" numFmtId="0">
      <sharedItems containsString="0" containsBlank="1" containsNumber="1" containsInteger="1" minValue="2024" maxValue="2029" count="7">
        <n v="2025"/>
        <n v="2026"/>
        <n v="2027"/>
        <n v="2029"/>
        <n v="2028"/>
        <n v="2024"/>
        <m/>
      </sharedItems>
    </cacheField>
    <cacheField name="End" numFmtId="0">
      <sharedItems containsString="0" containsBlank="1" containsNumber="1" containsInteger="1" minValue="2025" maxValue="2030" count="7">
        <n v="2028"/>
        <n v="2029"/>
        <n v="2025"/>
        <n v="2027"/>
        <n v="2030"/>
        <n v="2026"/>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s v="Column7"/>
    <s v="Column8"/>
    <x v="0"/>
    <s v="Column10"/>
    <s v="Column14"/>
    <s v="Column16"/>
    <s v="Column17"/>
    <x v="0"/>
    <s v="Column18"/>
    <x v="0"/>
  </r>
  <r>
    <s v="Continuity Technology - Teknologi - Aplikasi"/>
    <s v="Pemeliharaan Aplikasi "/>
    <x v="1"/>
    <n v="2029"/>
    <s v="DLDS"/>
    <s v="Aplikasi"/>
    <m/>
    <x v="1"/>
    <m/>
    <x v="1"/>
  </r>
  <r>
    <s v="Continuity Technology - Teknologi - Aplikasi"/>
    <s v="Data Subscription "/>
    <x v="1"/>
    <n v="2029"/>
    <s v="DLDS"/>
    <s v="Aplikasi"/>
    <m/>
    <x v="1"/>
    <m/>
    <x v="1"/>
  </r>
  <r>
    <s v="RTGS"/>
    <s v="Upgrade Platform RTGS ke TMSX"/>
    <x v="2"/>
    <n v="2025"/>
    <s v="DPSP"/>
    <s v="SP"/>
    <s v="RTGS"/>
    <x v="2"/>
    <m/>
    <x v="1"/>
  </r>
  <r>
    <s v="Pengaliran data audit ICOFR dari FOMOBO ke Pusat data"/>
    <s v="Pengaliran data audit ICOFR dari FOMOBO ke Pusat data"/>
    <x v="2"/>
    <n v="2025"/>
    <s v="DAI"/>
    <s v="Market"/>
    <s v="FOMOBO"/>
    <x v="3"/>
    <m/>
    <x v="2"/>
  </r>
  <r>
    <s v="Penggantian Hard Token BI-ETP"/>
    <s v="Penggantian Hard Token BI-ETP"/>
    <x v="2"/>
    <n v="2025"/>
    <s v="DPSP"/>
    <s v="Market"/>
    <s v="BI-ETP"/>
    <x v="4"/>
    <m/>
    <x v="1"/>
  </r>
  <r>
    <s v="Enhancement CBS Penyediaan Report ALBI (Tindak lanjut Forum Harmonisasi)"/>
    <s v="Enhancement CBS Penyediaan Report ALBI (Tindak lanjut Forum Harmonisasi)"/>
    <x v="2"/>
    <n v="2025"/>
    <s v="DPPT"/>
    <s v="SP"/>
    <s v="CBS"/>
    <x v="2"/>
    <m/>
    <x v="1"/>
  </r>
  <r>
    <s v="Rekonfigurasi Pemenuhan DC 2"/>
    <s v="Rekonfigurasi BI-SILK"/>
    <x v="3"/>
    <n v="2026"/>
    <s v="DLDS"/>
    <s v="SP"/>
    <s v="BI-SILK"/>
    <x v="2"/>
    <m/>
    <x v="1"/>
  </r>
  <r>
    <s v="Rekonfigurasi Pemenuhan DC 2"/>
    <s v="Rekonfigurasi En Reporting SWIFT "/>
    <x v="3"/>
    <n v="2026"/>
    <s v="DLDS"/>
    <s v="Market"/>
    <s v="En Reporting"/>
    <x v="5"/>
    <m/>
    <x v="1"/>
  </r>
  <r>
    <s v="Rekonfigurasi Pemenuhan DC 2"/>
    <s v="Rekonfigurasi SIMP"/>
    <x v="3"/>
    <n v="2026"/>
    <s v="DLDS"/>
    <s v="SSK"/>
    <s v="SIMP"/>
    <x v="6"/>
    <m/>
    <x v="1"/>
  </r>
  <r>
    <s v="Rekonfigurasi Pemenuhan DC 2"/>
    <s v="Rekonfigurasi BIWEB"/>
    <x v="3"/>
    <n v="2026"/>
    <s v="DLDS"/>
    <s v="MI"/>
    <s v="BIWEB"/>
    <x v="7"/>
    <m/>
    <x v="1"/>
  </r>
  <r>
    <s v="Rekonfigurasi Pemenuhan DC 2"/>
    <s v="Rekonfigurasi SISMONTAVAR"/>
    <x v="3"/>
    <n v="2026"/>
    <s v="DLDS"/>
    <s v="Market"/>
    <s v="SISMONTAVAR"/>
    <x v="3"/>
    <m/>
    <x v="1"/>
  </r>
  <r>
    <s v="Rekonfigurasi Pemenuhan DC 2"/>
    <s v="Rekonfigurasi SI-BISSS "/>
    <x v="4"/>
    <n v="2027"/>
    <s v="DLDS"/>
    <s v="Market"/>
    <s v="SI-BISSS"/>
    <x v="5"/>
    <m/>
    <x v="1"/>
  </r>
  <r>
    <s v="Rekonfigurasi Pemenuhan DC 2"/>
    <s v="Rekonfigurasi GMMP"/>
    <x v="4"/>
    <n v="2027"/>
    <s v="DLDS"/>
    <s v="SSK"/>
    <s v="GMMP"/>
    <x v="6"/>
    <m/>
    <x v="1"/>
  </r>
  <r>
    <s v="Rekonfigurasi Pemenuhan DC 2"/>
    <s v="Rekonfigurasi ANTASENA LBUT  "/>
    <x v="4"/>
    <n v="2028"/>
    <s v="DLDS"/>
    <s v="Moneter"/>
    <s v="LBUT"/>
    <x v="8"/>
    <m/>
    <x v="1"/>
  </r>
  <r>
    <s v="Rekonfigurasi Pemenuhan DC 2"/>
    <s v="Rekonfigurasi BI-ETP "/>
    <x v="4"/>
    <n v="2027"/>
    <s v="DLDS"/>
    <s v="Market"/>
    <s v="BI-ETP"/>
    <x v="4"/>
    <m/>
    <x v="1"/>
  </r>
  <r>
    <s v="Rekonfigurasi Pemenuhan DC 2"/>
    <s v="Rekonfigurasi HARTIS "/>
    <x v="4"/>
    <n v="2027"/>
    <s v="DLDS"/>
    <s v="Market"/>
    <s v="HARTIS"/>
    <x v="4"/>
    <m/>
    <x v="1"/>
  </r>
  <r>
    <s v="Rekonfigurasi Pemenuhan DC 2"/>
    <s v="Rekonfigurasi FOMOBO "/>
    <x v="5"/>
    <n v="2029"/>
    <s v="DLDS"/>
    <s v="Market"/>
    <s v="FOMOBO"/>
    <x v="3"/>
    <m/>
    <x v="1"/>
  </r>
  <r>
    <s v="Rekonfigurasi Pemenuhan DC 2"/>
    <s v="Rekonfigurasi NCP "/>
    <x v="5"/>
    <n v="2029"/>
    <s v="DLDS"/>
    <s v="Market"/>
    <s v="NCP"/>
    <x v="5"/>
    <m/>
    <x v="1"/>
  </r>
  <r>
    <s v="Rekonfigurasi Pemenuhan DC 2"/>
    <s v="Rekonfigurasi ERPHRIS "/>
    <x v="5"/>
    <n v="2029"/>
    <s v="DLDS, DKEU"/>
    <s v="MI"/>
    <s v="ERPHRIS"/>
    <x v="9"/>
    <m/>
    <x v="1"/>
  </r>
  <r>
    <s v="Rekonfigurasi Pemenuhan DC 2"/>
    <s v="Rekonfigurasi Alternate ETP"/>
    <x v="6"/>
    <n v="2028"/>
    <s v="DLDS"/>
    <s v="Market"/>
    <s v="ETP"/>
    <x v="4"/>
    <m/>
    <x v="1"/>
  </r>
  <r>
    <s v="Rekonfigurasi Pemenuhan DC 2"/>
    <s v="Rekonfigurasi LKPBU (ANTASENA Non LBUT) "/>
    <x v="3"/>
    <n v="2027"/>
    <s v="DLDS"/>
    <s v="Moneter"/>
    <s v="Non LBUT)"/>
    <x v="8"/>
    <m/>
    <x v="1"/>
  </r>
  <r>
    <s v="Rekonfigurasi Pemenuhan DC 2"/>
    <s v="Rekonfigurasi SIMODIS"/>
    <x v="4"/>
    <n v="2027"/>
    <s v="DLDS"/>
    <s v="Moneter"/>
    <s v="SIMODIS"/>
    <x v="8"/>
    <m/>
    <x v="1"/>
  </r>
  <r>
    <s v="Rekonfigurasi Pemenuhan DC 2"/>
    <s v="Rekonfigurasi BI-SSS"/>
    <x v="3"/>
    <n v="2026"/>
    <s v="DLDS"/>
    <s v="SSK"/>
    <s v="BI-SSS"/>
    <x v="6"/>
    <m/>
    <x v="1"/>
  </r>
  <r>
    <s v="Perluasan IEA"/>
    <s v="IEA-KUPVA BB ( Solusi Interim) Untuk Pengawasan di KPwDN WG end to end"/>
    <x v="3"/>
    <n v="2026"/>
    <m/>
    <s v="MD"/>
    <s v="BB"/>
    <x v="3"/>
    <m/>
    <x v="1"/>
  </r>
  <r>
    <s v="Perluasan IEA"/>
    <s v="Konfigurasi IEA untuk mendukung Use Case Bansos dan Use Case Internal Pegawai BI / Payment ID &amp; Lanjutan Payment Integrity"/>
    <x v="1"/>
    <n v="2025"/>
    <m/>
    <s v="MD"/>
    <s v="P"/>
    <x v="3"/>
    <m/>
    <x v="1"/>
  </r>
  <r>
    <s v="Perluasan IEA"/>
    <s v="Perolehan Data PJP/PIP"/>
    <x v="1"/>
    <n v="2025"/>
    <m/>
    <s v="MD"/>
    <s v="P"/>
    <x v="3"/>
    <m/>
    <x v="2"/>
  </r>
  <r>
    <s v="Perluasan IEA"/>
    <s v="IEA-DHE SDA (Sub Registry 16 Pelapor)"/>
    <x v="1"/>
    <n v="2025"/>
    <m/>
    <s v="MD"/>
    <s v="IEA"/>
    <x v="3"/>
    <m/>
    <x v="2"/>
  </r>
  <r>
    <s v="Perluasan IEA"/>
    <s v="Konfigurasi IEA otomasi Data SBN  - OJK ke pusat Data"/>
    <x v="1"/>
    <n v="2025"/>
    <m/>
    <s v="MD"/>
    <s v="Data SBN - OJK ke pusat Data​"/>
    <x v="3"/>
    <m/>
    <x v="2"/>
  </r>
  <r>
    <s v="Perluasan IEA"/>
    <s v="IEA-BAPPEBTI Dervatif PUVA - (OJK BAPPEBTI)"/>
    <x v="1"/>
    <n v="2025"/>
    <m/>
    <s v="MD"/>
    <s v="PUVA - (OJK BAPPEBTI)​"/>
    <x v="3"/>
    <m/>
    <x v="2"/>
  </r>
  <r>
    <s v="Perluasan IEA"/>
    <s v="IEA-DJA Pengaliran suku bunga"/>
    <x v="1"/>
    <n v="2025"/>
    <m/>
    <s v="MD"/>
    <s v="IEA"/>
    <x v="6"/>
    <m/>
    <x v="1"/>
  </r>
  <r>
    <s v="Perluasan IEA"/>
    <s v="Pengiriman Data Antasena LBUT - Pengiriman Data LBUT ke Otoritas Jasa Keuangan dan Lembaga Penjamin Simpanan"/>
    <x v="1"/>
    <n v="2025"/>
    <m/>
    <s v="MD"/>
    <s v="LBUT"/>
    <x v="3"/>
    <m/>
    <x v="1"/>
  </r>
  <r>
    <s v="Perluasan IEA"/>
    <s v="Pengaliran Data LBBPR/S dari OJK ke BI"/>
    <x v="1"/>
    <n v="2025"/>
    <m/>
    <s v="MD"/>
    <s v="P"/>
    <x v="3"/>
    <m/>
    <x v="2"/>
  </r>
  <r>
    <s v="Perluasan IEA"/>
    <s v="Pengaliran Data Laporan BPR/S dari Otoritas Jasa Keuangan (OJK) ke Bank Indonesia melalui Information Exchange Architecture (IEA)"/>
    <x v="1"/>
    <n v="2025"/>
    <m/>
    <m/>
    <m/>
    <x v="3"/>
    <m/>
    <x v="1"/>
  </r>
  <r>
    <s v="Perluasan IEA"/>
    <s v="Pengembangan Sistem Pelaporan CCP ke BI dan TPA melalui Aplikasi IEA"/>
    <x v="1"/>
    <n v="2025"/>
    <m/>
    <s v="Market, MD"/>
    <s v="Sistem"/>
    <x v="3"/>
    <m/>
    <x v="2"/>
  </r>
  <r>
    <s v="Perluasan IEA"/>
    <s v="Pengembangan Portal Sistem Pelaporan CCP - IEA Pertukaran data terkait Payment Integrity Integrasi "/>
    <x v="1"/>
    <n v="2025"/>
    <s v="DPPK"/>
    <s v="MD"/>
    <s v="IEA"/>
    <x v="3"/>
    <m/>
    <x v="1"/>
  </r>
  <r>
    <s v="Perluasan IEA"/>
    <s v="Derivatif PUVA - Perubahan pengaliran dari BAPPEBTI ke Pelapor Langsung (FSR)(134 Pelapor)"/>
    <x v="1"/>
    <n v="2025"/>
    <m/>
    <m/>
    <m/>
    <x v="3"/>
    <m/>
    <x v="1"/>
  </r>
  <r>
    <s v="Transaksi FX-DNDF via Primary Dealers (PDs)"/>
    <s v="Penguatan transaksi FX-NDF BI pada Bloomberg FX Go"/>
    <x v="1"/>
    <n v="2025"/>
    <s v="DPMA"/>
    <s v="Market"/>
    <s v="FOMOBO, Bloomberg"/>
    <x v="6"/>
    <m/>
    <x v="2"/>
  </r>
  <r>
    <s v="Konfigurasi Sistem Treasury Bank Indonesia"/>
    <s v="Otomasi Penarikan Report Portfolio Workstation di FOMOBO "/>
    <x v="1"/>
    <n v="2026"/>
    <s v="DMR"/>
    <s v="Market"/>
    <s v="FOMOBO"/>
    <x v="3"/>
    <m/>
    <x v="1"/>
  </r>
  <r>
    <s v="Konfigurasi Sistem Treasury Bank Indonesia"/>
    <s v="FOMOBO Konfigurasi FOMOBO untuk Perbaikan Laporan EDW-ORA"/>
    <x v="1"/>
    <n v="2025"/>
    <s v="DIDD"/>
    <s v="Market"/>
    <s v="FOMOBO"/>
    <x v="3"/>
    <m/>
    <x v="2"/>
  </r>
  <r>
    <s v="SWIFT "/>
    <s v="SWIFT November Changes 2025"/>
    <x v="1"/>
    <n v="2025"/>
    <s v="DLDS"/>
    <s v="Market"/>
    <s v="SWIFT, CBS, ERP, FOMOBO"/>
    <x v="5"/>
    <m/>
    <x v="1"/>
  </r>
  <r>
    <s v="SWIFT "/>
    <s v="SWIFT November Changes 2026"/>
    <x v="3"/>
    <n v="2026"/>
    <s v="DLDS"/>
    <s v="Market"/>
    <s v="SWIFT, CBS, ERP, FOMOBO"/>
    <x v="5"/>
    <m/>
    <x v="1"/>
  </r>
  <r>
    <s v="SWIFT "/>
    <s v="Upgrade versi SWIFT 7.7"/>
    <x v="1"/>
    <n v="2025"/>
    <s v="DLDS"/>
    <s v="Market"/>
    <s v="SWIFT"/>
    <x v="5"/>
    <m/>
    <x v="2"/>
  </r>
  <r>
    <s v="SWIFT "/>
    <s v="Upgrade SWIFT HSM Box"/>
    <x v="1"/>
    <n v="2025"/>
    <s v="DLDS"/>
    <s v="Market"/>
    <s v="SWIFT"/>
    <x v="5"/>
    <m/>
    <x v="2"/>
  </r>
  <r>
    <s v="SWIFT "/>
    <s v="Legacy ISO 20022: SWIFT Tahap II"/>
    <x v="1"/>
    <n v="2025"/>
    <s v="DLDS"/>
    <s v="Market"/>
    <s v="SWIFT"/>
    <x v="5"/>
    <m/>
    <x v="1"/>
  </r>
  <r>
    <s v="Peningkatan Kapasitas dan Performance Aplikasi Legacy"/>
    <s v="Peningkatan Performance PINTAR dalam rangka SERAMBI 2026"/>
    <x v="1"/>
    <n v="2025"/>
    <s v="DPU"/>
    <s v="SP"/>
    <s v="PINTAR"/>
    <x v="2"/>
    <m/>
    <x v="1"/>
  </r>
  <r>
    <s v="Upgrade CRM"/>
    <s v="Upgrade versi CRM"/>
    <x v="4"/>
    <n v="2027"/>
    <s v="DLDS, DKOM"/>
    <s v="MI"/>
    <s v="CRM"/>
    <x v="7"/>
    <m/>
    <x v="1"/>
  </r>
  <r>
    <s v="Konfigurasi WBS"/>
    <s v="Konfigurasi Penyempurnaan Notifikasi Flow Proses Pemeriksaan pada WBS"/>
    <x v="3"/>
    <n v="2026"/>
    <s v="DAI"/>
    <s v="MI"/>
    <s v="WBS"/>
    <x v="7"/>
    <m/>
    <x v="1"/>
  </r>
  <r>
    <m/>
    <m/>
    <x v="7"/>
    <m/>
    <m/>
    <m/>
    <m/>
    <x v="0"/>
    <m/>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
  <r>
    <s v="Column5"/>
    <s v="Column6"/>
    <s v="Column7"/>
    <m/>
    <s v="Column8"/>
    <x v="0"/>
    <x v="0"/>
    <s v="Column11"/>
    <s v="Column12"/>
    <s v="Column13"/>
    <s v="Column14"/>
    <s v="Column15"/>
    <s v="Column16"/>
    <s v="Column17"/>
    <s v="Column18"/>
    <x v="0"/>
    <x v="0"/>
  </r>
  <r>
    <s v="P-1"/>
    <n v="3"/>
    <s v="BI-FAST"/>
    <s v="New BI-FAST"/>
    <s v="Enhancement Aplikasi Legacy New BI-FAST"/>
    <x v="1"/>
    <x v="1"/>
    <s v="S"/>
    <s v="K3"/>
    <s v="Pemimpin Satker"/>
    <s v="DKeu, DKSP, DPSP, DLDS"/>
    <s v="WG-1"/>
    <s v="MI, SP"/>
    <s v="ERPHRIS, SOA"/>
    <s v="Proses RBT-RBB"/>
    <x v="1"/>
    <x v="1"/>
  </r>
  <r>
    <s v="P-2"/>
    <n v="3"/>
    <s v="BI-RTGS Gen III"/>
    <s v="BI-RTGS Gen III"/>
    <s v="Enhancement Aplikasi Legacy BI-RTGS Gen III"/>
    <x v="2"/>
    <x v="2"/>
    <s v="S"/>
    <s v="K3"/>
    <s v="Pemimpin Satker"/>
    <s v="DKSP, DPSP, DPPT, DIDD, DPPK, DLDS"/>
    <s v="WG-2"/>
    <s v="SP"/>
    <s v="SKNBI, BI-SSSS Gen II, CBS, FOMOBO, SWIFT, SOA"/>
    <s v="Not Started"/>
    <x v="2"/>
    <x v="1"/>
  </r>
  <r>
    <s v="P-3"/>
    <n v="3"/>
    <s v="BI-SSSS Gen III"/>
    <s v="BI-SSSS Gen III"/>
    <s v="Enhancement Aplikasi Legacy BI-SSSS Gen III"/>
    <x v="3"/>
    <x v="2"/>
    <s v="S"/>
    <s v="K3"/>
    <s v="Pemimpin Satker"/>
    <s v="DPPK, DPSP"/>
    <s v="WG-2"/>
    <s v="Market"/>
    <s v="BI-ETP, FOMOBO, CBS, Bloomberg, SI BI-SSSS"/>
    <s v="Not Started"/>
    <x v="2"/>
    <x v="2"/>
  </r>
  <r>
    <s v="P-4"/>
    <n v="1"/>
    <s v="Pengembangan Product PUVA dan Penerbitan SBN"/>
    <s v="Infrastruktur Data PUVA"/>
    <s v="Capturing Matchmaking OIS"/>
    <x v="1"/>
    <x v="3"/>
    <s v="S"/>
    <s v="K3"/>
    <s v="Pemimpin Satker"/>
    <s v="DPPK, DSTA, DPKL"/>
    <m/>
    <s v="Moneter"/>
    <s v="ANTASENA"/>
    <s v="Selesai Implementasi"/>
    <x v="3"/>
    <x v="3"/>
  </r>
  <r>
    <s v="P-4"/>
    <n v="2"/>
    <s v="Pengembangan Product PUVA dan Penerbitan SBN"/>
    <s v="Infrastruktur Data PUVA"/>
    <s v="EDP Capturing Product -Capturing transaksi Repo, OIS, DNDF dari ETP-MO"/>
    <x v="2"/>
    <x v="4"/>
    <s v="S"/>
    <s v="K3"/>
    <s v="Pemimpin Satker"/>
    <s v="DPPK"/>
    <s v="WG-2"/>
    <s v="Moneter, Market"/>
    <s v="TBD"/>
    <s v="Not Started"/>
    <x v="2"/>
    <x v="4"/>
  </r>
  <r>
    <s v="P-4"/>
    <n v="3"/>
    <s v="Pengembangan Product PUVA dan Penerbitan SBN"/>
    <s v="Infrastruktur Data PUVA"/>
    <s v="EDP Capturing Product -Capturing transaksi FX Swap"/>
    <x v="4"/>
    <x v="2"/>
    <s v="S"/>
    <s v="K3"/>
    <s v="Pemimpin Satker"/>
    <s v="DPPK"/>
    <s v="WG-2"/>
    <s v="Moneter, Market"/>
    <s v="TBD"/>
    <s v="Not Started"/>
    <x v="2"/>
    <x v="5"/>
  </r>
  <r>
    <s v="P-4"/>
    <n v="4"/>
    <s v="Pengembangan Product PUVA dan Penerbitan SBN"/>
    <s v="Infrastruktur Data PUVA"/>
    <s v="EDP Capturing Product -Pelaporan: dari ETP-MO"/>
    <x v="2"/>
    <x v="4"/>
    <s v="S"/>
    <s v="K3"/>
    <s v="Pemimpin Satker"/>
    <s v="DPPK,  DSta, DPKL"/>
    <s v="WG-2"/>
    <s v="Moneter, Market"/>
    <s v="TBD"/>
    <s v="Not Started"/>
    <x v="2"/>
    <x v="4"/>
  </r>
  <r>
    <s v="P-4"/>
    <n v="5"/>
    <s v="Pengembangan Product PUVA dan Penerbitan SBN"/>
    <s v="Infrastruktur Data PUVA"/>
    <s v="EDP Capturing Product -Pelaporan: CCP Repo"/>
    <x v="2"/>
    <x v="4"/>
    <s v="S"/>
    <s v="K3"/>
    <s v="Pemimpin Satker"/>
    <s v="DPPK,  DSta, DPKL"/>
    <s v="WG-2"/>
    <s v="Moneter, Market"/>
    <s v="TBD"/>
    <s v="Not Started"/>
    <x v="2"/>
    <x v="4"/>
  </r>
  <r>
    <s v="P-4"/>
    <n v="6"/>
    <s v="Pengembangan Product PUVA dan Penerbitan SBN"/>
    <s v="Infrastruktur Data PUVA"/>
    <s v="EDP Capturing Product -Pelaporan: CCP OIS"/>
    <x v="5"/>
    <x v="1"/>
    <s v="S"/>
    <s v="K3"/>
    <s v="Pemimpin Satker"/>
    <s v="DPPK,  DSta, DPKL"/>
    <s v="WG-2"/>
    <s v="Moneter, Market"/>
    <s v="TBD"/>
    <s v="Not Started"/>
    <x v="2"/>
    <x v="5"/>
  </r>
  <r>
    <s v="P-4"/>
    <n v="7"/>
    <s v="Pengembangan Pricing untuk OM Pro Market  dan PUVA"/>
    <s v="Infrastruktur Data PUVA"/>
    <s v="EDP Capturing Pricing - Pricing Calculation &amp; Dissemination: Perluasan kurs acuan non-USD/IDR (AED/IDR)"/>
    <x v="1"/>
    <x v="3"/>
    <s v="S"/>
    <s v="K3"/>
    <s v="Pemimpin Satker"/>
    <s v="DPPK"/>
    <m/>
    <s v="Market"/>
    <s v="FOMOBO, SOA"/>
    <s v="Selesai Implementasi"/>
    <x v="3"/>
    <x v="4"/>
  </r>
  <r>
    <s v="P-4"/>
    <n v="8"/>
    <s v="Pengembangan Pricing untuk OM Pro Market  dan PUVA"/>
    <s v="Infrastruktur Data PUVA"/>
    <s v="EDP Capturing Pricing - Implementasi INDONIA (OIS based) - Decommissioned JIBOR"/>
    <x v="1"/>
    <x v="3"/>
    <s v="S"/>
    <s v="K3"/>
    <s v="Pemimpin Satker"/>
    <s v="DPPK"/>
    <m/>
    <s v="Market, Moneter, MI "/>
    <s v="FOMOBO, ANTASENA, BIWEB"/>
    <s v="Selesai SIT"/>
    <x v="1"/>
    <x v="4"/>
  </r>
  <r>
    <s v="P-4"/>
    <n v="9"/>
    <s v="Pengembangan Pricing untuk OM Pro Market  dan PUVA"/>
    <s v="Infrastruktur Data PUVA"/>
    <s v="EDP Capturing Pricing - Pricing Calculation &amp; Dissemination: Reference Rate Syariah"/>
    <x v="2"/>
    <x v="4"/>
    <s v="S"/>
    <s v="K3"/>
    <s v="Pemimpin Satker"/>
    <s v="DPPK, DEKS"/>
    <m/>
    <s v="Market"/>
    <s v="TBD"/>
    <s v="Not Started"/>
    <x v="2"/>
    <x v="2"/>
  </r>
  <r>
    <s v="P-4"/>
    <n v="10"/>
    <s v="Pengembangan Pricing untuk OM Pro Market  dan PUVA"/>
    <s v="Infrastruktur Data PUVA"/>
    <s v="EDP Capturing Pricing - Pricing Calculation &amp; Dissemination: INDONIA – Kurva OIS"/>
    <x v="3"/>
    <x v="4"/>
    <s v="S"/>
    <s v="K3"/>
    <s v="Pemimpin Satker"/>
    <s v="DPPK"/>
    <m/>
    <s v="Market"/>
    <s v="TBD"/>
    <s v="Not Started"/>
    <x v="2"/>
    <x v="2"/>
  </r>
  <r>
    <s v="P-4"/>
    <n v="11"/>
    <s v="Pengembangan Pricing untuk OM Pro Market  dan PUVA"/>
    <s v="Infrastruktur Data PUVA"/>
    <s v="EDP Capturing Pricing - Pricing Calculation &amp; Dissemination: Reformulasi JISDOR"/>
    <x v="3"/>
    <x v="2"/>
    <s v="S"/>
    <s v="K3"/>
    <s v="Pemimpin Satker"/>
    <s v="DPPK"/>
    <s v="WG-2"/>
    <s v="Market"/>
    <s v="TBD"/>
    <s v="Not Started"/>
    <x v="2"/>
    <x v="2"/>
  </r>
  <r>
    <s v="P-4"/>
    <n v="12"/>
    <s v="Pengembangan Pricing untuk OM Pro Market  dan PUVA"/>
    <s v="Infrastruktur Data PUVA"/>
    <s v="EDP Capturing Pricing - Market Data Capturing &amp; Dissemination: IMM Curve"/>
    <x v="5"/>
    <x v="5"/>
    <s v="S"/>
    <s v="K3"/>
    <s v="Pemimpin Satker"/>
    <s v="DPPK, DEKS"/>
    <m/>
    <s v="Market"/>
    <s v="TBD"/>
    <s v="Not Started"/>
    <x v="2"/>
    <x v="2"/>
  </r>
  <r>
    <s v="P-4"/>
    <n v="13"/>
    <s v="Pengembangan Pricing untuk OM Pro Market  dan PUVA"/>
    <s v="Infrastruktur Data PUVA"/>
    <s v="EDP Capturing Pricing - Market Data Capturing &amp; Dissemination: MM Curve"/>
    <x v="2"/>
    <x v="1"/>
    <s v="S"/>
    <s v="K3"/>
    <s v="Pemimpin Satker"/>
    <s v="DPPK"/>
    <s v="WG-2"/>
    <s v="Market"/>
    <s v="EDW, HARTIS, ANTASENA LBUT"/>
    <s v="Not Started"/>
    <x v="2"/>
    <x v="2"/>
  </r>
  <r>
    <s v="P-4"/>
    <n v="14"/>
    <s v="Pengembangan Pricing untuk OM Pro Market  dan PUVA"/>
    <s v="Infrastruktur Data PUVA"/>
    <s v="EDP Capturing Pricing - Market Data Capturing &amp; Dissemination: FX Forward Curve"/>
    <x v="2"/>
    <x v="4"/>
    <s v="S"/>
    <s v="K3"/>
    <s v="Pemimpin Satker"/>
    <s v="DPPK"/>
    <s v="WG-2"/>
    <s v="Market"/>
    <s v="TBD"/>
    <s v="Not Started"/>
    <x v="2"/>
    <x v="2"/>
  </r>
  <r>
    <s v="P-4"/>
    <n v="15"/>
    <s v="Pengembangan Pricing untuk OM Pro Market  dan PUVA"/>
    <s v="Infrastruktur Data PUVA"/>
    <s v="EDP Capturing Pricing - Market Data Capturing &amp; Dissemination: IFX Hedging Curve"/>
    <x v="5"/>
    <x v="5"/>
    <s v="S"/>
    <s v="K3"/>
    <s v="Pemimpin Satker"/>
    <s v="DPPK, DEKS"/>
    <m/>
    <s v="Market"/>
    <s v="TBD"/>
    <s v="Not Started"/>
    <x v="2"/>
    <x v="2"/>
  </r>
  <r>
    <s v="P-5"/>
    <n v="6"/>
    <s v="Infrastruktur Data SP"/>
    <s v="Infrastruktur Data SP"/>
    <s v="Enhancement Aplikasi Legacy Infrastruktur Data SP"/>
    <x v="2"/>
    <x v="1"/>
    <s v="K"/>
    <s v="K3"/>
    <s v="Pemimpin Satker"/>
    <s v="DKSP, DIDD"/>
    <m/>
    <s v="Moneter"/>
    <s v="ANTASENA"/>
    <s v="Not Started"/>
    <x v="2"/>
    <x v="3"/>
  </r>
  <r>
    <s v="P-7"/>
    <n v="3"/>
    <s v="DWP Kebijakan"/>
    <s v="DDM Perumusan Kebijakan"/>
    <s v="Enhancement Aplikasi Legacy DDM Kebijakan"/>
    <x v="2"/>
    <x v="4"/>
    <s v="K"/>
    <s v="K3"/>
    <s v="Pemimpin Satker"/>
    <s v="DMST"/>
    <s v="WG-4"/>
    <s v="MI"/>
    <s v="BIWEB, ERPHRIS"/>
    <s v="Not Started"/>
    <x v="2"/>
    <x v="6"/>
  </r>
  <r>
    <s v="P-18"/>
    <n v="4"/>
    <s v="DBP CORE BKK"/>
    <s v="DCP BKK"/>
    <s v="Enhancement Aplikasi Legacy (ERPHRIS) DBP BKK "/>
    <x v="1"/>
    <x v="4"/>
    <s v="K"/>
    <s v="K3"/>
    <s v="Pemimpin Satker"/>
    <s v="DKeu, DMST"/>
    <m/>
    <s v="MI"/>
    <s v="ERPHRIS"/>
    <s v="Proses RBT-RBTD"/>
    <x v="1"/>
    <x v="6"/>
  </r>
  <r>
    <s v="P-18"/>
    <n v="5"/>
    <s v="DBP CORE BKK"/>
    <s v="DCP BKK"/>
    <s v="Enhancement Aplikasi Legacy (LIMS) DBP BKK "/>
    <x v="2"/>
    <x v="1"/>
    <s v="U"/>
    <s v="K3"/>
    <s v="Pemimpin Satker"/>
    <s v="DHk"/>
    <m/>
    <s v="MI"/>
    <s v="LIMS"/>
    <s v="Not Started"/>
    <x v="2"/>
    <x v="7"/>
  </r>
  <r>
    <s v="P-20"/>
    <n v="1"/>
    <s v="DBP - OpEx MAPP"/>
    <s v="DCP MAPP"/>
    <s v="Aset Fisik: Pelayanan &amp; Operasional"/>
    <x v="1"/>
    <x v="6"/>
    <s v="K"/>
    <s v="K2"/>
    <s v="ADG"/>
    <s v="DPRN, DLAF"/>
    <m/>
    <s v="MI"/>
    <s v="MLTI"/>
    <s v="Selesai Pengadaan"/>
    <x v="1"/>
    <x v="6"/>
  </r>
  <r>
    <s v="P-20"/>
    <n v="2"/>
    <s v="DBP - OpEx MAPP"/>
    <s v="DCP MAPP"/>
    <s v="Pengadaan: Perencanaan &amp; Pelaksanaan dan Digitalisasi Dokumen"/>
    <x v="1"/>
    <x v="6"/>
    <s v="K"/>
    <s v="K2"/>
    <s v="ADG"/>
    <s v="DMAP"/>
    <m/>
    <s v="MI"/>
    <s v="ERPHRIS"/>
    <s v="Proses Pengadaan"/>
    <x v="1"/>
    <x v="6"/>
  </r>
  <r>
    <s v="P-25"/>
    <n v="1"/>
    <s v="DBP - Opex Kelembagaan dan HR"/>
    <s v="DCP HRM"/>
    <s v="DBP OpEx 4P HRM lainnya (Kompetensi, Karir, Perencanaan)"/>
    <x v="2"/>
    <x v="4"/>
    <s v="K"/>
    <s v="K2"/>
    <s v="ADG"/>
    <s v="DSDM"/>
    <m/>
    <s v="MI"/>
    <s v="TBD"/>
    <s v="Not Started"/>
    <x v="2"/>
    <x v="7"/>
  </r>
  <r>
    <s v="P-26"/>
    <n v="1"/>
    <s v="DBP - HRM"/>
    <s v="DCP Integrasi HRM"/>
    <s v="DBP OpEx 4P: Pengembangan Kompetensi (Integrasi LMS dengan Digital Library)"/>
    <x v="2"/>
    <x v="1"/>
    <s v="U"/>
    <s v="K3"/>
    <s v="ADG"/>
    <s v="DSDM"/>
    <m/>
    <s v="MI"/>
    <s v="LMS, Digital Library"/>
    <s v="Not Started"/>
    <x v="2"/>
    <x v="7"/>
  </r>
  <r>
    <s v="P-26"/>
    <n v="2"/>
    <s v="DBP - HRM"/>
    <s v="DCP Integrasi HRM"/>
    <s v="DBP OpEx 4P: Pengembangan Kompetensi (Integrasi LMS dg MOOC)"/>
    <x v="3"/>
    <x v="1"/>
    <s v="U"/>
    <s v="K3"/>
    <s v="ADG"/>
    <s v="DSDM"/>
    <m/>
    <s v="MI"/>
    <s v="Digital Library, LMS, ERPHRIS"/>
    <s v="Not Started"/>
    <x v="2"/>
    <x v="7"/>
  </r>
  <r>
    <s v="P-40"/>
    <n v="1"/>
    <s v="Pengembangan Product OM Pro Market (Rupiah dan Valas). "/>
    <s v="Pengembangan Product OM Pro Market (Rupiah dan Valas)"/>
    <s v="Penambahan Portfolio SBN AC/HTM pada transaksi OM"/>
    <x v="6"/>
    <x v="3"/>
    <s v="S"/>
    <s v="K3"/>
    <s v="Pemimpin Satker"/>
    <s v="DPMA, DPPK, DPPT, DMR"/>
    <m/>
    <s v="Market"/>
    <s v="HARTIS, FOMOBO, SOA"/>
    <s v="Selesai Implementasi"/>
    <x v="3"/>
    <x v="2"/>
  </r>
  <r>
    <s v="P-40"/>
    <n v="2"/>
    <s v="Pengembangan Product OM Pro Market (Rupiah dan Valas)"/>
    <s v="Pengembangan Product OM Pro Market (Rupiah dan Valas)"/>
    <s v="Reopening SRBI - Tahap 2 (Searchable collateral)"/>
    <x v="1"/>
    <x v="3"/>
    <s v="S"/>
    <s v="K3"/>
    <s v="Pemimpin Satker"/>
    <s v="DPMA, DPPK,DPSP"/>
    <m/>
    <s v="Market"/>
    <s v="BI-ETP, Alternate BI-ETP, SOA"/>
    <s v="Selesai Implementasi"/>
    <x v="3"/>
    <x v="2"/>
  </r>
  <r>
    <s v="P-40"/>
    <n v="3"/>
    <s v="Pengembangan Product OM Pro Market (Rupiah dan Valas)"/>
    <s v="Pengembangan Product OM Pro Market (Rupiah dan Valas)"/>
    <s v="Penerbitan Bank Indonesia Floating Rate Note (BI-FRN)"/>
    <x v="1"/>
    <x v="3"/>
    <s v="S"/>
    <s v="K3"/>
    <s v="Pemimpin Satker"/>
    <s v="DPMA, DPPK,_x000a_ DPPT, DPSP"/>
    <m/>
    <s v="Market, SSK"/>
    <s v="BI-ETP, BI-SSSS, HARTIS, FOMOBO, SI BI-SSSS, SOA"/>
    <s v="Proses Implementasi"/>
    <x v="1"/>
    <x v="2"/>
  </r>
  <r>
    <s v="P-40"/>
    <n v="4"/>
    <s v="Pengembangan Product OM Pro Market (Rupiah dan Valas)"/>
    <s v="Pengembangan Product OM Pro Market (Rupiah dan Valas)"/>
    <s v="Integrasi dengan Market Operator untuk Transaksi OM dg Agent Bank"/>
    <x v="2"/>
    <x v="1"/>
    <s v="S"/>
    <s v="K3"/>
    <s v="Pemimpin Satker"/>
    <s v="DPMA, DPPK, DPPT,DPSP"/>
    <s v="WG-2"/>
    <s v="Market"/>
    <s v="BI-ETP"/>
    <s v="Not Started"/>
    <x v="2"/>
    <x v="2"/>
  </r>
  <r>
    <s v="P-40"/>
    <n v="5"/>
    <s v="Pengembangan Product OM Pro Market (Rupiah dan Valas)"/>
    <s v="Pengembangan Product OM Pro Market (Rupiah dan Valas)"/>
    <s v="Perluasan investor SUKBI Non Bank"/>
    <x v="1"/>
    <x v="3"/>
    <s v="S"/>
    <s v="K3"/>
    <s v="Pemimpin Satker"/>
    <s v="DPMA, DPPK, DEKS, DPSP"/>
    <m/>
    <s v="Market"/>
    <s v="BI-ETP, BI-SSSS, SI BI-SSSS "/>
    <s v="Selesai Implementasi"/>
    <x v="3"/>
    <x v="2"/>
  </r>
  <r>
    <s v="P-40"/>
    <n v="6"/>
    <s v="Pengembangan Product OM Pro Market (Rupiah dan Valas)"/>
    <s v="Pengembangan Product OM Pro Market (Rupiah dan Valas)"/>
    <s v="Transaksi Repo SVBI dan SUVBI valas (Tahap 1) "/>
    <x v="1"/>
    <x v="6"/>
    <s v="S"/>
    <s v="K3"/>
    <s v="Pemimpin Satker"/>
    <s v="DPMA, DPPK,  DPPT,DPSP"/>
    <s v="WG-2"/>
    <s v="Market"/>
    <s v="BI-ETP, BI-SSSS, HARTIS, SI BI-SSSS, FOMOBO, SOA"/>
    <s v="Proses RBT-RBB"/>
    <x v="1"/>
    <x v="2"/>
  </r>
  <r>
    <s v="P-40"/>
    <n v="7"/>
    <s v="Pengembangan Product OM Pro Market (Rupiah dan Valas)"/>
    <s v="Pengembangan Product OM Pro Market (Rupiah dan Valas)"/>
    <s v="Transaksi Repo SVBI dan SUVBI Rupiah (CCR - Tahap 2) "/>
    <x v="2"/>
    <x v="4"/>
    <s v="S"/>
    <s v="K3"/>
    <s v="Pemimpin Satker"/>
    <s v="DPMA, DPPK,  DPPT,DPSP"/>
    <s v="WG-2"/>
    <s v="Market"/>
    <s v="BI-ETP, BI-SSSS, HARTIS, SI BI-SSSS, FOMOBO, SOA"/>
    <s v="Not Started"/>
    <x v="2"/>
    <x v="2"/>
  </r>
  <r>
    <s v="P-40"/>
    <n v="8"/>
    <s v="Pengembangan Product OM Pro Market (Rupiah dan Valas)"/>
    <s v="Pengembangan Product OM Pro Market (Rupiah dan Valas)"/>
    <s v="Transaksi DNDF Syariah melalui PDs"/>
    <x v="5"/>
    <x v="2"/>
    <s v="S"/>
    <s v="K3"/>
    <s v="Pemimpin Satker"/>
    <s v="DPMA, DEKS, DPPT"/>
    <s v="WG-2"/>
    <s v="Market"/>
    <s v="Refinitiv "/>
    <s v="Not Started"/>
    <x v="2"/>
    <x v="2"/>
  </r>
  <r>
    <s v="P-40"/>
    <n v="9"/>
    <s v="Pengembangan Product OM Pro Market (Rupiah dan Valas)"/>
    <s v="Pengembangan Product OM Pro Market (Rupiah dan Valas)"/>
    <s v="Integrasi BI-ETP dan CMS-OM"/>
    <x v="4"/>
    <x v="2"/>
    <s v="S"/>
    <s v="K3"/>
    <s v="Pemimpin Satker"/>
    <s v="DPMA, DPPK, DPPT"/>
    <m/>
    <s v="Market"/>
    <s v=" BI-ETP"/>
    <s v="Not Started"/>
    <x v="2"/>
    <x v="2"/>
  </r>
  <r>
    <s v="P-40"/>
    <n v="10"/>
    <s v="Pengembangan Product OM Pro Market (Rupiah dan Valas)"/>
    <s v="Pengembangan Product OM Pro Market (Rupiah dan Valas)"/>
    <s v="Penerbitan Bank Indonesia Floating Rate Note (BI-FRN) pengembangan Alternate ETP "/>
    <x v="1"/>
    <x v="6"/>
    <s v="S"/>
    <s v="K3"/>
    <s v="Pemimpin Satker"/>
    <s v="DPMA, DPPK, DPPT,DPSP"/>
    <m/>
    <s v="Market"/>
    <s v="ETP Alternate"/>
    <s v="Selesai Pengadaan"/>
    <x v="1"/>
    <x v="2"/>
  </r>
  <r>
    <s v="P-40"/>
    <n v="11"/>
    <s v="Pengembangan Product OM Pro Market (Rupiah dan Valas)"/>
    <s v="Pengembangan Product OM Pro Market (Rupiah dan Valas)"/>
    <s v="Pengembangan Infrastruktur Penguatan Pasar Obligasi Korporasi dan EBA Tahap 1"/>
    <x v="1"/>
    <x v="3"/>
    <s v="S"/>
    <s v="K3"/>
    <s v="Pemimpin Satker"/>
    <s v="DPPK, DPMA, DKMP, Dkeu, DPPT, DMR,DPSP"/>
    <m/>
    <s v="Market, SSK"/>
    <s v="BI-ETP, BI-SSSS, BI-RTGS, FOMOBO"/>
    <s v="Selesai Implementasi"/>
    <x v="3"/>
    <x v="4"/>
  </r>
  <r>
    <s v="P-40"/>
    <n v="12"/>
    <s v="Pengembangan Product OM Pro Market (Rupiah dan Valas)"/>
    <s v="Pengembangan Product OM Pro Market (Rupiah dan Valas)"/>
    <s v="Pengembangan Infrastruktur Penguatan Pasar Obligasi Korporasi dan EBA Tahap 2"/>
    <x v="2"/>
    <x v="4"/>
    <s v="S"/>
    <s v="K3"/>
    <s v="Pemimpin Satker"/>
    <s v="DPMA, DPPK, DKMP, DKeu, DPPT, DMR, DPSP"/>
    <s v="WG-2"/>
    <s v="Market, SSK"/>
    <s v="BI-ETP, BI-SSSS, BI-RTGS"/>
    <s v="Not Started"/>
    <x v="2"/>
    <x v="4"/>
  </r>
  <r>
    <s v="P-40"/>
    <n v="13"/>
    <s v="Pengembangan Product OM Pro Market (Rupiah dan Valas)"/>
    <s v="Pengembangan Product OM Pro Market (Rupiah dan Valas)"/>
    <s v="Securities Borrowing Lending BI"/>
    <x v="5"/>
    <x v="1"/>
    <s v="S"/>
    <s v="K3"/>
    <s v="Pemimpin Satker"/>
    <s v="DPPK"/>
    <s v="WG-2"/>
    <s v="Market"/>
    <s v="BI-ETP"/>
    <n v="0"/>
    <x v="2"/>
    <x v="2"/>
  </r>
  <r>
    <s v="P-41"/>
    <n v="1"/>
    <s v="Pengembangan Product PUVA dan Penerbitan SBN"/>
    <s v="Pengembangan Produk dan Pricing untuk OM Pro Market dan PUVA"/>
    <s v="Infra Pendukung Triparty Repo"/>
    <x v="6"/>
    <x v="3"/>
    <s v="S"/>
    <s v="K3"/>
    <s v="Pemimpin Satker"/>
    <s v="DPPK, DPSP"/>
    <m/>
    <s v="Market"/>
    <s v="BI-SSSS, BI-RTGS"/>
    <s v="Selesai Implementasi"/>
    <x v="3"/>
    <x v="2"/>
  </r>
  <r>
    <s v="P-41"/>
    <n v="2"/>
    <s v="Pengembangan Product PUVA dan Penerbitan SBN"/>
    <s v="Pengembangan Produk dan Pricing untuk OM Pro Market dan PUVA"/>
    <s v="Infra Pendukung CCP Repo"/>
    <x v="2"/>
    <x v="4"/>
    <s v="S"/>
    <s v="K3"/>
    <s v="Pemimpin Satker"/>
    <s v="DPPK,DPSP"/>
    <s v="WG-2"/>
    <s v="Market"/>
    <s v="BI-SSSS, BI-RTGS"/>
    <s v="Not Started"/>
    <x v="2"/>
    <x v="2"/>
  </r>
  <r>
    <s v="P-43"/>
    <n v="1"/>
    <s v="MLTI"/>
    <s v="Manajemen Layanan TI"/>
    <s v="Modernize MLTI"/>
    <x v="1"/>
    <x v="3"/>
    <s v="K"/>
    <s v="K3"/>
    <s v="Pemimpin Satker"/>
    <s v="DLDS"/>
    <m/>
    <s v="MI"/>
    <s v="MLTI"/>
    <s v="Proses UAT"/>
    <x v="1"/>
    <x v="6"/>
  </r>
  <r>
    <s v="P-44"/>
    <n v="1"/>
    <s v="ANTASENA Non LBUT"/>
    <s v="ANTASENA - Non LBUT"/>
    <s v="Modernize LKPBU - Tahap 1 Modul KPPK"/>
    <x v="6"/>
    <x v="6"/>
    <s v="K"/>
    <s v="K3"/>
    <s v="Pemimpin Satker"/>
    <s v="DSta, DIDD, DPKL"/>
    <m/>
    <s v="Moneter"/>
    <s v="LKPBU"/>
    <s v="Proses Pengembangan"/>
    <x v="1"/>
    <x v="3"/>
  </r>
  <r>
    <s v="P-44"/>
    <n v="2"/>
    <s v="ANTASENA Non LBUT"/>
    <s v="ANTASENA - Non LBUT"/>
    <s v="Modernize LLD Non Bank Terintegrasi: DJBC"/>
    <x v="5"/>
    <x v="1"/>
    <s v="K"/>
    <s v="K3"/>
    <s v="Pemimpin Satker"/>
    <s v="DSta, DPKL, DIDD"/>
    <s v="WG-5"/>
    <s v="Moneter"/>
    <s v="LLD"/>
    <s v="Proses RBT-RBB"/>
    <x v="1"/>
    <x v="4"/>
  </r>
  <r>
    <s v="P-44"/>
    <n v="3"/>
    <s v="ANTASENA Non LBUT"/>
    <s v="ANTASENA - Non LBUT"/>
    <s v="Peralihan pelaporan Derivatif PUVA dr Bappebti ke BI"/>
    <x v="2"/>
    <x v="4"/>
    <s v="K"/>
    <s v="K3"/>
    <s v="Pemimpin Satker"/>
    <s v="DSta, DPPK, DIDD, DPKL, DSMM"/>
    <m/>
    <s v="Moneter"/>
    <s v="ANTASENA"/>
    <s v="Not Started"/>
    <x v="2"/>
    <x v="3"/>
  </r>
  <r>
    <s v="P-44"/>
    <n v="4"/>
    <s v="ANTASENA Non LBUT"/>
    <s v="ANTASENA - Non LBUT"/>
    <s v="Digitalisasi Laporan Offline  (Non LBUT - PJP/PIP)"/>
    <x v="2"/>
    <x v="1"/>
    <s v="K"/>
    <s v="K3"/>
    <s v="Pemimpin Satker"/>
    <s v="DSta, DIDD, DPKL, DSMM, DPPK, DKSP"/>
    <m/>
    <s v="Moneter"/>
    <s v="ANTASENA"/>
    <s v="Not Started"/>
    <x v="2"/>
    <x v="3"/>
  </r>
  <r>
    <s v="P-44"/>
    <n v="5"/>
    <s v="ANTASENA Non LBUT"/>
    <s v="ANTASENA - Non LBUT"/>
    <s v="Modernize LKPBU - Tahap 2 Modul LTD BB dan KUPVA BB"/>
    <x v="3"/>
    <x v="1"/>
    <s v="K"/>
    <s v="K3"/>
    <s v="Pemimpin Satker"/>
    <s v="DSta, DIDD, DSMM, DSPK, DKSP, DPKL"/>
    <m/>
    <s v="Moneter"/>
    <s v="LKPBU"/>
    <s v="Proses Pengadaan"/>
    <x v="1"/>
    <x v="3"/>
  </r>
  <r>
    <s v="P-44"/>
    <n v="6"/>
    <s v="ANTASENA Non LBUT"/>
    <s v="ANTASENA - Non LBUT"/>
    <s v="Modernize LKPBU - Tahap 3 Modul LLPU dan LSBU"/>
    <x v="3"/>
    <x v="1"/>
    <s v="K"/>
    <s v="K3"/>
    <s v="Pemimpin Satker"/>
    <s v="DSta, DIDD, DSMM, DPPK, DPKL, DKSP"/>
    <m/>
    <s v="Moneter"/>
    <s v="LKPBU"/>
    <s v="Not Started"/>
    <x v="2"/>
    <x v="3"/>
  </r>
  <r>
    <s v="P-45"/>
    <n v="1"/>
    <s v="Website Internal Pegawai (BLINK)"/>
    <s v="Internal Portal"/>
    <s v="Modernize BLINK "/>
    <x v="6"/>
    <x v="6"/>
    <s v="U"/>
    <s v="K3"/>
    <s v="Pemimpin Satker"/>
    <s v="Dkom"/>
    <m/>
    <s v="MI"/>
    <s v="BLINK"/>
    <s v="Proses Pengembangan"/>
    <x v="1"/>
    <x v="7"/>
  </r>
  <r>
    <s v="P-46"/>
    <n v="1"/>
    <s v="BI-WEB"/>
    <s v="BI-WEB"/>
    <s v="Pengelolaan Website BI pada BI-WEB"/>
    <x v="6"/>
    <x v="6"/>
    <s v="K"/>
    <s v="K3"/>
    <s v="Pemimpin Satker"/>
    <s v="Dkom"/>
    <m/>
    <s v="MI"/>
    <s v="BIWEB"/>
    <s v="Proses Pengembangan"/>
    <x v="1"/>
    <x v="7"/>
  </r>
  <r>
    <s v="P-46"/>
    <n v="2"/>
    <s v="BI-WEB"/>
    <s v="BI-WEB"/>
    <s v="Modernize Mobile Apps BI (BIMA)"/>
    <x v="6"/>
    <x v="4"/>
    <s v="K"/>
    <s v="K3"/>
    <s v="Pemimpin Satker"/>
    <s v="Dkom"/>
    <m/>
    <s v="MI"/>
    <s v="BIMA"/>
    <s v="Selesai Pengadaan"/>
    <x v="1"/>
    <x v="7"/>
  </r>
  <r>
    <s v="P-47"/>
    <n v="1"/>
    <s v="Modifikasi Sistem Legacy Surrounding MHE-IS"/>
    <s v="Enhancement Aplikasi Legacy untuk MHE-IS"/>
    <s v="Surrounding MHE-IS: BI-SILK SPU"/>
    <x v="6"/>
    <x v="4"/>
    <s v="K"/>
    <s v="K3"/>
    <s v="Pemimpin Satker"/>
    <s v="DPU"/>
    <m/>
    <s v="SP"/>
    <s v="BI-SILK, SOA"/>
    <s v="Proses KAK"/>
    <x v="1"/>
    <x v="1"/>
  </r>
  <r>
    <s v="P-47"/>
    <n v="2"/>
    <s v="Modifikasi Sistem Legacy Surrounding MHE-IS"/>
    <s v="Enhancement Aplikasi Legacy untuk MHE-IS"/>
    <s v="Surrounding MHE-IS: ERP SPU"/>
    <x v="6"/>
    <x v="4"/>
    <s v="K"/>
    <s v="K3"/>
    <s v="Pemimpin Satker"/>
    <s v="DKEU, DPU"/>
    <m/>
    <s v="MI"/>
    <s v="ERPHRIS"/>
    <s v="Proses Pengadaan"/>
    <x v="1"/>
    <x v="6"/>
  </r>
  <r>
    <s v="P-47"/>
    <n v="3"/>
    <s v="Modifikasi Sistem Legacy Surrounding MHE-IS"/>
    <s v="Enhancement Aplikasi Legacy untuk MHE-IS"/>
    <s v="Surrounding MHE-IS: SOA SPU"/>
    <x v="6"/>
    <x v="4"/>
    <s v="K"/>
    <s v="K3"/>
    <s v="Pemimpin Satker"/>
    <s v="DLDS"/>
    <m/>
    <s v="MD"/>
    <s v="SOA"/>
    <s v="Selesai KAK"/>
    <x v="1"/>
    <x v="8"/>
  </r>
  <r>
    <s v="P-47"/>
    <n v="4"/>
    <s v="Modifikasi Sistem Legacy Surrounding MHE-IS"/>
    <s v="Enhancement Aplikasi Legacy untuk MHE-IS"/>
    <s v="Surrounding MHE-IS: CBS SPU"/>
    <x v="6"/>
    <x v="4"/>
    <s v="S"/>
    <s v="K3"/>
    <s v="Pemimpin Satker"/>
    <s v="DPU"/>
    <m/>
    <s v="SP"/>
    <s v="CBS, SOA"/>
    <s v="Proses Desain"/>
    <x v="1"/>
    <x v="1"/>
  </r>
  <r>
    <s v="P-47"/>
    <n v="1"/>
    <s v="Modifikasi Sistem Legacy Surrounding MHE-IS"/>
    <s v="Enhancement Aplikasi Legacy untuk MHE-IS"/>
    <s v="Surrounding MHE-IS: BI-SILK DKU"/>
    <x v="6"/>
    <x v="6"/>
    <s v="K"/>
    <s v="K3"/>
    <s v="Pemimpin Satker"/>
    <s v="DPU"/>
    <m/>
    <s v="SP"/>
    <s v="BI-SILK, SOA"/>
    <s v="Proses RPP"/>
    <x v="1"/>
    <x v="1"/>
  </r>
  <r>
    <s v="P-47"/>
    <n v="2"/>
    <s v="Modifikasi Sistem Legacy Surrounding MHE-IS"/>
    <s v="Enhancement Aplikasi Legacy untuk MHE-IS"/>
    <s v="Surrounding MHE-IS: ERP DKU"/>
    <x v="6"/>
    <x v="6"/>
    <s v="K"/>
    <s v="K3"/>
    <s v="Pemimpin Satker"/>
    <s v="DKEU, DPU"/>
    <m/>
    <s v="MI"/>
    <s v="ERPHRIS"/>
    <s v="Proses Desain"/>
    <x v="1"/>
    <x v="6"/>
  </r>
  <r>
    <s v="P-47"/>
    <n v="3"/>
    <s v="Modifikasi Sistem Legacy Surrounding MHE-IS"/>
    <s v="Enhancement Aplikasi Legacy untuk MHE-IS"/>
    <s v="Surrounding MHE-IS: SOA DKU"/>
    <x v="6"/>
    <x v="6"/>
    <s v="K"/>
    <s v="K3"/>
    <s v="Pemimpin Satker"/>
    <s v="DLDS"/>
    <m/>
    <s v="MD"/>
    <s v="SOA"/>
    <s v="Proses Pengadaan"/>
    <x v="1"/>
    <x v="8"/>
  </r>
  <r>
    <s v="P-48"/>
    <n v="1"/>
    <s v="Digital Library"/>
    <s v="Digital Library"/>
    <s v="Modernize Digital Library"/>
    <x v="6"/>
    <x v="4"/>
    <s v="U"/>
    <s v="K3"/>
    <s v="Pemimpin Satker"/>
    <s v="BINS"/>
    <m/>
    <s v="MI"/>
    <s v="Digital Library"/>
    <s v="Selesai Pengadaan"/>
    <x v="1"/>
    <x v="7"/>
  </r>
  <r>
    <s v="P-49"/>
    <n v="1"/>
    <s v="SIMODIS"/>
    <s v="Capturing Devisa (SIMODIS)"/>
    <s v="Penyesuaian SIMODIS DHE SDA Tahap 2"/>
    <x v="6"/>
    <x v="3"/>
    <s v="K"/>
    <s v="K3"/>
    <s v="Pemimpin Satker"/>
    <s v="DPKL"/>
    <m/>
    <s v="Moneter"/>
    <s v="SIMODIS"/>
    <s v="Selesai Implementasi"/>
    <x v="3"/>
    <x v="3"/>
  </r>
  <r>
    <s v="P-49"/>
    <n v="2"/>
    <s v="SIMODIS"/>
    <s v="Capturing Devisa (SIMODIS)"/>
    <s v="Pelaporan Kepabeanan Versi 1.3 pada SIMODIS "/>
    <x v="1"/>
    <x v="3"/>
    <s v="K"/>
    <s v="K3"/>
    <s v="Pemimpin Satker"/>
    <s v="DPKL"/>
    <m/>
    <s v="Moneter"/>
    <s v="SIMODIS"/>
    <s v="Selesai Implementasi"/>
    <x v="3"/>
    <x v="3"/>
  </r>
  <r>
    <s v="P-49"/>
    <n v="3"/>
    <s v="SIMODIS"/>
    <s v="Capturing Devisa (SIMODIS)"/>
    <s v="Enhancement SIMODIS d.r. Pengawasan Penempatan DHE SDA"/>
    <x v="2"/>
    <x v="6"/>
    <s v="K"/>
    <s v="K3"/>
    <s v="Pemimpin Satker"/>
    <s v="DPKL"/>
    <m/>
    <s v="Moneter"/>
    <s v="SIMODIS"/>
    <n v="0"/>
    <x v="2"/>
    <x v="3"/>
  </r>
  <r>
    <s v="P-49"/>
    <n v="4"/>
    <s v="SIMODIS"/>
    <s v="Capturing Devisa (SIMODIS)"/>
    <s v="Modernisasi Aplikasi Monitoring DHE"/>
    <x v="2"/>
    <x v="1"/>
    <s v="K"/>
    <s v="K3"/>
    <s v="Pemimpin Satker"/>
    <s v="Dsta, DPKL"/>
    <s v="WG-5"/>
    <s v="Moneter"/>
    <s v="SIMODIS"/>
    <n v="0"/>
    <x v="2"/>
    <x v="3"/>
  </r>
  <r>
    <s v="P-50"/>
    <n v="1"/>
    <s v="FOMOBO"/>
    <s v="Sistem Treasuri Bank Indonesia"/>
    <s v="Implementasi Transaksi Derivatif FX Swap di FOMOBO"/>
    <x v="4"/>
    <x v="2"/>
    <n v="2026"/>
    <s v="K3"/>
    <s v="Pemimpin Satker"/>
    <s v="DPD"/>
    <m/>
    <s v="Market"/>
    <s v="Bloomberg, FOMOBO, SOA"/>
    <s v="Not Started"/>
    <x v="2"/>
    <x v="9"/>
  </r>
  <r>
    <s v="P-50"/>
    <n v="2"/>
    <s v="FOMOBO"/>
    <s v="Sistem Treasuri Bank Indonesia"/>
    <s v="Tri Party Open Repo Devisa pada FOMOBO"/>
    <x v="2"/>
    <x v="4"/>
    <s v="S"/>
    <s v="K3"/>
    <s v="Pemimpin Satker"/>
    <s v="DPD"/>
    <m/>
    <s v="Market"/>
    <s v="Bloomberg, FOMOBO, SOA"/>
    <s v="Not Started"/>
    <x v="2"/>
    <x v="9"/>
  </r>
  <r>
    <s v="P-50"/>
    <n v="3"/>
    <s v="FOMOBO"/>
    <s v="Sistem Treasuri Bank Indonesia"/>
    <s v="Triparty Repo BNYM"/>
    <x v="1"/>
    <x v="3"/>
    <s v="S"/>
    <s v="K3"/>
    <s v="Pemimpin Satker"/>
    <s v="DPD"/>
    <m/>
    <s v="Market"/>
    <s v="FOMOBO, SOA, Bloomberg"/>
    <s v="Selesai Implementasi"/>
    <x v="3"/>
    <x v="9"/>
  </r>
  <r>
    <s v="P-50"/>
    <n v="4"/>
    <s v="FOMOBO"/>
    <s v="Sistem Treasuri Bank Indonesia"/>
    <s v="Perubahan dari Protokol TOF menjadi Protokol FIX LSEG pada FOMOBO"/>
    <x v="1"/>
    <x v="6"/>
    <s v="S"/>
    <s v="K3"/>
    <s v="Pemimpin Satker"/>
    <s v="DLDS, DPPT"/>
    <m/>
    <s v="Market"/>
    <s v="Refintiv, FOMOBO"/>
    <s v="Proses Desain"/>
    <x v="1"/>
    <x v="9"/>
  </r>
  <r>
    <s v="P-50"/>
    <n v="5"/>
    <s v="FOMOBO"/>
    <s v="Sistem Treasuri Bank Indonesia"/>
    <s v="Penguatan FOMOBO Tahap 1"/>
    <x v="2"/>
    <x v="6"/>
    <s v="S"/>
    <s v="K3"/>
    <s v="Pemimpin Satker"/>
    <s v="DPD, DPMA, DMR, DPPT, DKeu"/>
    <m/>
    <s v="Market"/>
    <s v="FOMOBO"/>
    <s v="Not Started"/>
    <x v="2"/>
    <x v="9"/>
  </r>
  <r>
    <s v="P-50"/>
    <n v="6"/>
    <s v="FOMOBO"/>
    <s v="Sistem Treasuri Bank Indonesia"/>
    <s v="Penambahan Fitur Early Redemption Instrumen OM Rupiah BI-FOMOBO"/>
    <x v="6"/>
    <x v="3"/>
    <s v="S"/>
    <s v="K3"/>
    <s v="Pemimpin Satker"/>
    <s v="DPPT"/>
    <m/>
    <s v="Market"/>
    <s v="FOMOBO"/>
    <s v="Selesai Implementasi"/>
    <x v="3"/>
    <x v="9"/>
  </r>
  <r>
    <s v="P-50"/>
    <n v="7"/>
    <s v="FOMOBO"/>
    <s v="Sistem Treasuri Bank Indonesia"/>
    <s v="Enh. Portfolio Workstation  (PWS) untuk Pengelolaan Risiko Operasi Moneter pada FMB "/>
    <x v="2"/>
    <x v="6"/>
    <s v="S"/>
    <s v="K3"/>
    <s v="Pemimpin Satker"/>
    <s v="DMR"/>
    <m/>
    <s v="Market"/>
    <s v="FOMOBO"/>
    <s v="Not Started"/>
    <x v="2"/>
    <x v="4"/>
  </r>
  <r>
    <s v="P-50"/>
    <n v="8"/>
    <s v="FOMOBO"/>
    <s v="Sistem Treasuri Bank Indonesia"/>
    <s v="Pengembangan Penguatan Fungsi Pencatatan Akuntansi FOMOBO"/>
    <x v="1"/>
    <x v="6"/>
    <s v="S"/>
    <s v="K3"/>
    <s v="Pemimpin Satker"/>
    <s v="DPPT, DKEu, DMR, DPD"/>
    <m/>
    <s v="Market"/>
    <s v="FOMOBO"/>
    <s v="Proses UAT"/>
    <x v="1"/>
    <x v="9"/>
  </r>
  <r>
    <s v="P-50"/>
    <n v="9"/>
    <s v="FOMOBO"/>
    <s v="Sistem Treasuri Bank Indonesia"/>
    <s v="Upgrade versi FOMOBO"/>
    <x v="2"/>
    <x v="4"/>
    <s v="S"/>
    <s v="K3"/>
    <s v="Pemimpin Satker"/>
    <s v="DLDS"/>
    <m/>
    <s v="Market"/>
    <s v="FOMOBO"/>
    <s v="Not Started"/>
    <x v="2"/>
    <x v="9"/>
  </r>
  <r>
    <s v="P-50"/>
    <n v="10"/>
    <s v="FOMOBO"/>
    <s v="Sistem Treasuri Bank Indonesia"/>
    <s v="Penguatan FOMOBO Tahap 2"/>
    <x v="2"/>
    <x v="4"/>
    <s v="S"/>
    <s v="K3"/>
    <s v="Pemimpin Satker"/>
    <s v="DPD, DPMA, DMR, DPPT, DKeu"/>
    <m/>
    <s v="Market"/>
    <s v="FOMOBO"/>
    <s v="Not Started"/>
    <x v="2"/>
    <x v="9"/>
  </r>
  <r>
    <s v="P-51"/>
    <n v="1"/>
    <s v="BI-SILK"/>
    <s v="Pengelolaan Layanan Kas"/>
    <s v="Modernize Layanan Kas Tunai (BI-SILK)"/>
    <x v="6"/>
    <x v="3"/>
    <s v="K"/>
    <s v="K3"/>
    <s v="Pemimpin Satker"/>
    <s v="DPU"/>
    <m/>
    <s v="SP"/>
    <s v="BI-SILK"/>
    <s v="Proses Implementasi"/>
    <x v="1"/>
    <x v="1"/>
  </r>
  <r>
    <s v="P-52"/>
    <n v="1"/>
    <s v="GMMP"/>
    <s v="DCP GMMP"/>
    <s v="Implementasi Kewajiban Pemenuhan Giro RPIM pada GMMP"/>
    <x v="6"/>
    <x v="3"/>
    <s v="S"/>
    <s v="K3"/>
    <s v="Pemimpin Satker"/>
    <s v="DKMP"/>
    <m/>
    <s v="SSK"/>
    <s v="GMMP"/>
    <s v="Selesai Implementasi"/>
    <x v="3"/>
    <x v="8"/>
  </r>
  <r>
    <s v="P-52"/>
    <n v="2"/>
    <s v="GMMP"/>
    <s v="DCP GMMP"/>
    <s v="Implementasi Kewajiban Pemenuhan Giro RPIM pada GMMP-surrounding BI-SSS"/>
    <x v="6"/>
    <x v="3"/>
    <s v="S"/>
    <s v="K3"/>
    <s v="Pemimpin Satker"/>
    <s v="DKMP"/>
    <m/>
    <s v="SSK"/>
    <s v="GMMP"/>
    <s v="Selesai Implementasi"/>
    <x v="3"/>
    <x v="8"/>
  </r>
  <r>
    <s v="P-52"/>
    <n v="3"/>
    <s v="GMMP"/>
    <s v="DCP GMMP"/>
    <s v="Pemenuhan Sumber Data Komponen Perhitungan RIM dari LBUT pada GMMP"/>
    <x v="1"/>
    <x v="6"/>
    <s v="S"/>
    <s v="K3"/>
    <s v="Pemimpin Satker"/>
    <s v="DKMP"/>
    <m/>
    <s v="SSK"/>
    <s v="GMMP"/>
    <s v="Proses RBT-RBTD"/>
    <x v="1"/>
    <x v="8"/>
  </r>
  <r>
    <s v="P-52"/>
    <n v="4"/>
    <s v="GMMP"/>
    <s v="DCP GMMP"/>
    <s v="Penyesuaian Formula Pengenaan Sanksi GWM, untuk BUK dan BUS pada GMMP"/>
    <x v="1"/>
    <x v="6"/>
    <s v="S"/>
    <s v="K3"/>
    <s v="Pemimpin Satker"/>
    <s v="DKEM, DKMP, DEKS, DPKL, DIDD"/>
    <m/>
    <s v="SSK"/>
    <s v="GMMP"/>
    <s v="Proses Implementasi"/>
    <x v="1"/>
    <x v="8"/>
  </r>
  <r>
    <s v="P-52"/>
    <n v="5"/>
    <s v="GMMP"/>
    <s v="DCP GMMP"/>
    <s v="Rekonsiliasi data DPK dan Penyesuaian Perhitungan GWM Averaging d.r. Aksi Korporasi ditengah MP"/>
    <x v="1"/>
    <x v="6"/>
    <s v="S"/>
    <s v="K3"/>
    <s v="Pemimpin Satker"/>
    <s v="DKEM, DKMP,  DPKL"/>
    <m/>
    <s v="SSK"/>
    <s v="GMMP, IEA"/>
    <s v="Selesai Pengadaan"/>
    <x v="1"/>
    <x v="8"/>
  </r>
  <r>
    <s v="P-52"/>
    <n v="6"/>
    <s v="GMMP"/>
    <s v="DCP GMMP"/>
    <s v="Implementasi Kewajiban Pemenuhan Giro RPIM pada GMMP Tahap 2"/>
    <x v="6"/>
    <x v="3"/>
    <s v="S"/>
    <s v="K3"/>
    <s v="Pemimpin Satker"/>
    <s v="DKMP"/>
    <m/>
    <s v="SSK"/>
    <s v="GMMP"/>
    <s v="Selesai Implementasi"/>
    <x v="3"/>
    <x v="8"/>
  </r>
  <r>
    <s v="P-52"/>
    <n v="7"/>
    <s v="GMMP"/>
    <s v="DCP GMMP"/>
    <s v="Penyesuaian Formula Pengenaan Sanksi GWM, untuk BUK dan BUS pada GMMP - Surrounding ANTASENA"/>
    <x v="1"/>
    <x v="6"/>
    <s v="S"/>
    <s v="K3"/>
    <s v="Pemimpin Satker"/>
    <s v="DKEM, DKMP, DEKS, DPKL, DIDD"/>
    <m/>
    <s v="Moneter, SSK"/>
    <s v="GMMP"/>
    <s v="Proses Implementasi"/>
    <x v="1"/>
    <x v="8"/>
  </r>
  <r>
    <s v="P-52"/>
    <n v="8"/>
    <s v="GMMP"/>
    <s v="DCP GMMP"/>
    <s v="KLM Forward Looking Tahap 1"/>
    <x v="1"/>
    <x v="3"/>
    <s v="S"/>
    <s v="K3"/>
    <s v="Pemimpin Satker"/>
    <s v="DKMP"/>
    <m/>
    <s v="SSK"/>
    <s v="GMMP"/>
    <s v="Proses UAT"/>
    <x v="1"/>
    <x v="8"/>
  </r>
  <r>
    <s v="P-52"/>
    <n v="9"/>
    <s v="GMMP"/>
    <s v="DCP GMMP"/>
    <s v="KLM Forward Looking Tahap 2"/>
    <x v="6"/>
    <x v="6"/>
    <s v="S"/>
    <s v="K3"/>
    <s v="Pemimpin Satker"/>
    <s v="DKMP"/>
    <m/>
    <s v="SSK"/>
    <s v="GMMP"/>
    <s v="Proses Pengembangan"/>
    <x v="1"/>
    <x v="8"/>
  </r>
  <r>
    <s v="P-53"/>
    <n v="1"/>
    <s v="SISMONTAVAR"/>
    <s v="Capturing Transaksi Valas dan Rupiah"/>
    <s v="Modernize Custom Report SISMONTAVAR"/>
    <x v="6"/>
    <x v="3"/>
    <s v="K"/>
    <s v="K3"/>
    <s v="Pemimpin Satker"/>
    <s v="DLDS"/>
    <m/>
    <s v="Market"/>
    <s v="SISMONTAVAR"/>
    <s v="Selesai Implementasi"/>
    <x v="3"/>
    <x v="9"/>
  </r>
  <r>
    <s v="P-54"/>
    <n v="1"/>
    <s v="ERPHRIS"/>
    <s v="ERPHRIS"/>
    <s v="Pengelolaan Uang BI pada Modul INV - WMS di ERPHRIS"/>
    <x v="1"/>
    <x v="6"/>
    <s v="K"/>
    <s v="K3"/>
    <s v="Pemimpin Satker"/>
    <s v="DPU, DPPT"/>
    <m/>
    <s v="MI"/>
    <s v="ERPHRIS, SOA"/>
    <s v="Proses Pengembangan"/>
    <x v="1"/>
    <x v="6"/>
  </r>
  <r>
    <s v="P-54"/>
    <n v="2"/>
    <s v="ERPHRIS"/>
    <s v="ERPHRIS"/>
    <s v="Pengelolaan Keuangan BI (Prioritas 1) pada ERPHRIS"/>
    <x v="1"/>
    <x v="6"/>
    <s v="K"/>
    <s v="K3"/>
    <s v="Pemimpin Satker"/>
    <s v="DKeu"/>
    <m/>
    <s v="MI"/>
    <s v="ERPHRIS"/>
    <s v="Proses Pengembangan"/>
    <x v="1"/>
    <x v="6"/>
  </r>
  <r>
    <s v="P-54"/>
    <n v="3"/>
    <s v="ERPHRIS"/>
    <s v="ERPHRIS"/>
    <s v="Pengelolaan Keuangan BI (Prioritas 2) pada ERPHRIS"/>
    <x v="1"/>
    <x v="6"/>
    <s v="K"/>
    <s v="K3"/>
    <s v="Pemimpin Satker"/>
    <s v="DKeu"/>
    <m/>
    <s v="MI"/>
    <s v="ERPHRIS"/>
    <s v="Selesai Pengadaan"/>
    <x v="1"/>
    <x v="6"/>
  </r>
  <r>
    <s v="P-54"/>
    <n v="4"/>
    <s v="ERPHRIS"/>
    <s v="ERPHRIS"/>
    <s v="Pengelolaan Keuangan BI (Prioritas 3) pada ERPHRIS"/>
    <x v="1"/>
    <x v="4"/>
    <s v="K"/>
    <s v="K3"/>
    <s v="Pemimpin Satker"/>
    <s v="DKeu"/>
    <m/>
    <s v="MI"/>
    <s v="ERPHRIS"/>
    <s v="Selesai Pengadaan"/>
    <x v="1"/>
    <x v="6"/>
  </r>
  <r>
    <s v="P-54"/>
    <n v="5"/>
    <s v="ERPHRIS"/>
    <s v="ERPHRIS"/>
    <s v="Pengelolaan Remunerasi (Prioritas 1) pada ERPHRIS"/>
    <x v="1"/>
    <x v="3"/>
    <s v="K"/>
    <s v="K3"/>
    <s v="Pemimpin Satker"/>
    <s v="DSDM"/>
    <m/>
    <s v="MI"/>
    <s v="ERPHRIS"/>
    <s v="Proses SIT"/>
    <x v="1"/>
    <x v="6"/>
  </r>
  <r>
    <s v="P-54"/>
    <n v="6"/>
    <s v="ERPHRIS"/>
    <s v="ERPHRIS"/>
    <s v="Pengelolaan Remunerasi (Prioritas 2) pada ERPHRIS"/>
    <x v="1"/>
    <x v="6"/>
    <s v="K"/>
    <s v="K3"/>
    <s v="Pemimpin Satker"/>
    <s v="DSDM"/>
    <m/>
    <s v="MI"/>
    <s v="ERPHRIS"/>
    <s v="Selesai Pengadaan"/>
    <x v="1"/>
    <x v="6"/>
  </r>
  <r>
    <s v="P-54"/>
    <n v="7"/>
    <s v="ERPHRIS"/>
    <s v="ERPHRIS"/>
    <s v="Pengelolaan Remunerasi (Prioritas 3) pada ERPHRIS"/>
    <x v="1"/>
    <x v="4"/>
    <s v="K"/>
    <s v="K3"/>
    <s v="Pemimpin Satker"/>
    <s v="DKeu"/>
    <m/>
    <s v="MI"/>
    <s v="ERPHRIS"/>
    <s v="Selesai Pengadaan"/>
    <x v="1"/>
    <x v="6"/>
  </r>
  <r>
    <s v="P-54"/>
    <n v="8"/>
    <s v="ERPHRIS"/>
    <s v="ERPHRIS"/>
    <s v="Enhancement ERPHRIS Prioritas "/>
    <x v="6"/>
    <x v="3"/>
    <s v="K"/>
    <s v="K3"/>
    <s v="Pemimpin Satker"/>
    <s v="Dkeu, DSDM, DPU"/>
    <m/>
    <s v="MI"/>
    <s v="ERPHRIS"/>
    <s v="Selesai Implementasi"/>
    <x v="3"/>
    <x v="6"/>
  </r>
  <r>
    <s v="P-54"/>
    <n v="9"/>
    <s v="ERPHRIS"/>
    <s v="ERPHRIS"/>
    <s v="Penyesuaian Tarif PPN 12%"/>
    <x v="1"/>
    <x v="3"/>
    <s v="K"/>
    <s v="K3"/>
    <s v="Pemimpin Satker"/>
    <s v="DKeu"/>
    <m/>
    <s v="MI"/>
    <s v="ERPHRIS"/>
    <s v="Selesai Implementasi"/>
    <x v="3"/>
    <x v="6"/>
  </r>
  <r>
    <s v="P-55"/>
    <n v="1"/>
    <s v="BI-SSS"/>
    <s v="Surveilance Supervision System"/>
    <s v="Enh. sistem surveillance BI pada BI-SSS"/>
    <x v="1"/>
    <x v="3"/>
    <s v="K"/>
    <s v="K3"/>
    <s v="Pemimpin Satker"/>
    <s v="DSMM"/>
    <s v="WG-6"/>
    <s v="SSK"/>
    <s v="BI-SSS"/>
    <s v="Selesai Implementasi"/>
    <x v="3"/>
    <x v="8"/>
  </r>
  <r>
    <s v="P-55"/>
    <n v="2"/>
    <s v="BI-SSS"/>
    <s v="Surveilance Supervision System"/>
    <s v="Digitalisasi Asesmen TIKMI"/>
    <x v="1"/>
    <x v="6"/>
    <s v="K"/>
    <s v="K3"/>
    <s v="Pemimpin Satker"/>
    <s v="DSMM"/>
    <s v="WG-6"/>
    <s v="SSK"/>
    <s v="BI-SSS"/>
    <s v="Proses Pengadaan"/>
    <x v="1"/>
    <x v="8"/>
  </r>
  <r>
    <s v="P-55"/>
    <n v="3"/>
    <s v="BI-SSS"/>
    <s v="Surveilance Supervision System"/>
    <s v="Pemrosesan PLJP/PLJPS v1.2 "/>
    <x v="1"/>
    <x v="6"/>
    <s v="K"/>
    <s v="K3"/>
    <s v="Pemimpin Satker"/>
    <s v="DSMM"/>
    <s v="WG-6"/>
    <s v="SSK"/>
    <s v="BI-SSS"/>
    <s v="Proses Pengadaan"/>
    <x v="1"/>
    <x v="8"/>
  </r>
  <r>
    <s v="P-55"/>
    <n v="4"/>
    <s v="BI-SSS"/>
    <s v="Surveilance Supervision System"/>
    <s v="Modernize BI-SSS"/>
    <x v="1"/>
    <x v="4"/>
    <s v="K"/>
    <s v="K3"/>
    <s v="Pemimpin Satker"/>
    <s v="DSMM"/>
    <s v="WG-6"/>
    <s v="SSK"/>
    <s v="BI-SSS"/>
    <s v="Proses RBT-RBL"/>
    <x v="2"/>
    <x v="8"/>
  </r>
  <r>
    <s v="P-55"/>
    <n v="5"/>
    <s v="BI-SSS"/>
    <s v="Surveilance Supervision System"/>
    <s v="Digitalisasi TIKMI - Key Survey "/>
    <x v="6"/>
    <x v="3"/>
    <m/>
    <s v="K3"/>
    <s v="Pemimpin Satker"/>
    <s v="DSMM"/>
    <s v="WG-6"/>
    <s v="SSK"/>
    <s v="Key Survey "/>
    <s v="Proses SIT"/>
    <x v="1"/>
    <x v="8"/>
  </r>
  <r>
    <s v="P-57"/>
    <n v="1"/>
    <s v="CRM BICARA"/>
    <s v="Customer Relationship Management (BICARA)"/>
    <s v="Penyesuaian aplikasi CRM Bicara untuk mendukung Implementas Lembaga Alternatif Penyelesaian Sengketa di Sektor Keuangan (LAPS-SK) Tahap 1"/>
    <x v="1"/>
    <x v="6"/>
    <s v="K"/>
    <s v="K3"/>
    <s v="Pemimpin Satker"/>
    <s v="DSPK, DKOM"/>
    <m/>
    <s v="MI"/>
    <s v="BICARA"/>
    <s v="Proses RBT-RBL"/>
    <x v="1"/>
    <x v="4"/>
  </r>
  <r>
    <s v="P-58"/>
    <n v="1"/>
    <s v="Integrasi Survei"/>
    <s v="Integrasi Survei"/>
    <s v="Modernize Integrasi Survei Tahap 1"/>
    <x v="1"/>
    <x v="4"/>
    <s v="K"/>
    <s v="K3"/>
    <s v="Pemimpin Satker"/>
    <s v="DSta"/>
    <m/>
    <s v="Moneter"/>
    <s v="Integrasi Survei"/>
    <s v="Proses KAK"/>
    <x v="1"/>
    <x v="4"/>
  </r>
  <r>
    <s v="P-58"/>
    <n v="2"/>
    <s v="Integrasi Survei"/>
    <s v="Integrasi Survei"/>
    <s v="Modernize Integrasi Survei Tahap 2"/>
    <x v="2"/>
    <x v="4"/>
    <s v="K"/>
    <s v="K3"/>
    <s v="Pemimpin Satker"/>
    <s v="DSta"/>
    <m/>
    <s v="Moneter"/>
    <s v="Integrasi Survei"/>
    <s v="Not Started"/>
    <x v="2"/>
    <x v="4"/>
  </r>
  <r>
    <s v="P-58"/>
    <n v="3"/>
    <s v="Integrasi Survei"/>
    <s v="Integrasi Survei"/>
    <s v="Modernize Integrasi Survei Tahap 3"/>
    <x v="3"/>
    <x v="1"/>
    <s v="K"/>
    <s v="K3"/>
    <s v="Pemimpin Satker"/>
    <s v="Dsta"/>
    <m/>
    <s v="Moneter"/>
    <s v="Integrasi Survei"/>
    <s v="Not Started"/>
    <x v="2"/>
    <x v="4"/>
  </r>
  <r>
    <s v="P-59"/>
    <n v="1"/>
    <s v="SI BI-SSSS"/>
    <s v="Reporting BI-SSSS"/>
    <s v="Modernize (rewrite) SI BI-SSSS"/>
    <x v="1"/>
    <x v="6"/>
    <s v="K"/>
    <s v="K3"/>
    <s v="Pemimpin Satker"/>
    <s v="DPSP, DLDS"/>
    <m/>
    <s v="Market"/>
    <s v="SI BI-SSSS"/>
    <s v="Not Started"/>
    <x v="2"/>
    <x v="2"/>
  </r>
  <r>
    <s v="P-60"/>
    <n v="1"/>
    <s v="CBS"/>
    <s v="Core Banking System Gen II"/>
    <s v="Modernize Core Banking System (CBS)"/>
    <x v="1"/>
    <x v="1"/>
    <s v="S"/>
    <s v="K2"/>
    <s v="RDG"/>
    <s v="DPPT, DPU"/>
    <s v="WG-2"/>
    <s v="SP"/>
    <s v="CBS"/>
    <s v="Proses RBT-RBL"/>
    <x v="1"/>
    <x v="10"/>
  </r>
  <r>
    <s v="P-61"/>
    <n v="1"/>
    <s v="Learning Management System (LMS)"/>
    <s v="Learning Management System"/>
    <s v="Enh. aplikasi Learning Management System (LMS) Tahap 1"/>
    <x v="6"/>
    <x v="3"/>
    <s v="K"/>
    <s v="K3"/>
    <s v="Pemimpin Satker"/>
    <s v="BINS"/>
    <m/>
    <s v="MI"/>
    <s v="LMS-BI"/>
    <s v="Selesai Implementasi"/>
    <x v="3"/>
    <x v="7"/>
  </r>
  <r>
    <s v="P-61"/>
    <n v="2"/>
    <s v="Learning Management System (LMS)"/>
    <s v="Learning Management System"/>
    <s v="Integrasi LMS-BI dan HRIS"/>
    <x v="1"/>
    <x v="3"/>
    <s v="K"/>
    <s v="K3"/>
    <s v="Pemimpin Satker"/>
    <s v="BINS"/>
    <m/>
    <s v="MI"/>
    <s v="LMS-BI"/>
    <s v="Proses Pengembangan"/>
    <x v="1"/>
    <x v="7"/>
  </r>
  <r>
    <s v="P-61"/>
    <n v="3"/>
    <s v="Learning Management System (LMS)"/>
    <s v="Learning Management System"/>
    <s v="Integrasi LMS-BI dan HR Super Apps"/>
    <x v="1"/>
    <x v="6"/>
    <s v="K"/>
    <s v="K3"/>
    <s v="Pemimpin Satker"/>
    <s v="BINS"/>
    <m/>
    <s v="MI"/>
    <s v="LMS-BI"/>
    <s v="Proses Pengembangan"/>
    <x v="1"/>
    <x v="7"/>
  </r>
  <r>
    <s v="P-61"/>
    <n v="4"/>
    <s v="Learning Management System (LMS)"/>
    <s v="Learning Management System"/>
    <s v="Enh. aplikasi Learning Management System (LMS) Tahap 3"/>
    <x v="2"/>
    <x v="6"/>
    <s v="K"/>
    <s v="K3"/>
    <s v="Pemimpin Satker"/>
    <s v="BINS"/>
    <m/>
    <s v="MI"/>
    <s v="LMS-BI"/>
    <s v="Not Started"/>
    <x v="2"/>
    <x v="7"/>
  </r>
  <r>
    <s v="P-61"/>
    <n v="5"/>
    <s v="Learning Management System (LMS)"/>
    <s v="Learning Management System"/>
    <s v="Enh. aplikasi Learning Management System (LMS) Tahap 4"/>
    <x v="2"/>
    <x v="4"/>
    <s v="K"/>
    <s v="K3"/>
    <s v="Pemimpin Satker"/>
    <s v="BINS"/>
    <m/>
    <s v="MI"/>
    <s v="LMS-BI"/>
    <s v="Not Started"/>
    <x v="2"/>
    <x v="7"/>
  </r>
  <r>
    <s v="P-62"/>
    <n v="1"/>
    <s v="EASE"/>
    <s v="Sistem Perizinan Bank Indonesia"/>
    <s v="Modernize Sistem Perizinan (E-Licensing) "/>
    <x v="6"/>
    <x v="3"/>
    <s v="K"/>
    <s v="K3"/>
    <s v="Pemimpin Satker"/>
    <s v="DPPT"/>
    <m/>
    <s v="SSK"/>
    <s v="EASE"/>
    <s v="Selesai Implementasi"/>
    <x v="3"/>
    <x v="7"/>
  </r>
  <r>
    <s v="P-62"/>
    <n v="2"/>
    <s v="EASE"/>
    <s v="Sistem Perizinan Bank Indonesia"/>
    <s v="Enhacement Otomasi dan Optimalisasi Perizinan"/>
    <x v="1"/>
    <x v="6"/>
    <s v="K"/>
    <s v="K3"/>
    <s v="Pemimpin Satker"/>
    <s v="DPPT"/>
    <m/>
    <s v="SSK"/>
    <s v="EASE"/>
    <s v="Proses Pengembangan"/>
    <x v="1"/>
    <x v="8"/>
  </r>
  <r>
    <s v="P-62"/>
    <n v="3"/>
    <s v="EASE"/>
    <s v="Sistem Perizinan Bank Indonesia"/>
    <s v="Pengembangan Perizinan KUPVA BB"/>
    <x v="2"/>
    <x v="6"/>
    <s v="K"/>
    <s v="K3"/>
    <s v="Pemimpin Satker"/>
    <s v="DPPT"/>
    <m/>
    <s v="SSK"/>
    <s v="EASE"/>
    <n v="0"/>
    <x v="2"/>
    <x v="8"/>
  </r>
  <r>
    <s v="P-63"/>
    <n v="1"/>
    <s v="ANTASENA LBUT"/>
    <s v="ANTASENA - LBUT"/>
    <s v="Enhancement Antasena LBUT Tahap 1 "/>
    <x v="6"/>
    <x v="3"/>
    <s v="K"/>
    <s v="K3"/>
    <s v="Pemimpin Satker"/>
    <s v="DIDD, DSta"/>
    <m/>
    <s v="Moneter"/>
    <s v="ANTASENA "/>
    <s v="Selesai Implementasi"/>
    <x v="3"/>
    <x v="3"/>
  </r>
  <r>
    <s v="P-63"/>
    <n v="2"/>
    <s v="ANTASENA LBUT"/>
    <s v="ANTASENA - LBUT"/>
    <s v="Pengiriman data LBUT ke OJK dan LPS"/>
    <x v="1"/>
    <x v="3"/>
    <s v="K"/>
    <s v="K3"/>
    <s v="Pemimpin Satker"/>
    <s v="DKMP, DIDD"/>
    <m/>
    <s v="Moneter"/>
    <s v="ANTASENA, IEA"/>
    <s v="Proses SIT"/>
    <x v="1"/>
    <x v="3"/>
  </r>
  <r>
    <s v="P-63"/>
    <n v="3"/>
    <s v="ANTASENA LBUT"/>
    <s v="ANTASENA - LBUT"/>
    <s v="Penguatan LBUT untuk STP Tahap 1"/>
    <x v="1"/>
    <x v="6"/>
    <s v="K"/>
    <s v="K3"/>
    <s v="Pemimpin Satker"/>
    <s v="Dsta, DPKL, DIDD"/>
    <m/>
    <s v="Moneter"/>
    <s v="ANTASENA "/>
    <s v="Proses RPP"/>
    <x v="1"/>
    <x v="3"/>
  </r>
  <r>
    <s v="P-63"/>
    <n v="4"/>
    <s v="ANTASENA LBUT"/>
    <s v="ANTASENA - LBUT"/>
    <s v="Digitalisasi Laporan Offline (LBUT - RPIM &amp; PJP/PIP)"/>
    <x v="2"/>
    <x v="4"/>
    <s v="K"/>
    <s v="K3"/>
    <s v="Pemimpin Satker"/>
    <s v="DSta, DIDD, _x000b_DSPK, DSMM"/>
    <m/>
    <s v="Moneter"/>
    <s v="ANTASENA"/>
    <s v="Not Started"/>
    <x v="2"/>
    <x v="3"/>
  </r>
  <r>
    <s v="P-63"/>
    <n v="5"/>
    <s v="ANTASENA LBUT"/>
    <s v="ANTASENA - LBUT"/>
    <s v="Enhancement Antasena LBUT Tahap 2"/>
    <x v="6"/>
    <x v="3"/>
    <s v="K"/>
    <s v="K3"/>
    <s v="Pemimpin Satker"/>
    <s v="DIDD, DSta"/>
    <m/>
    <s v="Moneter"/>
    <s v="ANTASENA "/>
    <s v="Selesai Implementasi"/>
    <x v="3"/>
    <x v="3"/>
  </r>
  <r>
    <s v="P-63"/>
    <n v="6"/>
    <s v="ANTASENA LBUT"/>
    <s v="ANTASENA - LBUT"/>
    <s v="Enhancement Antasena LBUT Tahap 3"/>
    <x v="6"/>
    <x v="3"/>
    <s v="K"/>
    <s v="K3"/>
    <s v="Pemimpin Satker"/>
    <s v="DSta, DPKL, DIDD"/>
    <m/>
    <s v="Moneter"/>
    <s v="ANTASENA"/>
    <s v="Proses SIT"/>
    <x v="1"/>
    <x v="3"/>
  </r>
  <r>
    <s v="P-63"/>
    <n v="7"/>
    <s v="ANTASENA LBUT"/>
    <s v="ANTASENA - LBUT"/>
    <s v="Enhancement Antasena LBUT : Fleksibilitas Metadata"/>
    <x v="6"/>
    <x v="3"/>
    <s v="K"/>
    <s v="K3"/>
    <s v="Pemimpin Satker"/>
    <s v="DSta, DPKL, DIDD"/>
    <m/>
    <s v="Moneter"/>
    <s v="ANTASENA"/>
    <s v="Selesai Implementasi"/>
    <x v="3"/>
    <x v="3"/>
  </r>
  <r>
    <s v="P-63"/>
    <n v="8"/>
    <s v="ANTASENA LBUT"/>
    <s v="ANTASENA - LBUT"/>
    <s v="Enhancement Antasena LBUT : Retensi Data"/>
    <x v="6"/>
    <x v="6"/>
    <s v="K"/>
    <s v="K3"/>
    <s v="Pemimpin Satker"/>
    <s v="DLDS, DIDD, DSta, DPKL"/>
    <m/>
    <s v="Moneter"/>
    <s v="ANTASENA"/>
    <s v="Not Started"/>
    <x v="2"/>
    <x v="3"/>
  </r>
  <r>
    <s v="P-63"/>
    <n v="9"/>
    <s v="ANTASENA LBUT"/>
    <s v="ANTASENA - LBUT"/>
    <s v="Penguatan LBUT untuk STP Tahap 2"/>
    <x v="2"/>
    <x v="1"/>
    <s v="K"/>
    <s v="K3"/>
    <s v="Pemimpin Satker"/>
    <s v="DSta, DPKL, DIDD"/>
    <m/>
    <s v="Moneter"/>
    <s v="ANTASENA"/>
    <s v="Not Started"/>
    <x v="2"/>
    <x v="3"/>
  </r>
  <r>
    <s v="P-63"/>
    <n v="10"/>
    <s v="ANTASENA LBUT"/>
    <s v="ANTASENA - LBUT"/>
    <s v="Pengembangan  capturing LBUT dan LLD Terintegrasi"/>
    <x v="2"/>
    <x v="1"/>
    <s v="K"/>
    <s v="K3"/>
    <s v="Pemimpin Satker"/>
    <s v="DSta,DIDD"/>
    <m/>
    <s v="Moneter"/>
    <m/>
    <n v="0"/>
    <x v="2"/>
    <x v="0"/>
  </r>
  <r>
    <s v="P-64"/>
    <n v="1"/>
    <s v="Enhancement SIUMBI"/>
    <s v="Sistem UMKM"/>
    <s v="SIUMBI:  Pengelolaan Informasi Ketahanan Pangan pada SIKEPANG (Sistem Informasi Ketahanan Pangan)"/>
    <x v="6"/>
    <x v="3"/>
    <s v="U"/>
    <s v="K3 "/>
    <s v="Pemimpin Satker"/>
    <s v="DEIH"/>
    <m/>
    <s v="SSK"/>
    <s v="SIKEPANG"/>
    <s v="Selesai Implementasi"/>
    <x v="3"/>
    <x v="8"/>
  </r>
  <r>
    <s v="P-64"/>
    <m/>
    <s v="Enhancement SIUMBI"/>
    <s v="Sistem UMKM"/>
    <s v="Enhancement SIUMBI Modul SIAPIK"/>
    <x v="1"/>
    <x v="4"/>
    <s v="U"/>
    <s v="K3 "/>
    <s v="Pemimpin Satker"/>
    <s v="DEIH"/>
    <m/>
    <s v="SSK"/>
    <s v="SIUMBI"/>
    <s v="Not Started"/>
    <x v="2"/>
    <x v="8"/>
  </r>
  <r>
    <s v="P-65"/>
    <n v="1"/>
    <s v="Modernize BI Counterfeit Analysis Center "/>
    <s v="Reporting Pengelolaan Layanan Kas"/>
    <s v="Modernize BI Counterfeit Analysis Center "/>
    <x v="2"/>
    <x v="4"/>
    <s v="U"/>
    <s v="K3"/>
    <s v="Pemimpin Satker"/>
    <s v="DPU"/>
    <m/>
    <s v="SP"/>
    <s v="BI CAC Gen 2"/>
    <s v="Not Started"/>
    <x v="2"/>
    <x v="1"/>
  </r>
  <r>
    <s v="P-66"/>
    <n v="1"/>
    <s v="Legal Information Management System (LIMS)"/>
    <s v="Legal Information Management System"/>
    <s v="Enh. Legal Information Management System (LIMS)"/>
    <x v="1"/>
    <x v="4"/>
    <s v="U"/>
    <s v="K3"/>
    <s v="Pemimpin Satker"/>
    <s v="DHk"/>
    <m/>
    <s v="MI"/>
    <s v="LIMS"/>
    <s v="Proses RBT-RBTD"/>
    <x v="1"/>
    <x v="7"/>
  </r>
  <r>
    <s v="P-67"/>
    <n v="1"/>
    <s v="WBS"/>
    <s v="Whisle Blowing System"/>
    <s v="Modernize WBS"/>
    <x v="2"/>
    <x v="1"/>
    <s v="U"/>
    <s v="K3"/>
    <s v="Pemimpin Satker"/>
    <s v="DAI, DLDS"/>
    <m/>
    <s v="MI"/>
    <s v="WBS"/>
    <s v="Not Started"/>
    <x v="2"/>
    <x v="7"/>
  </r>
  <r>
    <s v="P-68"/>
    <n v="1"/>
    <s v="BI-RMS"/>
    <s v="Record Management System"/>
    <s v="Modernize BI-RMS"/>
    <x v="2"/>
    <x v="2"/>
    <s v="U"/>
    <s v="K3"/>
    <s v="Pemimpin Satker"/>
    <s v="DLAF, DLDS"/>
    <m/>
    <s v="MI"/>
    <s v="BI-RMS"/>
    <s v="Not Started"/>
    <x v="2"/>
    <x v="7"/>
  </r>
  <r>
    <s v="P-69"/>
    <n v="1"/>
    <s v="BI-SIAP "/>
    <s v="Sistem Presensi Pegawai"/>
    <s v="Modernize dan Enhancement BI-SIAP "/>
    <x v="1"/>
    <x v="4"/>
    <s v="U"/>
    <s v="K3"/>
    <s v="Pemimpin Satker"/>
    <s v="DSDM, DLDS"/>
    <m/>
    <s v="MI"/>
    <s v="BI-SIAP"/>
    <s v="Proses RBT-RBTD"/>
    <x v="1"/>
    <x v="4"/>
  </r>
  <r>
    <s v="P-70"/>
    <n v="1"/>
    <s v="Legacy ISO 20022"/>
    <s v="Implementasi ISO 20022"/>
    <s v="Legacy ISO 20022: CBS"/>
    <x v="6"/>
    <x v="3"/>
    <s v="S"/>
    <s v="K3"/>
    <s v="Pemimpin Satker"/>
    <s v="DPPT"/>
    <m/>
    <s v="SP"/>
    <s v="CBS"/>
    <s v="Selesai Implementasi"/>
    <x v="3"/>
    <x v="1"/>
  </r>
  <r>
    <s v="P-70"/>
    <n v="2"/>
    <s v="Legacy ISO 20022"/>
    <s v="Implementasi ISO 20022"/>
    <s v="Legacy ISO 20022: ERPHRIS"/>
    <x v="6"/>
    <x v="3"/>
    <s v="S"/>
    <s v="KE"/>
    <s v="Pemimpin Satker"/>
    <s v="DLDS"/>
    <m/>
    <s v="MI"/>
    <s v="ERPHRIS"/>
    <s v="Selesai Implementasi"/>
    <x v="3"/>
    <x v="6"/>
  </r>
  <r>
    <s v="P-71"/>
    <n v="1"/>
    <s v="NCP"/>
    <s v="Sistem Treasuri Bank Indonesia - NCP"/>
    <s v="Enhancement NCP Laporan Perhitungan Valas "/>
    <x v="6"/>
    <x v="3"/>
    <s v="K"/>
    <s v="K3"/>
    <s v="Pemimpin Satker"/>
    <s v="DKeu"/>
    <m/>
    <s v="Market"/>
    <s v="BI-NCP"/>
    <s v="Selesai Implementasi"/>
    <x v="3"/>
    <x v="9"/>
  </r>
  <r>
    <s v="P-71"/>
    <n v="1"/>
    <s v="NCP"/>
    <s v="Sistem Treasuri Bank Indonesia - NCP"/>
    <s v="Enhancement NCP fungsi rekalkulasi _x000a_atas reversal incremental"/>
    <x v="1"/>
    <x v="3"/>
    <s v="K"/>
    <s v="K3"/>
    <s v="Pemimpin Satker"/>
    <s v="DKeu"/>
    <m/>
    <s v="Market"/>
    <s v="BI-NCP"/>
    <s v="Selesai Implementasi"/>
    <x v="3"/>
    <x v="9"/>
  </r>
  <r>
    <s v="P-72"/>
    <n v="1"/>
    <s v="BI-ALK "/>
    <s v="Pengelolaan Layanan Kas - Antrian"/>
    <s v="Pengelolaan Layanan Antrian Kas pada BI-ALK "/>
    <x v="6"/>
    <x v="3"/>
    <s v="K"/>
    <s v="K3"/>
    <s v="Pemimpin Satker"/>
    <s v="DPU"/>
    <m/>
    <s v="SP"/>
    <s v="BI-ALK"/>
    <s v="Selesai Implementasi"/>
    <x v="3"/>
    <x v="1"/>
  </r>
  <r>
    <s v="P-73"/>
    <n v="1"/>
    <s v="JDIH"/>
    <s v="Portal Jaringan Dokumentasi dan Informasi Hukum (JDIH)"/>
    <s v="Layanan Informasi Dokumen Hukum berbasis Web pada JDIH"/>
    <x v="6"/>
    <x v="3"/>
    <s v="U"/>
    <s v="K1"/>
    <s v="Pemimpin Satker"/>
    <s v="DHk"/>
    <m/>
    <s v="MI"/>
    <s v="JDIH"/>
    <s v="Selesai Implementasi"/>
    <x v="3"/>
    <x v="7"/>
  </r>
  <r>
    <s v="P-73"/>
    <n v="2"/>
    <s v="JDIH"/>
    <s v="Portal Jaringan Dokumentasi dan Informasi Hukum (JDIH)"/>
    <s v="Integrasi LIMS dengan JDIH"/>
    <x v="6"/>
    <x v="3"/>
    <s v="U"/>
    <s v="K3"/>
    <s v="Pemimpin Satker"/>
    <s v="DHk"/>
    <m/>
    <s v="MI"/>
    <s v="JDIH"/>
    <s v="Selesai Implementasi"/>
    <x v="3"/>
    <x v="7"/>
  </r>
  <r>
    <s v="P-74"/>
    <n v="1"/>
    <s v="BI-ETP"/>
    <s v="BI-ETP"/>
    <s v="Enh BI-ETP Penyediaan Informasi Investor Asing (Tindak Lanjut FORHAR)"/>
    <x v="3"/>
    <x v="1"/>
    <s v="S"/>
    <s v="K3"/>
    <s v="Pemimpin Satker"/>
    <s v="DPPK, DPMA, DPPT, DPSP"/>
    <m/>
    <s v="Market"/>
    <s v="BI-ETP"/>
    <s v="Not Started"/>
    <x v="2"/>
    <x v="2"/>
  </r>
  <r>
    <s v="P-74"/>
    <n v="2"/>
    <s v="BI-ETP"/>
    <s v="BI-ETP"/>
    <s v="Enhancement  Untuk Fitur Pengiriman Hasil Lelang Berbagai Jenis Bids (Termasuk Incoming Non-competitive Bids)"/>
    <x v="6"/>
    <x v="3"/>
    <s v="S"/>
    <s v="K3"/>
    <s v="Pemimpin Satker"/>
    <s v="DPPK, DPSP, DPMA"/>
    <m/>
    <s v="Market"/>
    <s v="B-ETP, BI-ETP Alternate"/>
    <s v="Selesai Implementasi"/>
    <x v="3"/>
    <x v="2"/>
  </r>
  <r>
    <s v="P-75"/>
    <n v="1"/>
    <s v="ANTASENA Non Bank "/>
    <s v="ANTASENA - Non Bank"/>
    <s v="Enh. Aplikasi Pelaporan Online SK SP - Tahap 2"/>
    <x v="6"/>
    <x v="3"/>
    <s v="K"/>
    <s v="K3"/>
    <s v="Pemimpin Satker"/>
    <s v="DIDD, DSta"/>
    <m/>
    <s v="Moneter"/>
    <s v="ANTASENA"/>
    <s v="Selesai Implementasi"/>
    <x v="3"/>
    <x v="3"/>
  </r>
  <r>
    <s v="P-75"/>
    <n v="2"/>
    <s v="ANTASENA Non Bank "/>
    <s v="ANTASENA - Non Bank"/>
    <s v="Enhancement PJPUR"/>
    <x v="2"/>
    <x v="6"/>
    <s v="K"/>
    <s v="K3"/>
    <s v="Pemimpin Satker"/>
    <s v="Dsta, DPKL"/>
    <m/>
    <s v="Moneter"/>
    <s v="PJPUR"/>
    <s v="Not Started"/>
    <x v="2"/>
    <x v="3"/>
  </r>
  <r>
    <s v="P-75"/>
    <n v="3"/>
    <s v="ANTASENA Non Bank "/>
    <s v="ANTASENA - Non Bank"/>
    <s v="Penguatan ANTASENA Non Bank untuk STP (PJPUR, UKA, Tresury, SK SP)"/>
    <x v="3"/>
    <x v="2"/>
    <s v="K"/>
    <s v="K3"/>
    <s v="Pemimpin Satker"/>
    <s v="DSta, DPKL, DIDD"/>
    <m/>
    <s v="Moneter"/>
    <s v="ANTASENA "/>
    <s v="Not Started"/>
    <x v="2"/>
    <x v="3"/>
  </r>
  <r>
    <s v="P-81"/>
    <n v="1"/>
    <s v="Dashboard Operasional BI-SSSS &amp; BI- RTGS "/>
    <s v="Reporting Operasional BI-SSSS &amp; BI-RTGS"/>
    <s v="Dashboard Operasional BI-SSSS &amp; BI- RTGS Tahap 1"/>
    <x v="6"/>
    <x v="3"/>
    <s v="S"/>
    <s v="K3"/>
    <s v="Pemimpin Satker"/>
    <s v="DPSP"/>
    <m/>
    <s v="Market, SP "/>
    <s v="BI-SSSS, BI-RTGS"/>
    <s v="Proses UAT"/>
    <x v="1"/>
    <x v="1"/>
  </r>
  <r>
    <s v="P-81"/>
    <n v="2"/>
    <s v="Dashboard Operasional BI-SSSS &amp; BI- RTGS "/>
    <s v="Reporting Operasional BI-SSSS &amp; BI-RTGS"/>
    <s v="Dashboard Operasional BI-SSSS &amp; BI- RTGS Tahap 2"/>
    <x v="2"/>
    <x v="6"/>
    <s v="S"/>
    <s v="K3"/>
    <s v="Pemimpin Satker"/>
    <s v="DPSP"/>
    <m/>
    <s v="Market, SP "/>
    <s v="BI-SSSS, BI-RTGS"/>
    <s v="Not Started"/>
    <x v="2"/>
    <x v="1"/>
  </r>
  <r>
    <s v="P-85"/>
    <n v="1"/>
    <s v="IPM Superapps"/>
    <s v="IPM Apps"/>
    <s v="Enhancement Aplikasi Legacy (ERPHRIS) IPM Superapps Tahap I (Des)"/>
    <x v="7"/>
    <x v="7"/>
    <s v="K"/>
    <s v="K3"/>
    <s v="Pemimpin Satker"/>
    <s v="DMST, DKeu, DHk, DIDD"/>
    <m/>
    <s v="MI"/>
    <s v="ERPHRIS"/>
    <n v="0"/>
    <x v="4"/>
    <x v="0"/>
  </r>
  <r>
    <s v="P-85"/>
    <n v="1"/>
    <s v="IPM Superapps"/>
    <s v="IPM Apps"/>
    <s v="Enhancement Aplikasi Legacy (ERPHRIS) IPM Superapps Tahap II (Jan)"/>
    <x v="7"/>
    <x v="7"/>
    <s v="K"/>
    <s v="K3"/>
    <s v="Pemimpin Satker"/>
    <s v="DMST, DKeu, DHk, DIDD"/>
    <m/>
    <s v="MI"/>
    <s v="ERPHRIS"/>
    <n v="0"/>
    <x v="4"/>
    <x v="0"/>
  </r>
  <r>
    <s v="P-85"/>
    <n v="1"/>
    <s v="IPM Superapps"/>
    <s v="IPM Apps"/>
    <s v="Enhancement Aplikasi Legacy (ERPHRIS) IPM Superapps Tahap III"/>
    <x v="1"/>
    <x v="6"/>
    <s v="K"/>
    <s v="K3"/>
    <s v="Pemimpin Satker"/>
    <s v="DMST, DKeu, DHk, DIDD"/>
    <s v="WG-4"/>
    <s v="MI"/>
    <s v="ERPHRIS, LIMS"/>
    <s v="Proses RBT-RBL"/>
    <x v="1"/>
    <x v="6"/>
  </r>
  <r>
    <s v="P-88"/>
    <n v="1"/>
    <s v="PINTAR"/>
    <s v="Pengelolaan Penukaran Uang Tunai"/>
    <s v="Enhancement aplikasi PINTAR"/>
    <x v="2"/>
    <x v="6"/>
    <s v="U"/>
    <s v="K3"/>
    <s v="Pemimpin Satker"/>
    <s v="DPU"/>
    <m/>
    <s v="SP"/>
    <s v="PINTAR"/>
    <s v="Not Started"/>
    <x v="2"/>
    <x v="1"/>
  </r>
  <r>
    <s v="P-89"/>
    <n v="1"/>
    <s v="Framework Pengelolaan Cadev 5.0"/>
    <s v="Enhancement Sistem Treasuri Bank Indonesia mendukung Cadev 5.0"/>
    <s v="Penyesuaian Komposisi Portofolio Hierarchy"/>
    <x v="1"/>
    <x v="3"/>
    <s v="S"/>
    <s v="K3"/>
    <s v="Pemimpin Satker"/>
    <s v="DPD,DMR, DPPT, DIDD"/>
    <m/>
    <s v="Market"/>
    <s v="FOMOBO"/>
    <s v="Proses UAT"/>
    <x v="1"/>
    <x v="9"/>
  </r>
  <r>
    <s v="P-90"/>
    <n v="1"/>
    <s v="KKI"/>
    <s v="Enhancement Sistem Treasuri Bank Indonesia mendukung KKI"/>
    <s v="Kerjasama Keuangan Internasional KKI"/>
    <x v="2"/>
    <x v="6"/>
    <s v="S"/>
    <s v="K3"/>
    <s v="Pemimpin Satker"/>
    <s v="DPD, DPPT, DInt,  DPMA, DKeu"/>
    <m/>
    <s v="Market"/>
    <s v="FOMOBO"/>
    <s v="Not Started"/>
    <x v="2"/>
    <x v="9"/>
  </r>
  <r>
    <s v="P-91"/>
    <n v="1"/>
    <s v="SKNBI"/>
    <s v="Penguatan SKNBI"/>
    <s v="Penguatan SKNBI"/>
    <x v="2"/>
    <x v="1"/>
    <s v="S"/>
    <s v="K3"/>
    <s v="Pemimpin Satker"/>
    <s v="DLDS, DKSP, DPSP"/>
    <m/>
    <s v="SP"/>
    <s v="SKNBI"/>
    <s v="Not Started"/>
    <x v="2"/>
    <x v="1"/>
  </r>
  <r>
    <s v="P-92"/>
    <n v="1"/>
    <s v="Enhancement PAPEDA"/>
    <s v="Enhancement Perolehan dan Pemanfaatan Data"/>
    <s v="Enhancement Perolehan dan Pemanfaatan Data"/>
    <x v="2"/>
    <x v="4"/>
    <s v="K"/>
    <s v="K3"/>
    <m/>
    <s v="DPKL"/>
    <m/>
    <s v="SSK"/>
    <s v="PAPEDA"/>
    <s v="Not Started"/>
    <x v="2"/>
    <x v="8"/>
  </r>
  <r>
    <m/>
    <m/>
    <m/>
    <m/>
    <m/>
    <x v="7"/>
    <x v="7"/>
    <m/>
    <m/>
    <m/>
    <m/>
    <m/>
    <m/>
    <m/>
    <m/>
    <x v="4"/>
    <x v="0"/>
  </r>
  <r>
    <m/>
    <m/>
    <m/>
    <m/>
    <m/>
    <x v="7"/>
    <x v="7"/>
    <m/>
    <m/>
    <m/>
    <m/>
    <m/>
    <m/>
    <m/>
    <m/>
    <x v="4"/>
    <x v="0"/>
  </r>
  <r>
    <m/>
    <m/>
    <m/>
    <m/>
    <m/>
    <x v="7"/>
    <x v="7"/>
    <m/>
    <m/>
    <m/>
    <m/>
    <m/>
    <m/>
    <m/>
    <m/>
    <x v="4"/>
    <x v="0"/>
  </r>
  <r>
    <m/>
    <m/>
    <m/>
    <m/>
    <m/>
    <x v="8"/>
    <x v="7"/>
    <m/>
    <m/>
    <m/>
    <m/>
    <m/>
    <m/>
    <m/>
    <m/>
    <x v="4"/>
    <x v="0"/>
  </r>
  <r>
    <m/>
    <m/>
    <m/>
    <m/>
    <m/>
    <x v="9"/>
    <x v="7"/>
    <m/>
    <m/>
    <m/>
    <m/>
    <m/>
    <m/>
    <m/>
    <m/>
    <x v="4"/>
    <x v="0"/>
  </r>
  <r>
    <m/>
    <m/>
    <m/>
    <m/>
    <m/>
    <x v="8"/>
    <x v="7"/>
    <m/>
    <m/>
    <m/>
    <m/>
    <m/>
    <m/>
    <m/>
    <m/>
    <x v="4"/>
    <x v="0"/>
  </r>
  <r>
    <m/>
    <m/>
    <m/>
    <m/>
    <m/>
    <x v="9"/>
    <x v="7"/>
    <m/>
    <m/>
    <m/>
    <m/>
    <m/>
    <m/>
    <m/>
    <m/>
    <x v="4"/>
    <x v="0"/>
  </r>
  <r>
    <m/>
    <m/>
    <m/>
    <m/>
    <m/>
    <x v="10"/>
    <x v="7"/>
    <m/>
    <m/>
    <m/>
    <m/>
    <m/>
    <m/>
    <m/>
    <m/>
    <x v="4"/>
    <x v="0"/>
  </r>
  <r>
    <m/>
    <m/>
    <m/>
    <m/>
    <m/>
    <x v="8"/>
    <x v="7"/>
    <m/>
    <m/>
    <m/>
    <m/>
    <m/>
    <m/>
    <m/>
    <m/>
    <x v="4"/>
    <x v="0"/>
  </r>
  <r>
    <m/>
    <m/>
    <m/>
    <m/>
    <m/>
    <x v="7"/>
    <x v="7"/>
    <m/>
    <m/>
    <m/>
    <m/>
    <m/>
    <m/>
    <m/>
    <m/>
    <x v="4"/>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
  <r>
    <s v="Column7"/>
    <s v="Column8"/>
    <s v="Column9"/>
    <s v="Column10"/>
    <s v="Column14"/>
    <s v="Column16"/>
    <s v="Column17"/>
    <x v="0"/>
  </r>
  <r>
    <s v="Continuity Technology - Teknologi - Aplikasi"/>
    <s v="Pemeliharaan Aplikasi "/>
    <n v="2025"/>
    <n v="2029"/>
    <s v="DLDS"/>
    <s v="Aplikasi"/>
    <m/>
    <x v="1"/>
  </r>
  <r>
    <s v="Continuity Technology - Teknologi - Aplikasi"/>
    <s v="Data Subscription "/>
    <n v="2025"/>
    <n v="2029"/>
    <s v="DLDS"/>
    <s v="Aplikasi"/>
    <m/>
    <x v="1"/>
  </r>
  <r>
    <s v="RTGS"/>
    <s v="Upgrade Platform RTGS ke TMSX"/>
    <n v="2024"/>
    <n v="2025"/>
    <s v="DPSP"/>
    <s v="SP"/>
    <s v="RTGS"/>
    <x v="2"/>
  </r>
  <r>
    <s v="Pengaliran data audit ICOFR dari FOMOBO ke Pusat data"/>
    <s v="Pengaliran data audit ICOFR dari FOMOBO ke Pusat data"/>
    <n v="2024"/>
    <n v="2025"/>
    <s v="DAI"/>
    <s v="Market"/>
    <s v="FOMOBO"/>
    <x v="3"/>
  </r>
  <r>
    <s v="Penggantian Hard Token BI-ETP"/>
    <s v="Penggantian Hard Token BI-ETP"/>
    <n v="2024"/>
    <n v="2025"/>
    <s v="DPSP"/>
    <s v="Market"/>
    <s v="BI-ETP"/>
    <x v="4"/>
  </r>
  <r>
    <s v="Enhancement CBS Penyediaan Report ALBI (Tindak lanjut Forum Harmonisasi)"/>
    <s v="Enhancement CBS Penyediaan Report ALBI (Tindak lanjut Forum Harmonisasi)"/>
    <n v="2024"/>
    <n v="2025"/>
    <s v="DPPT"/>
    <s v="SP"/>
    <s v="CBS"/>
    <x v="2"/>
  </r>
  <r>
    <s v="Rekonfigurasi Pemenuhan DC 2"/>
    <s v="Rekonfigurasi BI-SILK"/>
    <n v="2026"/>
    <n v="2026"/>
    <s v="DLDS"/>
    <s v="SP"/>
    <s v="BI-SILK"/>
    <x v="2"/>
  </r>
  <r>
    <s v="Rekonfigurasi Pemenuhan DC 2"/>
    <s v="Rekonfigurasi En Reporting SWIFT "/>
    <n v="2026"/>
    <n v="2026"/>
    <s v="DLDS"/>
    <s v="Market"/>
    <s v="En Reporting"/>
    <x v="5"/>
  </r>
  <r>
    <s v="Rekonfigurasi Pemenuhan DC 2"/>
    <s v="Rekonfigurasi SIMP"/>
    <n v="2026"/>
    <n v="2026"/>
    <s v="DLDS"/>
    <s v="SSK"/>
    <s v="SIMP"/>
    <x v="6"/>
  </r>
  <r>
    <s v="Rekonfigurasi Pemenuhan DC 2"/>
    <s v="Rekonfigurasi BIWEB"/>
    <n v="2026"/>
    <n v="2026"/>
    <s v="DLDS"/>
    <s v="MI"/>
    <s v="BIWEB"/>
    <x v="7"/>
  </r>
  <r>
    <s v="Rekonfigurasi Pemenuhan DC 2"/>
    <s v="Rekonfigurasi SISMONTAVAR"/>
    <n v="2026"/>
    <n v="2026"/>
    <s v="DLDS"/>
    <s v="Market"/>
    <s v="SISMONTAVAR"/>
    <x v="3"/>
  </r>
  <r>
    <s v="Rekonfigurasi Pemenuhan DC 2"/>
    <s v="Rekonfigurasi SI-BISSS "/>
    <n v="2027"/>
    <n v="2027"/>
    <s v="DLDS"/>
    <s v="Market"/>
    <s v="SI-BISSS"/>
    <x v="5"/>
  </r>
  <r>
    <s v="Rekonfigurasi Pemenuhan DC 2"/>
    <s v="Rekonfigurasi GMMP"/>
    <n v="2027"/>
    <n v="2027"/>
    <s v="DLDS"/>
    <s v="SSK"/>
    <s v="GMMP"/>
    <x v="6"/>
  </r>
  <r>
    <s v="Rekonfigurasi Pemenuhan DC 2"/>
    <s v="Rekonfigurasi ANTASENA LBUT  "/>
    <n v="2027"/>
    <n v="2028"/>
    <s v="DLDS"/>
    <s v="Moneter"/>
    <s v="LBUT"/>
    <x v="8"/>
  </r>
  <r>
    <s v="Rekonfigurasi Pemenuhan DC 2"/>
    <s v="Rekonfigurasi BI-ETP "/>
    <n v="2027"/>
    <n v="2027"/>
    <s v="DLDS"/>
    <s v="Market"/>
    <s v="BI-ETP"/>
    <x v="4"/>
  </r>
  <r>
    <s v="Rekonfigurasi Pemenuhan DC 2"/>
    <s v="Rekonfigurasi HARTIS "/>
    <n v="2027"/>
    <n v="2027"/>
    <s v="DLDS"/>
    <s v="Market"/>
    <s v="HARTIS"/>
    <x v="4"/>
  </r>
  <r>
    <s v="Rekonfigurasi Pemenuhan DC 2"/>
    <s v="Rekonfigurasi FOMOBO "/>
    <n v="2029"/>
    <n v="2029"/>
    <s v="DLDS"/>
    <s v="Market"/>
    <s v="FOMOBO"/>
    <x v="3"/>
  </r>
  <r>
    <s v="Rekonfigurasi Pemenuhan DC 2"/>
    <s v="Rekonfigurasi NCP "/>
    <n v="2029"/>
    <n v="2029"/>
    <s v="DLDS"/>
    <s v="Market"/>
    <s v="NCP"/>
    <x v="5"/>
  </r>
  <r>
    <s v="Rekonfigurasi Pemenuhan DC 2"/>
    <s v="Rekonfigurasi ERPHRIS "/>
    <n v="2029"/>
    <n v="2029"/>
    <s v="DLDS, DKEU"/>
    <s v="MI"/>
    <s v="ERPHRIS"/>
    <x v="9"/>
  </r>
  <r>
    <s v="Rekonfigurasi Pemenuhan DC 2"/>
    <s v="Rekonfigurasi Alternate ETP"/>
    <n v="2028"/>
    <n v="2028"/>
    <s v="DLDS"/>
    <s v="Market"/>
    <s v="ETP"/>
    <x v="4"/>
  </r>
  <r>
    <s v="Rekonfigurasi Pemenuhan DC 2"/>
    <s v="Rekonfigurasi LKPBU (ANTASENA Non LBUT) "/>
    <n v="2026"/>
    <n v="2027"/>
    <s v="DLDS"/>
    <s v="Moneter"/>
    <s v="Non LBUT)"/>
    <x v="8"/>
  </r>
  <r>
    <s v="Rekonfigurasi Pemenuhan DC 2"/>
    <s v="Rekonfigurasi SIMODIS"/>
    <n v="2027"/>
    <n v="2027"/>
    <s v="DLDS"/>
    <s v="Moneter"/>
    <s v="SIMODIS"/>
    <x v="8"/>
  </r>
  <r>
    <s v="Rekonfigurasi Pemenuhan DC 2"/>
    <s v="Rekonfigurasi BI-SSS"/>
    <n v="2026"/>
    <n v="2026"/>
    <s v="DLDS"/>
    <s v="SSK"/>
    <s v="BI-SSS"/>
    <x v="6"/>
  </r>
  <r>
    <s v="Perluasan IEA"/>
    <s v="IEA-KUPVA BB ( Solusi Interim) Untuk Pengawasan di KPwDN WG end to end"/>
    <n v="2026"/>
    <n v="2026"/>
    <m/>
    <s v="MD"/>
    <s v="BB"/>
    <x v="3"/>
  </r>
  <r>
    <s v="Perluasan IEA"/>
    <s v="Konfigurasi IEA untuk mendukung Use Case Bansos dan Use Case Internal Pegawai BI / Payment ID &amp; Lanjutan Payment Integrity"/>
    <n v="2025"/>
    <n v="2025"/>
    <m/>
    <s v="MD"/>
    <s v="P"/>
    <x v="3"/>
  </r>
  <r>
    <s v="Perluasan IEA"/>
    <s v="Perolehan Data PJP/PIP"/>
    <n v="2025"/>
    <n v="2025"/>
    <m/>
    <s v="MD"/>
    <s v="P"/>
    <x v="3"/>
  </r>
  <r>
    <s v="Perluasan IEA"/>
    <s v="IEA-DHE SDA (Sub Registry 16 Pelapor)"/>
    <n v="2025"/>
    <n v="2025"/>
    <m/>
    <s v="MD"/>
    <s v="IEA"/>
    <x v="3"/>
  </r>
  <r>
    <s v="Perluasan IEA"/>
    <s v="Konfigurasi IEA otomasi Data SBN  - OJK ke pusat Data"/>
    <n v="2025"/>
    <n v="2025"/>
    <m/>
    <s v="MD"/>
    <s v="Data SBN - OJK ke pusat Data​"/>
    <x v="3"/>
  </r>
  <r>
    <s v="Perluasan IEA"/>
    <s v="IEA-BAPPEBTI Dervatif PUVA - (OJK BAPPEBTI)"/>
    <n v="2025"/>
    <n v="2025"/>
    <m/>
    <s v="MD"/>
    <s v="PUVA - (OJK BAPPEBTI)​"/>
    <x v="3"/>
  </r>
  <r>
    <s v="Perluasan IEA"/>
    <s v="IEA-DJA Pengaliran suku bunga"/>
    <n v="2025"/>
    <n v="2025"/>
    <m/>
    <s v="MD"/>
    <s v="IEA"/>
    <x v="6"/>
  </r>
  <r>
    <s v="Perluasan IEA"/>
    <s v="Pengiriman Data Antasena LBUT - Pengiriman Data LBUT ke Otoritas Jasa Keuangan dan Lembaga Penjamin Simpanan"/>
    <n v="2025"/>
    <n v="2025"/>
    <m/>
    <s v="MD"/>
    <s v="LBUT"/>
    <x v="3"/>
  </r>
  <r>
    <s v="Perluasan IEA"/>
    <s v="Pengaliran Data LBBPR/S dari OJK ke BI"/>
    <n v="2025"/>
    <n v="2025"/>
    <m/>
    <s v="MD"/>
    <s v="P"/>
    <x v="3"/>
  </r>
  <r>
    <s v="Perluasan IEA"/>
    <s v="Penambahan Laporan Pengaliran Data Laporan BPR/S dari Otoritas Jasa Keuangan (OJK) ke Bank Indonesia melalui Information Exchange Architecture (IEA)"/>
    <n v="2025"/>
    <n v="2025"/>
    <m/>
    <m/>
    <m/>
    <x v="3"/>
  </r>
  <r>
    <s v="Perluasan IEA"/>
    <s v="Pengembangan Sistem Pelaporan CCP ke BI dan TPA melalui Aplikasi IEA"/>
    <n v="2025"/>
    <n v="2025"/>
    <m/>
    <s v="Market, MD"/>
    <s v="Sistem"/>
    <x v="3"/>
  </r>
  <r>
    <s v="Perluasan IEA"/>
    <s v="Pengembangan Portal Sistem Pelaporan CCP - IEA Pertukaran data terkait Payment Integrity Integrasi "/>
    <n v="2025"/>
    <n v="2025"/>
    <s v="DPPK"/>
    <s v="MD"/>
    <s v="IEA"/>
    <x v="3"/>
  </r>
  <r>
    <s v="Perluasan IEA"/>
    <s v="Perubahan Derivatif PUVA - Perubahan pengaliran dari BAPPEBTI menajdi Pelapor Langsung ke BI (FSR)(134 Pelapor)"/>
    <n v="2025"/>
    <n v="2025"/>
    <m/>
    <m/>
    <m/>
    <x v="3"/>
  </r>
  <r>
    <s v="Transaksi FX-DNDF via Primary Dealers (PDs)"/>
    <s v="Penguatan transaksi FX-NDF BI pada Bloomberg FX Go"/>
    <n v="2025"/>
    <n v="2025"/>
    <s v="DPMA"/>
    <s v="Market"/>
    <s v="FOMOBO, Bloomberg"/>
    <x v="6"/>
  </r>
  <r>
    <s v="Konfigurasi Sistem Treasury Bank Indonesia"/>
    <s v="Otomasi Penarikan Report Portfolio Workstation di FOMOBO "/>
    <n v="2025"/>
    <n v="2026"/>
    <s v="DMR"/>
    <s v="Market"/>
    <s v="FOMOBO"/>
    <x v="3"/>
  </r>
  <r>
    <s v="Konfigurasi Sistem Treasury Bank Indonesia"/>
    <s v="FOMOBO Konfigurasi FOMOBO untuk Perbaikan Laporan EDW-ORA"/>
    <n v="2025"/>
    <n v="2025"/>
    <s v="DIDD"/>
    <s v="Market"/>
    <s v="FOMOBO"/>
    <x v="3"/>
  </r>
  <r>
    <s v="SWIFT "/>
    <s v="SWIFT November Changes 2025"/>
    <n v="2025"/>
    <n v="2025"/>
    <s v="DLDS"/>
    <s v="Market"/>
    <s v="z"/>
    <x v="5"/>
  </r>
  <r>
    <s v="SWIFT "/>
    <s v="SWIFT November Changes 2026"/>
    <n v="2026"/>
    <n v="2026"/>
    <s v="DLDS"/>
    <s v="Market"/>
    <s v="SWIFT, CBS, ERP, FOMOBO"/>
    <x v="5"/>
  </r>
  <r>
    <s v="SWIFT "/>
    <s v="Upgrade versi SWIFT 7.7"/>
    <n v="2025"/>
    <n v="2025"/>
    <s v="DLDS"/>
    <s v="Market"/>
    <s v="SWIFT"/>
    <x v="5"/>
  </r>
  <r>
    <s v="SWIFT "/>
    <s v="Upgrade SWIFT HSM Box"/>
    <n v="2025"/>
    <n v="2025"/>
    <s v="DLDS"/>
    <s v="Market"/>
    <s v="SWIFT"/>
    <x v="5"/>
  </r>
  <r>
    <s v="SWIFT "/>
    <s v="Legacy ISO 20022: SWIFT Tahap II"/>
    <n v="2025"/>
    <n v="2025"/>
    <s v="DLDS"/>
    <s v="Market"/>
    <s v="SWIFT"/>
    <x v="5"/>
  </r>
  <r>
    <s v="Peningkatan Kapasitas dan Performance Aplikasi Legacy"/>
    <s v="Peningkatan Performance PINTAR dalam rangka SERAMBI 2026"/>
    <n v="2025"/>
    <n v="2025"/>
    <s v="DPU"/>
    <s v="SP"/>
    <s v="PINTAR"/>
    <x v="2"/>
  </r>
  <r>
    <s v="Upgrade CRM"/>
    <s v="Upgrade versi CRM"/>
    <n v="2027"/>
    <n v="2027"/>
    <s v="DLDS, DKOM"/>
    <s v="MI"/>
    <s v="CRM"/>
    <x v="7"/>
  </r>
  <r>
    <s v="Konfigurasi WBS"/>
    <s v="Konfigurasi Penyempurnaan Notifikasi Flow Proses Pemeriksaan pada WBS"/>
    <n v="2026"/>
    <n v="2026"/>
    <s v="DAI"/>
    <s v="MI"/>
    <s v="WBS"/>
    <x v="7"/>
  </r>
  <r>
    <s v="Piloting Laporan LLD Bank High-Frequency"/>
    <s v="Piloting Laporan LLD Bank High-Frequency"/>
    <n v="2026"/>
    <n v="2026"/>
    <m/>
    <s v="MD"/>
    <m/>
    <x v="10"/>
  </r>
  <r>
    <s v="Dukungan IN-FAST"/>
    <s v="On Boarding IN-FAST pada Infra SP BI"/>
    <n v="2026"/>
    <n v="2026"/>
    <m/>
    <s v="SP"/>
    <m/>
    <x v="0"/>
  </r>
  <r>
    <s v="Pengaliran Data Eksyar"/>
    <s v="Pengaliran Data Eksyar"/>
    <n v="2026"/>
    <n v="2027"/>
    <m/>
    <s v="Middleware"/>
    <m/>
    <x v="0"/>
  </r>
  <r>
    <m/>
    <m/>
    <m/>
    <m/>
    <m/>
    <m/>
    <m/>
    <x v="0"/>
  </r>
  <r>
    <m/>
    <n v="199"/>
    <m/>
    <m/>
    <m/>
    <m/>
    <m/>
    <x v="0"/>
  </r>
  <r>
    <m/>
    <m/>
    <m/>
    <m/>
    <m/>
    <m/>
    <m/>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4">
  <r>
    <s v="Column5"/>
    <s v="Column6"/>
    <s v="Column7"/>
    <m/>
    <s v="Column8"/>
    <x v="0"/>
    <x v="0"/>
    <s v="Column11"/>
    <s v="Column12"/>
    <s v="Column13"/>
    <s v="Column14"/>
    <s v="Column15"/>
    <x v="0"/>
    <s v="Column17"/>
    <s v="Column18"/>
  </r>
  <r>
    <s v="P-1"/>
    <n v="3"/>
    <s v="BI-FAST"/>
    <s v="New BI-FAST"/>
    <s v="Enhancement Aplikasi Legacy New BI-FAST"/>
    <x v="1"/>
    <x v="1"/>
    <s v="S"/>
    <s v="K3"/>
    <s v="Pemimpin Satker"/>
    <s v="DKeu, DKSP, DPSP, DLDS"/>
    <s v="WG-1"/>
    <x v="1"/>
    <s v="ERPHRIS, SOA"/>
    <s v="Proses RBT-RBB"/>
  </r>
  <r>
    <s v="P-2"/>
    <n v="3"/>
    <s v="BI-RTGS Gen III"/>
    <s v="BI-RTGS Gen III"/>
    <s v="Enhancement Aplikasi Legacy BI-RTGS Gen III"/>
    <x v="2"/>
    <x v="2"/>
    <s v="S"/>
    <s v="K3"/>
    <s v="Pemimpin Satker"/>
    <s v="DKSP, DPSP, DPPT, DIDD, DPPK, DLDS"/>
    <s v="WG-2"/>
    <x v="2"/>
    <s v="SKNBI, BI-SSSS Gen II, CBS, FOMOBO, SWIFT, SOA"/>
    <s v="Not Started"/>
  </r>
  <r>
    <s v="P-3"/>
    <n v="3"/>
    <s v="BI-SSSS Gen III"/>
    <s v="BI-SSSS Gen III"/>
    <s v="Enhancement Aplikasi Legacy BI-SSSS Gen III"/>
    <x v="3"/>
    <x v="2"/>
    <s v="S"/>
    <s v="K3"/>
    <s v="Pemimpin Satker"/>
    <s v="DPPK, DPSP"/>
    <s v="WG-2"/>
    <x v="3"/>
    <s v="BI-ETP, FOMOBO, CBS, Bloomberg, SI BI-SSSS"/>
    <s v="Not Started"/>
  </r>
  <r>
    <s v="P-4"/>
    <n v="1"/>
    <s v="Pengembangan Product PUVA dan Penerbitan SBN"/>
    <s v="Infrastruktur Data PUVA"/>
    <s v="Capturing Matchmaking OIS"/>
    <x v="1"/>
    <x v="3"/>
    <s v="S"/>
    <s v="K3"/>
    <s v="Pemimpin Satker"/>
    <s v="DPPK, DSTA, DPKL"/>
    <s v="PPLBI"/>
    <x v="4"/>
    <s v="ANTASENA"/>
    <s v="Selesai Implementasi"/>
  </r>
  <r>
    <s v="P-4"/>
    <n v="2"/>
    <s v="Pengembangan Product PUVA dan Penerbitan SBN"/>
    <s v="Infrastruktur Data PUVA"/>
    <s v="DEP Capturing Product -Capturing transaksi Repo, OIS, DNDF dari ETP-MO"/>
    <x v="2"/>
    <x v="4"/>
    <s v="S"/>
    <s v="K3"/>
    <s v="Pemimpin Satker"/>
    <s v="DPPK"/>
    <s v="WG-2"/>
    <x v="5"/>
    <s v="TBD"/>
    <s v="Not Started"/>
  </r>
  <r>
    <s v="P-4"/>
    <n v="3"/>
    <s v="Pengembangan Product PUVA dan Penerbitan SBN"/>
    <s v="Infrastruktur Data PUVA"/>
    <s v="EDP Capturing Product -Capturing transaksi FX Swap"/>
    <x v="4"/>
    <x v="2"/>
    <s v="S"/>
    <s v="K3"/>
    <s v="Pemimpin Satker"/>
    <s v="DPPK"/>
    <s v="WG-2"/>
    <x v="5"/>
    <s v="TBD"/>
    <s v="Not Started"/>
  </r>
  <r>
    <s v="P-4"/>
    <n v="4"/>
    <s v="Pengembangan Product PUVA dan Penerbitan SBN"/>
    <s v="Infrastruktur Data PUVA"/>
    <s v="DEP Capturing Product -Pelaporan: dari ETP-MO"/>
    <x v="2"/>
    <x v="4"/>
    <s v="S"/>
    <s v="K3"/>
    <s v="Pemimpin Satker"/>
    <s v="DPPK,  DSta, DPKL"/>
    <s v="PPLBI"/>
    <x v="5"/>
    <s v="TBD"/>
    <s v="Not Started"/>
  </r>
  <r>
    <s v="P-4"/>
    <n v="5"/>
    <s v="Pengembangan Product PUVA dan Penerbitan SBN"/>
    <s v="Infrastruktur Data PUVA"/>
    <s v="DEP Capturing Product -Pelaporan: CCP Repo"/>
    <x v="2"/>
    <x v="4"/>
    <s v="S"/>
    <s v="K3"/>
    <s v="Pemimpin Satker"/>
    <s v="DPPK,  DSta, DPKL"/>
    <s v="WG-2"/>
    <x v="5"/>
    <s v="TBD"/>
    <s v="Not Started"/>
  </r>
  <r>
    <s v="P-4"/>
    <n v="6"/>
    <s v="Pengembangan Product PUVA dan Penerbitan SBN"/>
    <s v="Infrastruktur Data PUVA"/>
    <s v="EDP Capturing Product -Pelaporan: CCP OIS"/>
    <x v="5"/>
    <x v="1"/>
    <s v="S"/>
    <s v="K3"/>
    <s v="Pemimpin Satker"/>
    <s v="DPPK,  DSta, DPKL"/>
    <s v="WG-2"/>
    <x v="5"/>
    <s v="TBD"/>
    <s v="Not Started"/>
  </r>
  <r>
    <s v="P-4"/>
    <n v="7"/>
    <s v="Pengembangan Pricing untuk OM Pro Market  dan PUVA"/>
    <s v="Infrastruktur Data PUVA"/>
    <s v="EDP Capturing Pricing - Pricing Calculation &amp; Dissemination: Perluasan kurs acuan non-USD/IDR (AED/IDR)"/>
    <x v="1"/>
    <x v="3"/>
    <s v="S"/>
    <s v="K3"/>
    <s v="Pemimpin Satker"/>
    <s v="DPPK"/>
    <s v="PPLBI"/>
    <x v="3"/>
    <s v="FOMOBO, SOA"/>
    <s v="Selesai Implementasi"/>
  </r>
  <r>
    <s v="P-4"/>
    <n v="8"/>
    <s v="Pengembangan Pricing untuk OM Pro Market  dan PUVA"/>
    <s v="Infrastruktur Data PUVA"/>
    <s v="EDP Capturing Pricing - Implementasi INDONIA (OIS based) - Decommissioned JIBOR"/>
    <x v="1"/>
    <x v="3"/>
    <s v="S"/>
    <s v="K3"/>
    <s v="Pemimpin Satker"/>
    <s v="DPPK"/>
    <s v="PPLBI"/>
    <x v="6"/>
    <s v="FOMOBO, ANTASENA, BIWEB"/>
    <s v="Selesai Implementasi"/>
  </r>
  <r>
    <s v="P-4"/>
    <n v="9"/>
    <s v="Pengembangan Pricing untuk OM Pro Market  dan PUVA"/>
    <s v="Infrastruktur Data PUVA"/>
    <s v="DEP Capturing Pricing - Pricing Calculation &amp; Dissemination: Reference Rate Syariah"/>
    <x v="2"/>
    <x v="4"/>
    <s v="S"/>
    <s v="K3"/>
    <s v="Pemimpin Satker"/>
    <s v="DPPK, DEKS"/>
    <s v="PPLBI"/>
    <x v="3"/>
    <s v="TBD"/>
    <s v="Not Started"/>
  </r>
  <r>
    <s v="P-4"/>
    <n v="10"/>
    <s v="Pengembangan Pricing untuk OM Pro Market  dan PUVA"/>
    <s v="Infrastruktur Data PUVA"/>
    <s v="EDP Capturing Pricing - Pricing Calculation &amp; Dissemination: INDONIA – Kurva OIS"/>
    <x v="3"/>
    <x v="4"/>
    <s v="S"/>
    <s v="K3"/>
    <s v="Pemimpin Satker"/>
    <s v="DPPK"/>
    <s v="PPLBI"/>
    <x v="3"/>
    <s v="TBD"/>
    <s v="Not Started"/>
  </r>
  <r>
    <s v="P-4"/>
    <n v="11"/>
    <s v="Pengembangan Pricing untuk OM Pro Market  dan PUVA"/>
    <s v="Infrastruktur Data PUVA"/>
    <s v="EDP Capturing Pricing - Pricing Calculation &amp; Dissemination: Reformulasi JISDOR"/>
    <x v="3"/>
    <x v="2"/>
    <s v="S"/>
    <s v="K3"/>
    <s v="Pemimpin Satker"/>
    <s v="DPPK"/>
    <s v="WG-2"/>
    <x v="3"/>
    <s v="TBD"/>
    <s v="Not Started"/>
  </r>
  <r>
    <s v="P-4"/>
    <n v="12"/>
    <s v="Pengembangan Pricing untuk OM Pro Market  dan PUVA"/>
    <s v="Infrastruktur Data PUVA"/>
    <s v="EDP Capturing Pricing - Market Data Capturing &amp; Dissemination: IMM Curve"/>
    <x v="5"/>
    <x v="5"/>
    <s v="S"/>
    <s v="K3"/>
    <s v="Pemimpin Satker"/>
    <s v="DPPK, DEKS"/>
    <s v="PPLBI"/>
    <x v="3"/>
    <s v="TBD"/>
    <s v="Not Started"/>
  </r>
  <r>
    <s v="P-4"/>
    <n v="13"/>
    <s v="Pengembangan Pricing untuk OM Pro Market  dan PUVA"/>
    <s v="Infrastruktur Data PUVA"/>
    <s v="DEP Capturing Pricing - Market Data Capturing &amp; Dissemination: MM Curve"/>
    <x v="2"/>
    <x v="1"/>
    <s v="S"/>
    <s v="K3"/>
    <s v="Pemimpin Satker"/>
    <s v="DPPK"/>
    <s v="WG-2"/>
    <x v="3"/>
    <s v="EDW, HARTIS, ANTASENA LBUT"/>
    <s v="Not Started"/>
  </r>
  <r>
    <s v="P-4"/>
    <n v="14"/>
    <s v="Pengembangan Pricing untuk OM Pro Market  dan PUVA"/>
    <s v="Infrastruktur Data PUVA"/>
    <s v="DEP Capturing Pricing - Market Data Capturing &amp; Dissemination: FX Forward Curve"/>
    <x v="2"/>
    <x v="4"/>
    <s v="S"/>
    <s v="K3"/>
    <s v="Pemimpin Satker"/>
    <s v="DPPK"/>
    <s v="WG-2"/>
    <x v="3"/>
    <s v="TBD"/>
    <s v="Not Started"/>
  </r>
  <r>
    <s v="P-4"/>
    <n v="15"/>
    <s v="Pengembangan Pricing untuk OM Pro Market  dan PUVA"/>
    <s v="Infrastruktur Data PUVA"/>
    <s v="EDP Capturing Pricing - Market Data Capturing &amp; Dissemination: IFX Hedging Curve"/>
    <x v="5"/>
    <x v="5"/>
    <s v="S"/>
    <s v="K3"/>
    <s v="Pemimpin Satker"/>
    <s v="DPPK, DEKS"/>
    <s v="PPLBI"/>
    <x v="3"/>
    <s v="TBD"/>
    <s v="Not Started"/>
  </r>
  <r>
    <s v="P-5"/>
    <n v="6"/>
    <s v="Infrastruktur Data SP"/>
    <s v="Infrastruktur Data SP"/>
    <s v="Enhancement Aplikasi Legacy Infrastruktur Data SP"/>
    <x v="2"/>
    <x v="1"/>
    <s v="K"/>
    <s v="K3"/>
    <s v="Pemimpin Satker"/>
    <s v="DKSP, DIDD"/>
    <s v="WG-1"/>
    <x v="4"/>
    <s v="ANTASENA"/>
    <s v="Not Started"/>
  </r>
  <r>
    <s v="P-7"/>
    <n v="3"/>
    <s v="DWP Kebijakan"/>
    <s v="DDM Perumusan Kebijakan"/>
    <s v="Enhancement Aplikasi Legacy DDM Kebijakan"/>
    <x v="2"/>
    <x v="4"/>
    <s v="K"/>
    <s v="K3"/>
    <s v="Pemimpin Satker"/>
    <s v="DMST, DKOM, DKMP"/>
    <s v="WG-4"/>
    <x v="7"/>
    <s v="BIWEB, ERPHRIS"/>
    <s v="Proses RBT-RBTD"/>
  </r>
  <r>
    <s v="P-18"/>
    <n v="4"/>
    <s v="DBP CORE BKK"/>
    <s v="DCP BKK"/>
    <s v="Enhancement Aplikasi Legacy (ERPHRIS) DBP BKK "/>
    <x v="1"/>
    <x v="4"/>
    <s v="K"/>
    <s v="K2"/>
    <s v="ADG"/>
    <s v="DKeu, DMST"/>
    <s v="PPLBI"/>
    <x v="7"/>
    <s v="ERPHRIS"/>
    <s v="Proses RBT-RBTD"/>
  </r>
  <r>
    <s v="P-18"/>
    <n v="5"/>
    <s v="DBP CORE BKK"/>
    <s v="DCP BKK"/>
    <s v="Enhancement Aplikasi Legacy (LIMS) DBP BKK "/>
    <x v="2"/>
    <x v="1"/>
    <s v="K"/>
    <s v="K2"/>
    <s v="ADG"/>
    <s v="DHk"/>
    <s v="PPLBI"/>
    <x v="7"/>
    <s v="LIMS"/>
    <s v="Not Started"/>
  </r>
  <r>
    <s v="P-20"/>
    <n v="1"/>
    <s v="DBP - OpEx MAPP"/>
    <s v="DCP MAPP"/>
    <s v="Aset Fisik: Pelayanan &amp; Operasional"/>
    <x v="1"/>
    <x v="6"/>
    <s v="K"/>
    <s v="K1"/>
    <s v="ADG"/>
    <s v="DPRN, DLAF"/>
    <s v="PPLBI"/>
    <x v="7"/>
    <s v="MLTI"/>
    <s v="Selesai Pengadaan"/>
  </r>
  <r>
    <s v="P-20"/>
    <n v="2"/>
    <s v="DBP - OpEx MAPP"/>
    <s v="DCP MAPP"/>
    <s v="Pengadaan: Perencanaan &amp; Pelaksanaan dan Digitalisasi Dokumen"/>
    <x v="1"/>
    <x v="6"/>
    <s v="K"/>
    <s v="K1"/>
    <s v="ADG"/>
    <s v="DMAP"/>
    <s v="PPLBI"/>
    <x v="7"/>
    <s v="ERPHRIS"/>
    <s v="Proses Pengadaan"/>
  </r>
  <r>
    <s v="P-25"/>
    <n v="1"/>
    <s v="DBP - Opex Kelembagaan dan HR"/>
    <s v="DCP HRM"/>
    <s v="DBP OpEx 4P HRM lainnya (Kompetensi, Karir, Perencanaan)"/>
    <x v="2"/>
    <x v="4"/>
    <s v="K"/>
    <s v="K2"/>
    <s v="ADG"/>
    <s v="DSDM"/>
    <s v="PPLBI"/>
    <x v="7"/>
    <s v="TBD"/>
    <s v="Not Started"/>
  </r>
  <r>
    <s v="P-26"/>
    <n v="1"/>
    <s v="DBP - HRM"/>
    <s v="DCP Integrasi HRM"/>
    <s v="DBP OpEx 4P: Pengembangan Kompetensi (Integrasi LMS dengan Digital Library)"/>
    <x v="2"/>
    <x v="1"/>
    <s v="U"/>
    <s v="K3"/>
    <s v="Pemimpin Satker"/>
    <s v="DSDM"/>
    <s v="PPLBI"/>
    <x v="7"/>
    <s v="LMS, Digital Library"/>
    <s v="Not Started"/>
  </r>
  <r>
    <s v="P-26"/>
    <n v="2"/>
    <s v="DBP - HRM"/>
    <s v="DCP Integrasi HRM"/>
    <s v="DBP OpEx 4P: Pengembangan Kompetensi (Integrasi LMS dg MOOC)"/>
    <x v="3"/>
    <x v="1"/>
    <s v="U"/>
    <s v="K3"/>
    <s v="Pemimpin Satker"/>
    <s v="DSDM"/>
    <s v="PPLBI"/>
    <x v="7"/>
    <s v="Digital Library, LMS, ERPHRIS"/>
    <s v="Not Started"/>
  </r>
  <r>
    <s v="P-40"/>
    <n v="1"/>
    <s v="Pengembangan Product OM Pro Market (Rupiah dan Valas). "/>
    <s v="Pengembangan Product OM Pro Market (Rupiah dan Valas)"/>
    <s v="Penambahan Portfolio SBN AC/HTM pada transaksi OM"/>
    <x v="6"/>
    <x v="3"/>
    <s v="S"/>
    <s v="K3"/>
    <s v="Pemimpin Satker"/>
    <s v="DPMA, DPPK, DPPT, DMR"/>
    <s v="PPLBI"/>
    <x v="3"/>
    <s v="HARTIS, FOMOBO, SOA"/>
    <s v="Selesai Implementasi"/>
  </r>
  <r>
    <s v="P-40"/>
    <n v="2"/>
    <s v="Pengembangan Product OM Pro Market (Rupiah dan Valas)"/>
    <s v="Pengembangan Product OM Pro Market (Rupiah dan Valas)"/>
    <s v="Reopening SRBI - Tahap 2 (Searchable collateral)"/>
    <x v="1"/>
    <x v="3"/>
    <s v="S"/>
    <s v="K3"/>
    <s v="Pemimpin Satker"/>
    <s v="DPMA, DPPK,DPSP"/>
    <s v="PPLBI"/>
    <x v="3"/>
    <s v="BI-ETP, Alternate BI-ETP, SOA"/>
    <s v="Selesai Implementasi"/>
  </r>
  <r>
    <s v="P-40"/>
    <n v="3"/>
    <s v="Pengembangan Product OM Pro Market (Rupiah dan Valas)"/>
    <s v="Pengembangan Product OM Pro Market (Rupiah dan Valas)"/>
    <s v="Penerbitan Bank Indonesia Floating Rate Note (BI-FRN)"/>
    <x v="1"/>
    <x v="3"/>
    <s v="S"/>
    <s v="K3"/>
    <s v="Pemimpin Satker"/>
    <s v="DPMA, DPPK,_x000a_ DPPT, DPSP"/>
    <s v="PPLBI"/>
    <x v="8"/>
    <s v="BI-ETP, BI-SSSS, HARTIS, FOMOBO, SI BI-SSSS, SOA"/>
    <s v="Selesai Implementasi"/>
  </r>
  <r>
    <s v="P-40"/>
    <n v="4"/>
    <s v="Pengembangan Product OM Pro Market (Rupiah dan Valas)"/>
    <s v="Pengembangan Product OM Pro Market (Rupiah dan Valas)"/>
    <s v="Integrasi dengan Market Operator untuk Transaksi OM dg Agent Bank"/>
    <x v="2"/>
    <x v="1"/>
    <s v="S"/>
    <s v="K3"/>
    <s v="Pemimpin Satker"/>
    <s v="DPMA, DPPK, DPPT,DPSP"/>
    <s v="PPLBI"/>
    <x v="3"/>
    <s v="BI-ETP"/>
    <s v="Not Started"/>
  </r>
  <r>
    <s v="P-40"/>
    <n v="5"/>
    <s v="Pengembangan Product OM Pro Market (Rupiah dan Valas)"/>
    <s v="Pengembangan Product OM Pro Market (Rupiah dan Valas)"/>
    <s v="Perluasan investor SUKBI Non Bank"/>
    <x v="1"/>
    <x v="3"/>
    <s v="S"/>
    <s v="K3"/>
    <s v="Pemimpin Satker"/>
    <s v="DPMA, DPPK, DEKS, DPSP"/>
    <s v="PPLBI"/>
    <x v="3"/>
    <s v="BI-ETP, BI-SSSS, SI BI-SSSS "/>
    <s v="Selesai Implementasi"/>
  </r>
  <r>
    <s v="P-40"/>
    <n v="6"/>
    <s v="Pengembangan Product OM Pro Market (Rupiah dan Valas)"/>
    <s v="Pengembangan Product OM Pro Market (Rupiah dan Valas)"/>
    <s v="Transaksi Repo SVBI dan SUVBI valas (Tahap 1) "/>
    <x v="1"/>
    <x v="6"/>
    <s v="S"/>
    <s v="K3"/>
    <s v="Pemimpin Satker"/>
    <s v="DPMA, DPPK,  DPPT,DPSP"/>
    <s v="WG-2"/>
    <x v="3"/>
    <s v="BI-ETP, BI-SSSS, HARTIS, SI BI-SSSS, FOMOBO, SOA"/>
    <s v="Proses KAK"/>
  </r>
  <r>
    <s v="P-40"/>
    <n v="7"/>
    <s v="Pengembangan Product OM Pro Market (Rupiah dan Valas)"/>
    <s v="Pengembangan Product OM Pro Market (Rupiah dan Valas)"/>
    <s v="Transaksi Repo SVBI dan SUVBI Rupiah (CCR - Tahap 2) "/>
    <x v="2"/>
    <x v="4"/>
    <s v="S"/>
    <s v="K3"/>
    <s v="Pemimpin Satker"/>
    <s v="DPMA, DPPK,  DPPT,DPSP"/>
    <s v="WG-2"/>
    <x v="3"/>
    <s v="BI-ETP, BI-SSSS, HARTIS, SI BI-SSSS, FOMOBO, SOA"/>
    <s v="Not Started"/>
  </r>
  <r>
    <s v="P-40"/>
    <n v="8"/>
    <s v="Pengembangan Product OM Pro Market (Rupiah dan Valas)"/>
    <s v="Pengembangan Product OM Pro Market (Rupiah dan Valas)"/>
    <s v="Transaksi DNDF Syariah melalui PDs"/>
    <x v="5"/>
    <x v="2"/>
    <s v="S"/>
    <s v="K3"/>
    <s v="Pemimpin Satker"/>
    <s v="DPMA, DEKS, DPPT"/>
    <s v="WG-2"/>
    <x v="3"/>
    <s v="Refinitiv "/>
    <s v="Not Started"/>
  </r>
  <r>
    <s v="P-40"/>
    <n v="9"/>
    <s v="Pengembangan Product OM Pro Market (Rupiah dan Valas)"/>
    <s v="Pengembangan Product OM Pro Market (Rupiah dan Valas)"/>
    <s v="Integrasi BI-ETP dan CMS-OM"/>
    <x v="4"/>
    <x v="5"/>
    <s v="S"/>
    <s v="K3"/>
    <s v="Pemimpin Satker"/>
    <s v="DPMA, DPPK, DPPT"/>
    <s v="PPLBI"/>
    <x v="3"/>
    <s v=" BI-ETP"/>
    <s v="Not Started"/>
  </r>
  <r>
    <s v="P-40"/>
    <n v="10"/>
    <s v="Pengembangan Product OM Pro Market (Rupiah dan Valas)"/>
    <s v="Pengembangan Product OM Pro Market (Rupiah dan Valas)"/>
    <s v="Penerbitan Bank Indonesia Floating Rate Note (BI-FRN) pengembangan Alternate ETP "/>
    <x v="1"/>
    <x v="6"/>
    <s v="S"/>
    <s v="K3"/>
    <s v="Pemimpin Satker"/>
    <s v="DPMA, DPPK, DPPT,DPSP"/>
    <s v="PPLBI"/>
    <x v="3"/>
    <s v="ETP Alternate"/>
    <s v="Selesai RPP"/>
  </r>
  <r>
    <s v="P-40"/>
    <n v="11"/>
    <s v="Pengembangan Product OM Pro Market (Rupiah dan Valas)"/>
    <s v="Pengembangan Product OM Pro Market (Rupiah dan Valas)"/>
    <s v="Pengembangan Infrastruktur Penguatan Pasar Obligasi Korporasi dan EBA Tahap 1"/>
    <x v="1"/>
    <x v="3"/>
    <s v="S"/>
    <s v="K3"/>
    <s v="Pemimpin Satker"/>
    <s v="DPPK, DPMA, DKMP, Dkeu, DPPT, DMR,DPSP"/>
    <s v="PPLBI"/>
    <x v="8"/>
    <s v="BI-ETP, BI-SSSS, BI-RTGS, FOMOBO"/>
    <s v="Selesai Implementasi"/>
  </r>
  <r>
    <s v="P-40"/>
    <n v="12"/>
    <s v="Pengembangan Product OM Pro Market (Rupiah dan Valas)"/>
    <s v="Pengembangan Product OM Pro Market (Rupiah dan Valas)"/>
    <s v="Pengembangan Infrastruktur Penguatan Pasar Obligasi Korporasi dan EBA Tahap 2"/>
    <x v="2"/>
    <x v="4"/>
    <s v="S"/>
    <s v="K3"/>
    <s v="Pemimpin Satker"/>
    <s v="DPMA, DPPK, DKMP, DKeu, DPPT, DMR, DPSP"/>
    <s v="WG-2"/>
    <x v="8"/>
    <s v="BI-ETP, BI-SSSS, BI-RTGS"/>
    <s v="Not Started"/>
  </r>
  <r>
    <s v="P-40"/>
    <n v="13"/>
    <s v="Pengembangan Product OM Pro Market (Rupiah dan Valas)"/>
    <s v="Pengembangan Product OM Pro Market (Rupiah dan Valas)"/>
    <s v="Securities Borrowing Lending BI"/>
    <x v="5"/>
    <x v="1"/>
    <s v="S"/>
    <s v="K3"/>
    <s v="Pemimpin Satker"/>
    <s v="DPPK"/>
    <s v="WG-2"/>
    <x v="3"/>
    <s v="BI-ETP"/>
    <n v="0"/>
  </r>
  <r>
    <s v="P-41"/>
    <n v="1"/>
    <s v="Pengembangan Product PUVA dan Penerbitan SBN"/>
    <s v="Pengembangan Produk dan Pricing untuk OM Pro Market dan PUVA"/>
    <s v="Infra Pendukung Triparty Repo"/>
    <x v="6"/>
    <x v="3"/>
    <s v="S"/>
    <s v="K3"/>
    <s v="Pemimpin Satker"/>
    <s v="DPPK, DPSP"/>
    <s v="Satker"/>
    <x v="3"/>
    <s v="BI-SSSS, BI-RTGS"/>
    <s v="Selesai Implementasi"/>
  </r>
  <r>
    <s v="P-41"/>
    <n v="2"/>
    <s v="Pengembangan Product PUVA dan Penerbitan SBN"/>
    <s v="Pengembangan Produk dan Pricing untuk OM Pro Market dan PUVA"/>
    <s v="Infra Pendukung CCP Repo"/>
    <x v="2"/>
    <x v="4"/>
    <s v="S"/>
    <s v="K3"/>
    <s v="Pemimpin Satker"/>
    <s v="DPPK,DPSP"/>
    <s v="WG-2"/>
    <x v="3"/>
    <s v="BI-SSSS, BI-RTGS"/>
    <s v="Not Started"/>
  </r>
  <r>
    <s v="P-43"/>
    <n v="1"/>
    <s v="MLTI"/>
    <s v="Manajemen Layanan TI"/>
    <s v="Modernize MLTI"/>
    <x v="1"/>
    <x v="3"/>
    <s v="K"/>
    <s v="K3"/>
    <s v="Pemimpin Satker"/>
    <s v="DLDS"/>
    <s v="Satker"/>
    <x v="7"/>
    <s v="MLTI"/>
    <s v="Selesai Implementasi"/>
  </r>
  <r>
    <s v="P-44"/>
    <n v="1"/>
    <s v="ANTASENA Non LBUT"/>
    <s v="ANTASENA - Non LBUT"/>
    <s v="Modernize LKPBU - Tahap 1 Modul KPPK"/>
    <x v="6"/>
    <x v="6"/>
    <s v="K"/>
    <s v="K3"/>
    <s v="Pemimpin Satker"/>
    <s v="DSta, DIDD, DPKL"/>
    <s v="Satker"/>
    <x v="4"/>
    <s v="LKPBU"/>
    <s v="Proses Pengembangan"/>
  </r>
  <r>
    <s v="P-44"/>
    <n v="2"/>
    <s v="ANTASENA Non LBUT"/>
    <s v="ANTASENA - Non LBUT"/>
    <s v="Modernize LLD Non Bank Terintegrasi: DJBC"/>
    <x v="5"/>
    <x v="1"/>
    <s v="K"/>
    <s v="K3"/>
    <s v="Pemimpin Satker"/>
    <s v="DSta, DPKL, DIDD"/>
    <s v="WG-5"/>
    <x v="4"/>
    <s v="LLD"/>
    <s v="Not Started"/>
  </r>
  <r>
    <s v="P-44"/>
    <n v="3"/>
    <s v="ANTASENA Non LBUT"/>
    <s v="ANTASENA - Non LBUT"/>
    <s v="Peralihan pelaporan Derivatif PUVA dr Bappebti ke BI"/>
    <x v="2"/>
    <x v="4"/>
    <s v="K"/>
    <s v="K3"/>
    <s v="Pemimpin Satker"/>
    <s v="DSta, DPPK, DIDD, DPKL, DSMM"/>
    <s v="Satker"/>
    <x v="4"/>
    <s v="ANTASENA"/>
    <s v="Not Started"/>
  </r>
  <r>
    <s v="P-44"/>
    <n v="4"/>
    <s v="ANTASENA Non LBUT"/>
    <s v="ANTASENA - Non LBUT"/>
    <s v="Digitalisasi Laporan Offline  (Non LBUT - PJP/PIP)"/>
    <x v="2"/>
    <x v="1"/>
    <s v="K"/>
    <s v="K3"/>
    <s v="Pemimpin Satker"/>
    <s v="DSta, DIDD, DPKL, DSMM, DPPK, DKSP"/>
    <s v="Satker"/>
    <x v="4"/>
    <s v="ANTASENA"/>
    <s v="Not Started"/>
  </r>
  <r>
    <s v="P-44"/>
    <n v="5"/>
    <s v="ANTASENA Non LBUT"/>
    <s v="ANTASENA - Non LBUT"/>
    <s v="Modernize LKPBU - Tahap 2 Modul LTD BB dan KUPVA BB"/>
    <x v="3"/>
    <x v="1"/>
    <s v="K"/>
    <s v="K3"/>
    <s v="Pemimpin Satker"/>
    <s v="DSta, DIDD, DSMM, DSPK, DKSP, DPKL"/>
    <s v="Satker"/>
    <x v="4"/>
    <s v="LKPBU"/>
    <s v="Not Started"/>
  </r>
  <r>
    <s v="P-44"/>
    <n v="6"/>
    <s v="ANTASENA Non LBUT"/>
    <s v="ANTASENA - Non LBUT"/>
    <s v="Modernize LKPBU - Tahap 3 Modul LLPU dan LSBU"/>
    <x v="3"/>
    <x v="1"/>
    <s v="K"/>
    <s v="K3"/>
    <s v="Pemimpin Satker"/>
    <s v="DSta, DIDD, DSMM, DPPK, DPKL, DKSP"/>
    <s v="Satker"/>
    <x v="4"/>
    <s v="LKPBU"/>
    <s v="Not Started"/>
  </r>
  <r>
    <s v="P-45"/>
    <n v="1"/>
    <s v="Website Internal Pegawai (BLINK)"/>
    <s v="Internal Portal"/>
    <s v="Modernize BLINK "/>
    <x v="6"/>
    <x v="6"/>
    <s v="U"/>
    <s v="K3"/>
    <s v="Pemimpin Satker"/>
    <s v="Dkom"/>
    <s v="Satker"/>
    <x v="7"/>
    <s v="BLINK"/>
    <s v="Proses Pengembangan"/>
  </r>
  <r>
    <s v="P-46"/>
    <n v="1"/>
    <s v="BI-WEB"/>
    <s v="BI-WEB"/>
    <s v="Pengelolaan Website BI pada BI-WEB"/>
    <x v="6"/>
    <x v="6"/>
    <s v="K"/>
    <s v="K3"/>
    <s v="Pemimpin Satker"/>
    <s v="Dkom"/>
    <s v="PPLBI"/>
    <x v="7"/>
    <s v="BIWEB"/>
    <s v="Proses Pengembangan"/>
  </r>
  <r>
    <s v="P-46"/>
    <n v="2"/>
    <s v="BI-WEB"/>
    <s v="BI-WEB"/>
    <s v="Modernize Mobile Apps BI (BIMA)"/>
    <x v="6"/>
    <x v="4"/>
    <s v="K"/>
    <s v="K3"/>
    <s v="Pemimpin Satker"/>
    <s v="Dkom"/>
    <s v="PPLBI"/>
    <x v="7"/>
    <s v="BIMA"/>
    <s v="Selesai Pengadaan"/>
  </r>
  <r>
    <s v="P-47"/>
    <n v="1"/>
    <s v="Modifikasi Sistem Legacy Surrounding MHE-IS"/>
    <s v="Enhancement Aplikasi Legacy untuk MHE-IS"/>
    <s v="Surrounding MHE-IS: BI-SILK SPU"/>
    <x v="6"/>
    <x v="4"/>
    <s v="K"/>
    <s v="K3"/>
    <s v="Pemimpin Satker"/>
    <s v="DPU"/>
    <s v="PPLBI"/>
    <x v="2"/>
    <s v="BI-SILK, SOA"/>
    <s v="Proses Desain"/>
  </r>
  <r>
    <s v="P-47"/>
    <n v="2"/>
    <s v="Modifikasi Sistem Legacy Surrounding MHE-IS"/>
    <s v="Enhancement Aplikasi Legacy untuk MHE-IS"/>
    <s v="Surrounding MHE-IS: ERP SPU"/>
    <x v="6"/>
    <x v="4"/>
    <s v="K"/>
    <s v="K3"/>
    <s v="Pemimpin Satker"/>
    <s v="DKEU, DPU"/>
    <s v="PPLBI"/>
    <x v="7"/>
    <s v="ERPHRIS"/>
    <s v="Proses Desain"/>
  </r>
  <r>
    <s v="P-47"/>
    <n v="3"/>
    <s v="Modifikasi Sistem Legacy Surrounding MHE-IS"/>
    <s v="Enhancement Aplikasi Legacy untuk MHE-IS"/>
    <s v="Surrounding MHE-IS: SOA SPU"/>
    <x v="6"/>
    <x v="4"/>
    <s v="K"/>
    <s v="K3"/>
    <s v="Pemimpin Satker"/>
    <s v="DLDS"/>
    <s v="PPLBI"/>
    <x v="9"/>
    <s v="SOA"/>
    <s v="Proses Pengadaan"/>
  </r>
  <r>
    <s v="P-47"/>
    <n v="4"/>
    <s v="Modifikasi Sistem Legacy Surrounding MHE-IS"/>
    <s v="Enhancement Aplikasi Legacy untuk MHE-IS"/>
    <s v="Surrounding MHE-IS: CBS SPU"/>
    <x v="6"/>
    <x v="4"/>
    <s v="S"/>
    <s v="K3"/>
    <s v="Pemimpin Satker"/>
    <s v="DPU"/>
    <s v="PPLBI"/>
    <x v="2"/>
    <s v="CBS, SOA"/>
    <s v="Proses Desain"/>
  </r>
  <r>
    <s v="P-47"/>
    <n v="1"/>
    <s v="Modifikasi Sistem Legacy Surrounding MHE-IS"/>
    <s v="Enhancement Aplikasi Legacy untuk MHE-IS"/>
    <s v="Surrounding MHE-IS: BI-SILK DKU"/>
    <x v="6"/>
    <x v="6"/>
    <s v="K"/>
    <s v="K3"/>
    <s v="Pemimpin Satker"/>
    <s v="DPU"/>
    <s v="PPLBI"/>
    <x v="2"/>
    <s v="BI-SILK, SOA"/>
    <s v="Proses Desain"/>
  </r>
  <r>
    <s v="P-47"/>
    <n v="2"/>
    <s v="Modifikasi Sistem Legacy Surrounding MHE-IS"/>
    <s v="Enhancement Aplikasi Legacy untuk MHE-IS"/>
    <s v="Surrounding MHE-IS: ERP DKU"/>
    <x v="6"/>
    <x v="6"/>
    <s v="K"/>
    <s v="K3"/>
    <s v="Pemimpin Satker"/>
    <s v="DKEU, DPU"/>
    <s v="PPLBI"/>
    <x v="7"/>
    <s v="ERPHRIS"/>
    <s v="Proses Desain"/>
  </r>
  <r>
    <s v="P-47"/>
    <n v="3"/>
    <s v="Modifikasi Sistem Legacy Surrounding MHE-IS"/>
    <s v="Enhancement Aplikasi Legacy untuk MHE-IS"/>
    <s v="Surrounding MHE-IS: SOA DKU"/>
    <x v="6"/>
    <x v="6"/>
    <s v="K"/>
    <s v="K3"/>
    <s v="Pemimpin Satker"/>
    <s v="DLDS"/>
    <s v="PPLBI"/>
    <x v="9"/>
    <s v="SOA"/>
    <s v="Proses Pengadaan"/>
  </r>
  <r>
    <s v="P-48"/>
    <n v="1"/>
    <s v="Digital Library"/>
    <s v="Digital Library"/>
    <s v="Modernize Digital Library"/>
    <x v="6"/>
    <x v="4"/>
    <s v="U"/>
    <s v="K3"/>
    <s v="Pemimpin Satker"/>
    <s v="BINS"/>
    <s v="Satker"/>
    <x v="7"/>
    <s v="Digital Library"/>
    <s v="Proses Desain"/>
  </r>
  <r>
    <s v="P-49"/>
    <n v="1"/>
    <s v="SIMODIS"/>
    <s v="Capturing Devisa (SIMODIS)"/>
    <s v="Penyesuaian SIMODIS DHE SDA Tahap 2"/>
    <x v="6"/>
    <x v="3"/>
    <s v="K"/>
    <s v="K3"/>
    <s v="Pemimpin Satker"/>
    <s v="DPKL"/>
    <s v="Satker"/>
    <x v="4"/>
    <s v="SIMODIS"/>
    <s v="Selesai Implementasi"/>
  </r>
  <r>
    <s v="P-49"/>
    <n v="2"/>
    <s v="SIMODIS"/>
    <s v="Capturing Devisa (SIMODIS)"/>
    <s v="Pelaporan Kepabeanan Versi 1.3 pada SIMODIS "/>
    <x v="1"/>
    <x v="3"/>
    <s v="K"/>
    <s v="K3"/>
    <s v="Pemimpin Satker"/>
    <s v="DPKL"/>
    <s v="Satker"/>
    <x v="4"/>
    <s v="SIMODIS"/>
    <s v="Selesai Implementasi"/>
  </r>
  <r>
    <s v="P-49"/>
    <n v="3"/>
    <s v="SIMODIS"/>
    <s v="Capturing Devisa (SIMODIS)"/>
    <s v="Enhancement SIMODIS d.r. Pengawasan Penempatan DHE SDA"/>
    <x v="2"/>
    <x v="6"/>
    <s v="K"/>
    <s v="K3"/>
    <s v="Pemimpin Satker"/>
    <s v="DPKL"/>
    <s v="Satker"/>
    <x v="4"/>
    <s v="SIMODIS"/>
    <n v="0"/>
  </r>
  <r>
    <s v="P-49"/>
    <n v="4"/>
    <s v="SIMODIS"/>
    <s v="Capturing Devisa (SIMODIS)"/>
    <s v="Modernisasi Aplikasi Monitoring DHE"/>
    <x v="5"/>
    <x v="1"/>
    <s v="K"/>
    <s v="K3"/>
    <s v="Pemimpin Satker"/>
    <s v="Dsta, DPKL"/>
    <s v="WG-5"/>
    <x v="4"/>
    <s v="SIMODIS"/>
    <n v="0"/>
  </r>
  <r>
    <s v="P-50"/>
    <n v="1"/>
    <s v="FOMOBO"/>
    <s v="Sistem Treasuri Bank Indonesia"/>
    <s v="Implementasi Transaksi Derivatif FX Swap di FOMOBO"/>
    <x v="4"/>
    <x v="2"/>
    <n v="2026"/>
    <s v="K3"/>
    <s v="Pemimpin Satker"/>
    <s v="DPD"/>
    <s v="Satker"/>
    <x v="3"/>
    <s v="Bloomberg, FOMOBO, SOA"/>
    <s v="Not Started"/>
  </r>
  <r>
    <s v="P-50"/>
    <n v="2"/>
    <s v="FOMOBO"/>
    <s v="Sistem Treasuri Bank Indonesia"/>
    <s v="Tri Party Open Repo Devisa pada FOMOBO"/>
    <x v="2"/>
    <x v="4"/>
    <s v="S"/>
    <s v="K3"/>
    <s v="Pemimpin Satker"/>
    <s v="DPD"/>
    <s v="Satker"/>
    <x v="3"/>
    <s v="Bloomberg, FOMOBO, SOA"/>
    <s v="Not Started"/>
  </r>
  <r>
    <s v="P-50"/>
    <n v="3"/>
    <s v="FOMOBO"/>
    <s v="Sistem Treasuri Bank Indonesia"/>
    <s v="Triparty Repo BNYM"/>
    <x v="1"/>
    <x v="3"/>
    <s v="S"/>
    <s v="K3"/>
    <s v="Pemimpin Satker"/>
    <s v="DPD"/>
    <s v="Satker"/>
    <x v="3"/>
    <s v="FOMOBO, SOA, Bloomberg"/>
    <s v="Selesai Implementasi"/>
  </r>
  <r>
    <s v="P-50"/>
    <n v="4"/>
    <s v="FOMOBO"/>
    <s v="Sistem Treasuri Bank Indonesia"/>
    <s v="Perubahan dari Protokol TOF menjadi Protokol FIX LSEG pada FOMOBO"/>
    <x v="1"/>
    <x v="6"/>
    <s v="S"/>
    <s v="K3"/>
    <s v="Pemimpin Satker"/>
    <s v="DLDS, DPPT"/>
    <s v="Satker"/>
    <x v="3"/>
    <s v="Refintiv, FOMOBO"/>
    <s v="Proses Pengembangan"/>
  </r>
  <r>
    <s v="P-50"/>
    <n v="5"/>
    <s v="FOMOBO"/>
    <s v="Sistem Treasuri Bank Indonesia"/>
    <s v="Penguatan FOMOBO Tahap 1"/>
    <x v="2"/>
    <x v="6"/>
    <s v="S"/>
    <s v="K3"/>
    <s v="Pemimpin Satker"/>
    <s v="DPD, DPMA, DMR, DPPT, DKeu"/>
    <s v="Satker"/>
    <x v="3"/>
    <s v="FOMOBO"/>
    <s v="Not Started"/>
  </r>
  <r>
    <s v="P-50"/>
    <n v="6"/>
    <s v="FOMOBO"/>
    <s v="Sistem Treasuri Bank Indonesia"/>
    <s v="Penambahan Fitur Early Redemption Instrumen OM Rupiah BI-FOMOBO"/>
    <x v="6"/>
    <x v="3"/>
    <s v="S"/>
    <s v="K3"/>
    <s v="Pemimpin Satker"/>
    <s v="DPPT"/>
    <s v="Satker"/>
    <x v="3"/>
    <s v="FOMOBO"/>
    <s v="Selesai Implementasi"/>
  </r>
  <r>
    <s v="P-50"/>
    <n v="7"/>
    <s v="FOMOBO"/>
    <s v="Sistem Treasuri Bank Indonesia"/>
    <s v="Enh. Portfolio Workstation  (PWS) untuk Pengelolaan Risiko Operasi Moneter pada FMB "/>
    <x v="2"/>
    <x v="6"/>
    <s v="S"/>
    <s v="K3"/>
    <s v="Pemimpin Satker"/>
    <s v="DMR"/>
    <s v="Satker"/>
    <x v="3"/>
    <s v="FOMOBO"/>
    <s v="Not Started"/>
  </r>
  <r>
    <s v="P-50"/>
    <n v="8"/>
    <s v="FOMOBO"/>
    <s v="Sistem Treasuri Bank Indonesia"/>
    <s v="Pengembangan Penguatan Fungsi Pencatatan Akuntansi FOMOBO"/>
    <x v="1"/>
    <x v="3"/>
    <s v="S"/>
    <s v="K3"/>
    <s v="Pemimpin Satker"/>
    <s v="DPPT, DKEu, DMR, DPD"/>
    <s v="Satker"/>
    <x v="3"/>
    <s v="FOMOBO"/>
    <s v="Selesai Implementasi"/>
  </r>
  <r>
    <s v="P-50"/>
    <n v="9"/>
    <s v="FOMOBO"/>
    <s v="Sistem Treasuri Bank Indonesia"/>
    <s v="Upgrade versi FOMOBO"/>
    <x v="2"/>
    <x v="4"/>
    <s v="S"/>
    <s v="K3"/>
    <s v="Pemimpin Satker"/>
    <s v="DLDS"/>
    <s v="Satker"/>
    <x v="3"/>
    <s v="FOMOBO"/>
    <s v="Not Started"/>
  </r>
  <r>
    <s v="P-50"/>
    <n v="10"/>
    <s v="FOMOBO"/>
    <s v="Sistem Treasuri Bank Indonesia"/>
    <s v="Penguatan FOMOBO Tahap 2"/>
    <x v="2"/>
    <x v="4"/>
    <s v="S"/>
    <s v="K3"/>
    <s v="Pemimpin Satker"/>
    <s v="DPD, DPMA, DMR, DPPT, DKeu"/>
    <s v="Satker"/>
    <x v="3"/>
    <s v="FOMOBO"/>
    <s v="Not Started"/>
  </r>
  <r>
    <s v="P-51"/>
    <n v="1"/>
    <s v="BI-SILK"/>
    <s v="Pengelolaan Layanan Kas"/>
    <s v="Modernize Layanan Kas Tunai (BI-SILK)"/>
    <x v="6"/>
    <x v="3"/>
    <s v="K"/>
    <s v="K3"/>
    <s v="Pemimpin Satker"/>
    <s v="DPU"/>
    <s v="PPLBI"/>
    <x v="2"/>
    <s v="BI-SILK"/>
    <s v="Selesai Implementasi"/>
  </r>
  <r>
    <s v="P-52"/>
    <n v="1"/>
    <s v="GMMP"/>
    <s v="DCP GMMP"/>
    <s v="Implementasi Kewajiban Pemenuhan Giro RPIM pada GMMP"/>
    <x v="6"/>
    <x v="3"/>
    <s v="S"/>
    <s v="K3"/>
    <s v="Pemimpin Satker"/>
    <s v="DKMP"/>
    <s v="Satker"/>
    <x v="10"/>
    <s v="GMMP"/>
    <s v="Selesai Implementasi"/>
  </r>
  <r>
    <s v="P-52"/>
    <n v="2"/>
    <s v="GMMP"/>
    <s v="DCP GMMP"/>
    <s v="Implementasi Kewajiban Pemenuhan Giro RPIM pada GMMP-surrounding BI-SSS"/>
    <x v="6"/>
    <x v="3"/>
    <s v="S"/>
    <s v="K3"/>
    <s v="Pemimpin Satker"/>
    <s v="DKMP"/>
    <s v="Satker"/>
    <x v="10"/>
    <s v="GMMP"/>
    <s v="Selesai Implementasi"/>
  </r>
  <r>
    <s v="P-52"/>
    <n v="3"/>
    <s v="GMMP"/>
    <s v="DCP GMMP"/>
    <s v="Pemenuhan Sumber Data Komponen Perhitungan RIM dari LBUT pada GMMP"/>
    <x v="1"/>
    <x v="6"/>
    <s v="S"/>
    <s v="K3"/>
    <s v="Pemimpin Satker"/>
    <s v="DKMP"/>
    <s v="Satker"/>
    <x v="10"/>
    <s v="GMMP"/>
    <s v="Proses RBT-RBTD"/>
  </r>
  <r>
    <s v="P-52"/>
    <n v="4"/>
    <s v="GMMP"/>
    <s v="DCP GMMP"/>
    <s v="Penyesuaian Formula Pengenaan Sanksi GWM, untuk BUK dan BUS pada GMMP"/>
    <x v="1"/>
    <x v="6"/>
    <s v="S"/>
    <s v="K3"/>
    <s v="Pemimpin Satker"/>
    <s v="DKEM, DKMP, DEKS, DPKL, DIDD"/>
    <s v="Satker"/>
    <x v="10"/>
    <s v="GMMP"/>
    <s v="Proses Implementasi"/>
  </r>
  <r>
    <s v="P-52"/>
    <n v="5"/>
    <s v="GMMP"/>
    <s v="DCP GMMP"/>
    <s v="Rekonsiliasi data DPK dan Penyesuaian Perhitungan GWM Averaging d.r. Aksi Korporasi ditengah MP"/>
    <x v="1"/>
    <x v="6"/>
    <s v="S"/>
    <s v="K3"/>
    <s v="Pemimpin Satker"/>
    <s v="DKEM, DKMP,  DPKL"/>
    <s v="Satker"/>
    <x v="10"/>
    <s v="GMMP, IEA"/>
    <s v="Selesai Pengadaan"/>
  </r>
  <r>
    <s v="P-52"/>
    <n v="6"/>
    <s v="GMMP"/>
    <s v="DCP GMMP"/>
    <s v="Implementasi Kewajiban Pemenuhan Giro RPIM pada GMMP Tahap 2"/>
    <x v="6"/>
    <x v="3"/>
    <s v="S"/>
    <s v="K3"/>
    <s v="Pemimpin Satker"/>
    <s v="DKMP"/>
    <s v="Satker"/>
    <x v="10"/>
    <s v="GMMP"/>
    <s v="Selesai Implementasi"/>
  </r>
  <r>
    <s v="P-52"/>
    <n v="7"/>
    <s v="GMMP"/>
    <s v="DCP GMMP"/>
    <s v="Penyesuaian Formula Pengenaan Sanksi GWM, untuk BUK dan BUS pada GMMP - Surrounding ANTASENA"/>
    <x v="1"/>
    <x v="6"/>
    <s v="S"/>
    <s v="K3"/>
    <s v="Pemimpin Satker"/>
    <s v="DKEM, DKMP, DEKS, DPKL, DIDD"/>
    <s v="Satker"/>
    <x v="11"/>
    <s v="GMMP"/>
    <s v="Proses Implementasi"/>
  </r>
  <r>
    <s v="P-52"/>
    <n v="8"/>
    <s v="GMMP"/>
    <s v="DCP GMMP"/>
    <s v="KLM Forward Looking Tahap 1"/>
    <x v="1"/>
    <x v="3"/>
    <s v="S"/>
    <s v="K3"/>
    <s v="Pemimpin Satker"/>
    <s v="DKMP"/>
    <s v="Satker"/>
    <x v="10"/>
    <s v="GMMP"/>
    <s v="Selesai Implementasi"/>
  </r>
  <r>
    <s v="P-52"/>
    <n v="9"/>
    <s v="GMMP"/>
    <s v="DCP GMMP"/>
    <s v="KLM Forward Looking Tahap 2"/>
    <x v="6"/>
    <x v="6"/>
    <s v="S"/>
    <s v="K3"/>
    <s v="Pemimpin Satker"/>
    <s v="DKMP"/>
    <s v="Satker"/>
    <x v="10"/>
    <s v="GMMP"/>
    <s v="Proses UAT"/>
  </r>
  <r>
    <s v="P-52"/>
    <n v="10"/>
    <s v="GMMP"/>
    <s v="DCP GMMP"/>
    <s v="Pemberian Remunerasi Excess Reserves Tahap 1"/>
    <x v="1"/>
    <x v="3"/>
    <s v="S"/>
    <s v="K3"/>
    <m/>
    <m/>
    <m/>
    <x v="10"/>
    <s v="GGMP"/>
    <m/>
  </r>
  <r>
    <s v="P-53"/>
    <n v="1"/>
    <s v="SISMONTAVAR"/>
    <s v="Capturing Transaksi Valas dan Rupiah"/>
    <s v="Modernize Custom Report SISMONTAVAR"/>
    <x v="6"/>
    <x v="3"/>
    <s v="K"/>
    <s v="K3"/>
    <s v="Pemimpin Satker"/>
    <s v="DLDS"/>
    <s v="Satker"/>
    <x v="3"/>
    <s v="SISMONTAVAR"/>
    <s v="Selesai Implementasi"/>
  </r>
  <r>
    <s v="P-54"/>
    <n v="1"/>
    <s v="ERPHRIS"/>
    <s v="ERPHRIS"/>
    <s v="Pengelolaan Uang BI pada Modul INV - WMS di ERPHRIS"/>
    <x v="1"/>
    <x v="6"/>
    <s v="K"/>
    <s v="K3"/>
    <s v="Pemimpin Satker"/>
    <s v="DPU, DPPT"/>
    <s v="Satker"/>
    <x v="7"/>
    <s v="ERPHRIS, SOA"/>
    <s v="Proses Pengembangan"/>
  </r>
  <r>
    <s v="P-54"/>
    <n v="2"/>
    <s v="ERPHRIS"/>
    <s v="ERPHRIS"/>
    <s v="Pengelolaan Keuangan BI (Prioritas 1) pada ERPHRIS"/>
    <x v="1"/>
    <x v="6"/>
    <s v="K"/>
    <s v="K3"/>
    <s v="Pemimpin Satker"/>
    <s v="DKeu"/>
    <s v="Satker"/>
    <x v="7"/>
    <s v="ERPHRIS"/>
    <s v="Selesai Implementasi"/>
  </r>
  <r>
    <s v="P-54"/>
    <n v="3"/>
    <s v="ERPHRIS"/>
    <s v="ERPHRIS"/>
    <s v="Pengelolaan Keuangan BI (Prioritas 2) pada ERPHRIS"/>
    <x v="1"/>
    <x v="6"/>
    <s v="K"/>
    <s v="K3"/>
    <s v="Pemimpin Satker"/>
    <s v="DKeu"/>
    <s v="Satker"/>
    <x v="7"/>
    <s v="ERPHRIS"/>
    <s v="Selesai Pengadaan"/>
  </r>
  <r>
    <s v="P-54"/>
    <n v="4"/>
    <s v="ERPHRIS"/>
    <s v="ERPHRIS"/>
    <s v="Pengelolaan Keuangan BI (Prioritas 3) pada ERPHRIS"/>
    <x v="1"/>
    <x v="4"/>
    <s v="K"/>
    <s v="K3"/>
    <s v="Pemimpin Satker"/>
    <s v="DKeu"/>
    <s v="Satker"/>
    <x v="7"/>
    <s v="ERPHRIS"/>
    <s v="Selesai Pengadaan"/>
  </r>
  <r>
    <s v="P-54"/>
    <n v="5"/>
    <s v="ERPHRIS"/>
    <s v="ERPHRIS"/>
    <s v="Pengelolaan Remunerasi (Prioritas 1) pada ERPHRIS"/>
    <x v="1"/>
    <x v="3"/>
    <s v="K"/>
    <s v="K3"/>
    <s v="Pemimpin Satker"/>
    <s v="DSDM, DKeu"/>
    <s v="Satker"/>
    <x v="7"/>
    <s v="ERPHRIS"/>
    <s v="Selesai Implementasi"/>
  </r>
  <r>
    <s v="P-54"/>
    <n v="6"/>
    <s v="ERPHRIS"/>
    <s v="ERPHRIS"/>
    <s v="Pengelolaan Remunerasi (Prioritas 2) pada ERPHRIS"/>
    <x v="1"/>
    <x v="6"/>
    <s v="K"/>
    <s v="K3"/>
    <s v="Pemimpin Satker"/>
    <s v="DSDM, DKeu"/>
    <s v="Satker"/>
    <x v="7"/>
    <s v="ERPHRIS"/>
    <s v="Selesai Pengadaan"/>
  </r>
  <r>
    <s v="P-54"/>
    <n v="7"/>
    <s v="ERPHRIS"/>
    <s v="ERPHRIS"/>
    <s v="Pengelolaan Remunerasi (Prioritas 3) pada ERPHRIS"/>
    <x v="1"/>
    <x v="4"/>
    <s v="K"/>
    <s v="K3"/>
    <s v="Pemimpin Satker"/>
    <s v="DSDM, DKeu"/>
    <s v="Satker"/>
    <x v="7"/>
    <s v="ERPHRIS"/>
    <s v="Selesai Pengadaan"/>
  </r>
  <r>
    <s v="P-54"/>
    <n v="8"/>
    <s v="ERPHRIS"/>
    <s v="ERPHRIS"/>
    <s v="Enhancement ERPHRIS Prioritas "/>
    <x v="6"/>
    <x v="3"/>
    <s v="K"/>
    <s v="K3"/>
    <s v="Pemimpin Satker"/>
    <s v="Dkeu, DSDM, DPU"/>
    <s v="Satker"/>
    <x v="7"/>
    <s v="ERPHRIS"/>
    <s v="Selesai Implementasi"/>
  </r>
  <r>
    <s v="P-54"/>
    <n v="9"/>
    <s v="ERPHRIS"/>
    <s v="ERPHRIS"/>
    <s v="Penyesuaian Tarif PPN 12%"/>
    <x v="1"/>
    <x v="3"/>
    <s v="K"/>
    <s v="K3"/>
    <s v="Pemimpin Satker"/>
    <s v="DKeu"/>
    <s v="Satker"/>
    <x v="7"/>
    <s v="ERPHRIS"/>
    <s v="Selesai Implementasi"/>
  </r>
  <r>
    <s v="P-55"/>
    <n v="1"/>
    <s v="BI-SSS"/>
    <s v="Surveilance Supervision System"/>
    <s v="Enh. sistem surveillance BI pada BI-SSS"/>
    <x v="1"/>
    <x v="3"/>
    <s v="K"/>
    <s v="K3"/>
    <s v="Pemimpin Satker"/>
    <s v="DSMM"/>
    <s v="Satker"/>
    <x v="10"/>
    <s v="BI-SSS"/>
    <s v="Selesai Implementasi"/>
  </r>
  <r>
    <s v="P-55"/>
    <n v="2"/>
    <s v="BI-SSS"/>
    <s v="Surveilance Supervision System"/>
    <s v="Digitalisasi Asesmen TIKMI"/>
    <x v="1"/>
    <x v="6"/>
    <s v="K"/>
    <s v="K3"/>
    <s v="Pemimpin Satker"/>
    <s v="DSMM"/>
    <s v="Satker"/>
    <x v="10"/>
    <s v="BI-SSS"/>
    <s v="Selesai Pengadaan"/>
  </r>
  <r>
    <s v="P-55"/>
    <n v="3"/>
    <s v="BI-SSS"/>
    <s v="Surveilance Supervision System"/>
    <s v="Pemrosesan PLJP/PLJPS v1.2 "/>
    <x v="1"/>
    <x v="6"/>
    <s v="K"/>
    <s v="K3"/>
    <s v="Pemimpin Satker"/>
    <s v="DSMM"/>
    <s v="Satker"/>
    <x v="10"/>
    <s v="BI-SSS"/>
    <s v="Proses Pengadaan"/>
  </r>
  <r>
    <s v="P-55"/>
    <n v="4"/>
    <s v="BI-SSS"/>
    <s v="Surveilance Supervision System"/>
    <s v="Modernize BI-SSS"/>
    <x v="1"/>
    <x v="4"/>
    <s v="K"/>
    <s v="K3"/>
    <s v="Pemimpin Satker"/>
    <s v="DSMM"/>
    <s v="Satker"/>
    <x v="10"/>
    <s v="BI-SSS"/>
    <s v="Proses RBT-RBTD"/>
  </r>
  <r>
    <s v="P-55"/>
    <n v="5"/>
    <s v="BI-SSS"/>
    <s v="Surveilance Supervision System"/>
    <s v="Digitalisasi TIKMI - Key Survey "/>
    <x v="6"/>
    <x v="3"/>
    <s v="K"/>
    <s v="K3"/>
    <s v="Pemimpin Satker"/>
    <s v="DSMM"/>
    <s v="Satker"/>
    <x v="10"/>
    <s v="Key Survey "/>
    <s v="Selesai Implementasi"/>
  </r>
  <r>
    <s v="P-57"/>
    <n v="1"/>
    <s v="CRM BICARA"/>
    <s v="Customer Relationship Management (BICARA)"/>
    <s v="Penyesuaian aplikasi CRM Bicara untuk mendukung Implementas Lembaga Alternatif Penyelesaian Sengketa di Sektor Keuangan (LAPS-SK) Tahap 1"/>
    <x v="1"/>
    <x v="6"/>
    <s v="U"/>
    <s v="K3"/>
    <s v="Pemimpin Satker"/>
    <s v="DSPK, DKOM"/>
    <s v="Satker"/>
    <x v="7"/>
    <s v="BICARA"/>
    <s v="Proses RBT-RBL"/>
  </r>
  <r>
    <s v="P-58"/>
    <n v="1"/>
    <s v="Integrasi Survei"/>
    <s v="Integrasi Survei"/>
    <s v="Modernize Integrasi Survei Tahap 1"/>
    <x v="1"/>
    <x v="4"/>
    <s v="K"/>
    <s v="K3"/>
    <s v="Pemimpin Satker"/>
    <s v="DSta"/>
    <s v="Satker"/>
    <x v="4"/>
    <s v="Integrasi Survei"/>
    <s v="Selesai KAK"/>
  </r>
  <r>
    <s v="P-58"/>
    <n v="2"/>
    <s v="Integrasi Survei"/>
    <s v="Integrasi Survei"/>
    <s v="Modernize Integrasi Survei Tahap 2"/>
    <x v="2"/>
    <x v="4"/>
    <s v="K"/>
    <s v="K3"/>
    <s v="Pemimpin Satker"/>
    <s v="DSta"/>
    <s v="Satker"/>
    <x v="4"/>
    <s v="Integrasi Survei"/>
    <s v="Not Started"/>
  </r>
  <r>
    <s v="P-58"/>
    <n v="3"/>
    <s v="Integrasi Survei"/>
    <s v="Integrasi Survei"/>
    <s v="Modernize Integrasi Survei Tahap 3"/>
    <x v="3"/>
    <x v="1"/>
    <s v="K"/>
    <s v="K3"/>
    <s v="Pemimpin Satker"/>
    <s v="Dsta"/>
    <s v="Satker"/>
    <x v="4"/>
    <s v="Integrasi Survei"/>
    <s v="Not Started"/>
  </r>
  <r>
    <s v="P-59"/>
    <n v="1"/>
    <s v="SI BI-SSSS"/>
    <s v="Reporting BI-SSSS"/>
    <s v="Modernize (rewrite) SI BI-SSSS"/>
    <x v="1"/>
    <x v="6"/>
    <s v="K"/>
    <s v="K3"/>
    <s v="Pemimpin Satker"/>
    <s v="DPSP, DLDS"/>
    <s v="Satker"/>
    <x v="3"/>
    <s v="SI BI-SSSS"/>
    <s v="Proses RBT-RBB"/>
  </r>
  <r>
    <s v="P-60"/>
    <n v="1"/>
    <s v="CBS"/>
    <s v="Core Banking System Gen II"/>
    <s v="Modernize Core Banking System (CBS)"/>
    <x v="1"/>
    <x v="1"/>
    <s v="S"/>
    <s v="K2"/>
    <s v="RDG"/>
    <s v="DPPT, DPU"/>
    <s v="WG-2"/>
    <x v="2"/>
    <s v="CBS"/>
    <s v="Proses RBT-RBL"/>
  </r>
  <r>
    <s v="P-61"/>
    <n v="1"/>
    <s v="Learning Management System (LMS)"/>
    <s v="Learning Management System"/>
    <s v="Enh. aplikasi Learning Management System (LMS) Tahap 1"/>
    <x v="6"/>
    <x v="3"/>
    <s v="K"/>
    <s v="K3"/>
    <s v="Pemimpin Satker"/>
    <s v="BINS"/>
    <s v="Satker"/>
    <x v="7"/>
    <s v="LMS-BI"/>
    <s v="Selesai Implementasi"/>
  </r>
  <r>
    <s v="P-61"/>
    <n v="2"/>
    <s v="Learning Management System (LMS)"/>
    <s v="Learning Management System"/>
    <s v="Integrasi LMS-BI dan HRIS"/>
    <x v="1"/>
    <x v="3"/>
    <s v="K"/>
    <s v="K3"/>
    <s v="Pemimpin Satker"/>
    <s v="BINS"/>
    <s v="Satker"/>
    <x v="7"/>
    <s v="LMS-BI"/>
    <s v="Selesai Implementasi"/>
  </r>
  <r>
    <s v="P-61"/>
    <n v="3"/>
    <s v="Learning Management System (LMS)"/>
    <s v="Learning Management System"/>
    <s v="Integrasi LMS-BI dan HR Super Apps"/>
    <x v="1"/>
    <x v="6"/>
    <s v="K"/>
    <s v="K3"/>
    <s v="Pemimpin Satker"/>
    <s v="BINS"/>
    <s v="Satker"/>
    <x v="7"/>
    <s v="LMS-BI"/>
    <s v="Selesai Implementasi"/>
  </r>
  <r>
    <s v="P-61"/>
    <n v="4"/>
    <s v="Learning Management System (LMS)"/>
    <s v="Learning Management System"/>
    <s v="Enh. aplikasi Learning Management System (LMS) Tahap 3"/>
    <x v="2"/>
    <x v="6"/>
    <s v="K"/>
    <s v="K3"/>
    <s v="Pemimpin Satker"/>
    <s v="BINS"/>
    <s v="Satker"/>
    <x v="7"/>
    <s v="LMS-BI"/>
    <s v="Not Started"/>
  </r>
  <r>
    <s v="P-61"/>
    <n v="5"/>
    <s v="Learning Management System (LMS)"/>
    <s v="Learning Management System"/>
    <s v="Enh. aplikasi Learning Management System (LMS) Tahap 4"/>
    <x v="2"/>
    <x v="4"/>
    <s v="K"/>
    <s v="K3"/>
    <s v="Pemimpin Satker"/>
    <s v="BINS"/>
    <s v="Satker"/>
    <x v="7"/>
    <s v="LMS-BI"/>
    <s v="Not Started"/>
  </r>
  <r>
    <s v="P-62"/>
    <n v="1"/>
    <s v="EASE"/>
    <s v="Sistem Perizinan Bank Indonesia"/>
    <s v="Modernize Sistem Perizinan (E-Licensing) "/>
    <x v="6"/>
    <x v="3"/>
    <s v="K"/>
    <s v="K3"/>
    <s v="Pemimpin Satker"/>
    <s v="DPPT"/>
    <s v="Satker"/>
    <x v="10"/>
    <s v="EASE"/>
    <s v="Selesai Implementasi"/>
  </r>
  <r>
    <s v="P-62"/>
    <n v="2"/>
    <s v="EASE"/>
    <s v="Sistem Perizinan Bank Indonesia"/>
    <s v="Enhacement Otomasi dan Optimalisasi Perizinan"/>
    <x v="1"/>
    <x v="6"/>
    <s v="K"/>
    <s v="K3"/>
    <s v="Pemimpin Satker"/>
    <s v="DPPT"/>
    <s v="Satker"/>
    <x v="10"/>
    <s v="EASE"/>
    <s v="Proses SIT"/>
  </r>
  <r>
    <s v="P-62"/>
    <n v="3"/>
    <s v="EASE"/>
    <s v="Sistem Perizinan Bank Indonesia"/>
    <s v="Pengembangan Perizinan KUPVA BB"/>
    <x v="2"/>
    <x v="6"/>
    <s v="K"/>
    <s v="K3"/>
    <s v="Pemimpin Satker"/>
    <s v="DPPT"/>
    <s v="Satker"/>
    <x v="10"/>
    <s v="EASE"/>
    <s v="Not Started"/>
  </r>
  <r>
    <s v="P-63"/>
    <n v="1"/>
    <s v="ANTASENA LBUT"/>
    <s v="ANTASENA - LBUT"/>
    <s v="Enhancement Antasena LBUT Tahap 1 "/>
    <x v="6"/>
    <x v="3"/>
    <s v="K"/>
    <s v="K3"/>
    <s v="Pemimpin Satker"/>
    <s v="DIDD, DSta"/>
    <s v="Satker"/>
    <x v="4"/>
    <s v="ANTASENA "/>
    <s v="Selesai Implementasi"/>
  </r>
  <r>
    <s v="P-63"/>
    <n v="2"/>
    <s v="ANTASENA LBUT"/>
    <s v="ANTASENA - LBUT"/>
    <s v="Pengiriman data LBUT ke OJK dan LPS"/>
    <x v="1"/>
    <x v="3"/>
    <s v="K"/>
    <s v="K3"/>
    <s v="Pemimpin Satker"/>
    <s v="DKMP, DIDD"/>
    <s v="Satker"/>
    <x v="4"/>
    <s v="ANTASENA, IEA"/>
    <s v="Selesai Implementasi"/>
  </r>
  <r>
    <s v="P-63"/>
    <n v="3"/>
    <s v="ANTASENA LBUT"/>
    <s v="ANTASENA - LBUT"/>
    <s v="Penguatan LBUT untuk STP Tahap 1"/>
    <x v="1"/>
    <x v="6"/>
    <s v="K"/>
    <s v="K3"/>
    <s v="Pemimpin Satker"/>
    <s v="Dsta, DPKL, DIDD"/>
    <s v="Satker"/>
    <x v="4"/>
    <s v="ANTASENA "/>
    <s v="Proses RPP"/>
  </r>
  <r>
    <s v="P-63"/>
    <n v="4"/>
    <s v="ANTASENA LBUT"/>
    <s v="ANTASENA - LBUT"/>
    <s v="Digitalisasi Laporan Offline (LBUT - RPIM &amp; PJP/PIP)"/>
    <x v="2"/>
    <x v="4"/>
    <s v="K"/>
    <s v="K3"/>
    <s v="Pemimpin Satker"/>
    <s v="DSta, DIDD, _x000b_DSPK, DSMM"/>
    <s v="Satker"/>
    <x v="4"/>
    <s v="ANTASENA"/>
    <s v="Not Started"/>
  </r>
  <r>
    <s v="P-63"/>
    <n v="5"/>
    <s v="ANTASENA LBUT"/>
    <s v="ANTASENA - LBUT"/>
    <s v="Enhancement Antasena LBUT Tahap 2"/>
    <x v="6"/>
    <x v="3"/>
    <s v="K"/>
    <s v="K3"/>
    <s v="Pemimpin Satker"/>
    <s v="DIDD, DSta"/>
    <s v="Satker"/>
    <x v="4"/>
    <s v="ANTASENA "/>
    <s v="Selesai Implementasi"/>
  </r>
  <r>
    <s v="P-63"/>
    <n v="6"/>
    <s v="ANTASENA LBUT"/>
    <s v="ANTASENA - LBUT"/>
    <s v="Enhancement Antasena LBUT Tahap 3"/>
    <x v="6"/>
    <x v="6"/>
    <s v="K"/>
    <s v="K3"/>
    <s v="Pemimpin Satker"/>
    <s v="DSta, DPKL, DIDD"/>
    <s v="Satker"/>
    <x v="4"/>
    <s v="ANTASENA"/>
    <s v="Proses SIT"/>
  </r>
  <r>
    <s v="P-63"/>
    <n v="7"/>
    <s v="ANTASENA LBUT"/>
    <s v="ANTASENA - LBUT"/>
    <s v="Enhancement Antasena LBUT : Fleksibilitas Metadata"/>
    <x v="6"/>
    <x v="3"/>
    <s v="K"/>
    <s v="K3"/>
    <s v="Pemimpin Satker"/>
    <s v="DSta, DPKL, DIDD"/>
    <s v="Satker"/>
    <x v="4"/>
    <s v="ANTASENA"/>
    <s v="Selesai Implementasi"/>
  </r>
  <r>
    <s v="P-63"/>
    <n v="8"/>
    <s v="ANTASENA LBUT"/>
    <s v="ANTASENA - LBUT"/>
    <s v="Enhancement Antasena LBUT : Retensi Data"/>
    <x v="6"/>
    <x v="6"/>
    <s v="K"/>
    <s v="K3"/>
    <s v="Pemimpin Satker"/>
    <s v="DLDS, DIDD, DSta, DPKL"/>
    <s v="Satker"/>
    <x v="4"/>
    <s v="ANTASENA"/>
    <s v="Not Started"/>
  </r>
  <r>
    <s v="P-63"/>
    <n v="9"/>
    <s v="ANTASENA LBUT"/>
    <s v="ANTASENA - LBUT"/>
    <s v="Penguatan LBUT untuk STP Tahap 2"/>
    <x v="2"/>
    <x v="4"/>
    <s v="K"/>
    <s v="K3"/>
    <s v="Pemimpin Satker"/>
    <s v="DSta, DPKL, DIDD"/>
    <s v="Satker"/>
    <x v="4"/>
    <s v="ANTASENA"/>
    <s v="Not Started"/>
  </r>
  <r>
    <s v="P-63"/>
    <n v="10"/>
    <s v="ANTASENA LBUT"/>
    <s v="ANTASENA - LBUT"/>
    <s v="Pengembangan  capturing LBUT dan LLD Terintegrasi"/>
    <x v="2"/>
    <x v="1"/>
    <s v="K"/>
    <s v="K3"/>
    <s v="Pemimpin Satker"/>
    <s v="DSta,DIDD"/>
    <s v="WG-5"/>
    <x v="4"/>
    <m/>
    <n v="0"/>
  </r>
  <r>
    <s v="P-64"/>
    <n v="1"/>
    <s v="Enhancement SIUMBI"/>
    <s v="Sistem UMKM"/>
    <s v="SIUMBI:  Pengelolaan Informasi Ketahanan Pangan pada SIKEPANG (Sistem Informasi Ketahanan Pangan)"/>
    <x v="6"/>
    <x v="3"/>
    <s v="U"/>
    <s v="K3 "/>
    <s v="Pemimpin Satker"/>
    <s v="DEIH"/>
    <s v="Satker"/>
    <x v="10"/>
    <s v="SIKEPANG"/>
    <s v="Selesai Implementasi"/>
  </r>
  <r>
    <s v="P-64"/>
    <m/>
    <s v="Enhancement SIUMBI"/>
    <s v="Sistem UMKM"/>
    <s v="Enhancement SIUMBI Modul SIAPIK"/>
    <x v="1"/>
    <x v="4"/>
    <s v="U"/>
    <s v="K3 "/>
    <s v="Pemimpin Satker"/>
    <s v="DEIH"/>
    <s v="Satker"/>
    <x v="10"/>
    <s v="SIUMBI"/>
    <s v="Proses RBT-RBTD"/>
  </r>
  <r>
    <s v="P-65"/>
    <n v="1"/>
    <s v="Modernize BI Counterfeit Analysis Center "/>
    <s v="Reporting Pengelolaan Layanan Kas"/>
    <s v="Modernize BI Counterfeit Analysis Center "/>
    <x v="2"/>
    <x v="4"/>
    <s v="U"/>
    <s v="K3"/>
    <s v="Pemimpin Satker"/>
    <s v="DPU"/>
    <s v="Satker"/>
    <x v="2"/>
    <s v="BI CAC Gen 2"/>
    <s v="Not Started"/>
  </r>
  <r>
    <s v="P-66"/>
    <n v="1"/>
    <s v="Legal Information Management System (LIMS)"/>
    <s v="Legal Information Management System"/>
    <s v="Enh. Legal Information Management System (LIMS)"/>
    <x v="1"/>
    <x v="4"/>
    <s v="U"/>
    <s v="K3"/>
    <s v="Pemimpin Satker"/>
    <s v="DHk"/>
    <s v="Satker"/>
    <x v="7"/>
    <s v="LIMS"/>
    <s v="Selesai RBT-RBTD"/>
  </r>
  <r>
    <s v="P-67"/>
    <n v="1"/>
    <s v="WBS"/>
    <s v="Whisle Blowing System"/>
    <s v="Modernize WBS"/>
    <x v="2"/>
    <x v="1"/>
    <s v="U"/>
    <s v="K3"/>
    <s v="Pemimpin Satker"/>
    <s v="DAI, DLDS"/>
    <s v="Satker"/>
    <x v="7"/>
    <s v="WBS"/>
    <s v="Not Started"/>
  </r>
  <r>
    <s v="P-68"/>
    <n v="1"/>
    <s v="BI-RMS"/>
    <s v="Record Management System"/>
    <s v="Modernize BI-RMS"/>
    <x v="2"/>
    <x v="2"/>
    <s v="U"/>
    <s v="K3"/>
    <s v="Pemimpin Satker"/>
    <s v="DLAF, DLDS"/>
    <s v="Satker"/>
    <x v="7"/>
    <s v="BI-RMS"/>
    <s v="Not Started"/>
  </r>
  <r>
    <s v="P-69"/>
    <n v="1"/>
    <s v="BI-SIAP "/>
    <s v="Sistem Presensi Pegawai"/>
    <s v="Modernize dan Enhancement BI-SIAP "/>
    <x v="1"/>
    <x v="4"/>
    <s v="U"/>
    <s v="K3"/>
    <s v="Pemimpin Satker"/>
    <s v="DSDM, DLDS"/>
    <s v="Satker"/>
    <x v="7"/>
    <s v="BI-SIAP"/>
    <s v="Proses RBT-RBTD"/>
  </r>
  <r>
    <s v="P-70"/>
    <n v="1"/>
    <s v="Legacy ISO 20022"/>
    <s v="Implementasi ISO 20022"/>
    <s v="Legacy ISO 20022: CBS"/>
    <x v="6"/>
    <x v="3"/>
    <s v="S"/>
    <s v="K3"/>
    <s v="Pemimpin Satker"/>
    <s v="DPPT"/>
    <s v="Satker"/>
    <x v="2"/>
    <s v="CBS"/>
    <s v="Selesai Implementasi"/>
  </r>
  <r>
    <s v="P-70"/>
    <n v="2"/>
    <s v="Legacy ISO 20022"/>
    <s v="Implementasi ISO 20022"/>
    <s v="Legacy ISO 20022: ERPHRIS"/>
    <x v="6"/>
    <x v="3"/>
    <s v="S"/>
    <s v="K3"/>
    <s v="Pemimpin Satker"/>
    <s v="DKeu DLDS"/>
    <s v="Satker"/>
    <x v="7"/>
    <s v="ERPHRIS"/>
    <s v="Selesai Implementasi"/>
  </r>
  <r>
    <s v="P-71"/>
    <n v="1"/>
    <s v="NCP"/>
    <s v="Sistem Treasuri Bank Indonesia - NCP"/>
    <s v="Enhancement NCP Laporan Perhitungan Valas "/>
    <x v="6"/>
    <x v="3"/>
    <s v="K"/>
    <s v="K3"/>
    <s v="Pemimpin Satker"/>
    <s v="DKeu"/>
    <s v="Satker"/>
    <x v="3"/>
    <s v="BI-NCP"/>
    <s v="Selesai Implementasi"/>
  </r>
  <r>
    <s v="P-71"/>
    <n v="1"/>
    <s v="NCP"/>
    <s v="Sistem Treasuri Bank Indonesia - NCP"/>
    <s v="Enhancement NCP fungsi rekalkulasi _x000a_atas reversal incremental"/>
    <x v="1"/>
    <x v="3"/>
    <s v="K"/>
    <s v="K3"/>
    <s v="Pemimpin Satker"/>
    <s v="DKeu"/>
    <s v="Satker"/>
    <x v="3"/>
    <s v="BI-NCP"/>
    <s v="Selesai Implementasi"/>
  </r>
  <r>
    <s v="P-72"/>
    <n v="1"/>
    <s v="BI-ALK "/>
    <s v="Pengelolaan Layanan Kas - Antrian"/>
    <s v="Pengelolaan Layanan Antrian Kas pada BI-ALK "/>
    <x v="6"/>
    <x v="3"/>
    <s v="K"/>
    <s v="K3"/>
    <s v="Pemimpin Satker"/>
    <s v="DPU"/>
    <s v="PPLBI"/>
    <x v="2"/>
    <s v="BI-ALK"/>
    <s v="Selesai Implementasi"/>
  </r>
  <r>
    <s v="P-73"/>
    <n v="1"/>
    <s v="JDIH"/>
    <s v="Portal Jaringan Dokumentasi dan Informasi Hukum (JDIH)"/>
    <s v="Layanan Informasi Dokumen Hukum berbasis Web pada JDIH"/>
    <x v="6"/>
    <x v="3"/>
    <s v="U"/>
    <s v="K3"/>
    <s v="Pemimpin Satker"/>
    <s v="DHk"/>
    <s v="Satker"/>
    <x v="7"/>
    <s v="JDIH"/>
    <s v="Selesai Implementasi"/>
  </r>
  <r>
    <s v="P-73"/>
    <n v="2"/>
    <s v="JDIH"/>
    <s v="Portal Jaringan Dokumentasi dan Informasi Hukum (JDIH)"/>
    <s v="Integrasi LIMS dengan JDIH"/>
    <x v="6"/>
    <x v="3"/>
    <s v="U"/>
    <s v="K3"/>
    <s v="Pemimpin Satker"/>
    <s v="DHk"/>
    <s v="Satker"/>
    <x v="7"/>
    <s v="JDIH"/>
    <s v="Selesai Implementasi"/>
  </r>
  <r>
    <s v="P-74"/>
    <n v="1"/>
    <s v="BI-ETP"/>
    <s v="BI-ETP"/>
    <s v="Enh BI-ETP Penyediaan Informasi Investor Asing (Tindak Lanjut FORHAR)"/>
    <x v="3"/>
    <x v="1"/>
    <s v="S"/>
    <s v="K3"/>
    <s v="Pemimpin Satker"/>
    <s v="DPPK, DPMA, DPPT, DPSP"/>
    <s v="Satker"/>
    <x v="3"/>
    <s v="BI-ETP"/>
    <s v="Not Started"/>
  </r>
  <r>
    <s v="P-74"/>
    <n v="2"/>
    <s v="BI-ETP"/>
    <s v="BI-ETP"/>
    <s v="Enhancement  Untuk Fitur Pengiriman Hasil Lelang Berbagai Jenis Bids (Termasuk Incoming Non-competitive Bids)"/>
    <x v="6"/>
    <x v="3"/>
    <s v="S"/>
    <s v="K3"/>
    <s v="Pemimpin Satker"/>
    <s v="DPPK, DPSP, DPMA"/>
    <s v="Satker"/>
    <x v="3"/>
    <s v="B-ETP, BI-ETP Alternate"/>
    <s v="Selesai Implementasi"/>
  </r>
  <r>
    <s v="P-75"/>
    <n v="1"/>
    <s v="ANTASENA Non Bank "/>
    <s v="ANTASENA - Non Bank"/>
    <s v="Enh. Aplikasi Pelaporan Online SK SP - Tahap 2"/>
    <x v="6"/>
    <x v="3"/>
    <s v="K"/>
    <s v="K3"/>
    <s v="Pemimpin Satker"/>
    <s v="DIDD, DSta"/>
    <s v="Satker"/>
    <x v="4"/>
    <s v="ANTASENA"/>
    <s v="Selesai Implementasi"/>
  </r>
  <r>
    <s v="P-75"/>
    <n v="2"/>
    <s v="ANTASENA Non Bank "/>
    <s v="ANTASENA - Non Bank"/>
    <s v="Enhancement PJPUR"/>
    <x v="2"/>
    <x v="6"/>
    <s v="K"/>
    <s v="K3"/>
    <s v="Pemimpin Satker"/>
    <s v="Dsta, DPKL"/>
    <s v="Satker"/>
    <x v="4"/>
    <s v="PJPUR"/>
    <s v="Not Started"/>
  </r>
  <r>
    <s v="P-75"/>
    <n v="3"/>
    <s v="ANTASENA Non Bank "/>
    <s v="ANTASENA - Non Bank"/>
    <s v="Penguatan ANTASENA Non Bank untuk STP (PJPUR, UKA, Tresury, SK SP)"/>
    <x v="3"/>
    <x v="2"/>
    <s v="K"/>
    <s v="K3"/>
    <s v="Pemimpin Satker"/>
    <s v="DSta, DPKL, DIDD"/>
    <s v="Satker"/>
    <x v="4"/>
    <s v="ANTASENA "/>
    <s v="Not Started"/>
  </r>
  <r>
    <s v="P-81"/>
    <n v="1"/>
    <s v="Dashboard Operasional BI-SSSS &amp; BI- RTGS "/>
    <s v="Reporting Operasional BI-SSSS &amp; BI-RTGS"/>
    <s v="Dashboard Operasional BI-SSSS &amp; BI- RTGS Tahap 1"/>
    <x v="6"/>
    <x v="3"/>
    <s v="S"/>
    <s v="K3"/>
    <s v="Pemimpin Satker"/>
    <s v="DPSP"/>
    <s v="Satker"/>
    <x v="12"/>
    <s v="BI-SSSS, BI-RTGS"/>
    <e v="#REF!"/>
  </r>
  <r>
    <s v="P-81"/>
    <n v="2"/>
    <s v="Dashboard Operasional BI-SSSS &amp; BI- RTGS "/>
    <s v="Reporting Operasional BI-SSSS &amp; BI-RTGS"/>
    <s v="Dashboard Operasional BI-SSSS &amp; BI- RTGS Tahap 2"/>
    <x v="2"/>
    <x v="6"/>
    <s v="S"/>
    <s v="K3"/>
    <s v="Pemimpin Satker"/>
    <s v="DPSP"/>
    <s v="Satker"/>
    <x v="12"/>
    <s v="BI-SSSS, BI-RTGS"/>
    <s v="Not Started"/>
  </r>
  <r>
    <s v="P-85"/>
    <n v="1"/>
    <s v="IPM Superapps"/>
    <s v="IPM Apps"/>
    <s v="Enhancement Aplikasi Legacy (ERPHRIS) IPM Superapps Quickwins Layer COA "/>
    <x v="7"/>
    <x v="7"/>
    <s v="K"/>
    <s v="K3"/>
    <s v="Pemimpin Satker"/>
    <s v="DMST, DKeu, DHk, DIDD"/>
    <m/>
    <x v="7"/>
    <s v="ERPHRIS"/>
    <n v="0"/>
  </r>
  <r>
    <s v="P-85"/>
    <n v="1"/>
    <s v="IPM Superapps"/>
    <s v="IPM Apps"/>
    <s v="Enhancement Aplikasi Legacy (ERPHRIS) IPM Superapps Quickwins Reporting"/>
    <x v="7"/>
    <x v="7"/>
    <s v="K"/>
    <s v="K3"/>
    <s v="Pemimpin Satker"/>
    <s v="DMST, DKeu, DHk, DIDD"/>
    <m/>
    <x v="7"/>
    <s v="ERPHRIS"/>
    <n v="0"/>
  </r>
  <r>
    <s v="P-85"/>
    <n v="1"/>
    <s v="IPM Superapps"/>
    <s v="IPM Apps"/>
    <s v="Enhancement Aplikasi Legacy (ERPHRIS) IPM Superapps Fase I (Enhanecment penyesuaian aplikasi Hyperion)"/>
    <x v="1"/>
    <x v="6"/>
    <s v="K"/>
    <s v="K3"/>
    <s v="Pemimpin Satker"/>
    <s v="DMST, DKeu, DHk, DIDD"/>
    <s v="PPLBI"/>
    <x v="7"/>
    <s v="ERPHRIS, LIMS"/>
    <s v="Selesai RBT-RBTD"/>
  </r>
  <r>
    <s v="P-88"/>
    <n v="1"/>
    <s v="PINTAR"/>
    <s v="Pengelolaan Penukaran Uang Tunai"/>
    <s v="Enhancement aplikasi PINTAR"/>
    <x v="2"/>
    <x v="6"/>
    <s v="U"/>
    <s v="K3"/>
    <s v="Pemimpin Satker"/>
    <s v="DPU"/>
    <s v="Satker"/>
    <x v="2"/>
    <s v="PINTAR"/>
    <s v="Not Started"/>
  </r>
  <r>
    <s v="P-89"/>
    <n v="1"/>
    <s v="Framework Pengelolaan Cadev 5.0"/>
    <s v="Enhancement Sistem Treasuri Bank Indonesia mendukung Cadev 5.0"/>
    <s v="Penyesuaian Komposisi Portofolio Hierarchy"/>
    <x v="1"/>
    <x v="3"/>
    <s v="S"/>
    <s v="K3"/>
    <s v="Pemimpin Satker"/>
    <s v="DPD,DMR, DPPT, DIDD"/>
    <s v="Satker"/>
    <x v="3"/>
    <s v="FOMOBO"/>
    <s v="Selesai Implementasi"/>
  </r>
  <r>
    <s v="P-90"/>
    <n v="1"/>
    <s v="KKI"/>
    <s v="Enhancement Sistem Treasuri Bank Indonesia mendukung KKI"/>
    <s v="Kerjasama Keuangan Internasional KKI"/>
    <x v="2"/>
    <x v="6"/>
    <s v="S"/>
    <s v="K3"/>
    <s v="Pemimpin Satker"/>
    <s v="DPD, DPPT, DInt,  DPMA, DKeu"/>
    <s v="Satker"/>
    <x v="3"/>
    <s v="FOMOBO"/>
    <s v="Not Started"/>
  </r>
  <r>
    <s v="P-91"/>
    <n v="1"/>
    <s v="SKNBI"/>
    <s v="Penguatan SKNBI"/>
    <s v="Penguatan SKNBI"/>
    <x v="2"/>
    <x v="1"/>
    <s v="S"/>
    <s v="K3"/>
    <s v="Pemimpin Satker"/>
    <s v="DLDS, DKSP, DPSP"/>
    <s v="Satker"/>
    <x v="2"/>
    <s v="SKNBI"/>
    <s v="Not Started"/>
  </r>
  <r>
    <s v="P-92"/>
    <n v="1"/>
    <s v="Enhancement PAPEDA"/>
    <s v="Enhancement Perolehan dan Pemanfaatan Data"/>
    <s v="Enhancement Perolehan dan Pemanfaatan Data"/>
    <x v="2"/>
    <x v="4"/>
    <s v="K"/>
    <s v="K3"/>
    <m/>
    <s v="DPKL"/>
    <s v="Satker"/>
    <x v="10"/>
    <s v="PAPEDA"/>
    <s v="Not Started"/>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7">
  <r>
    <x v="0"/>
  </r>
  <r>
    <x v="1"/>
  </r>
  <r>
    <x v="2"/>
  </r>
  <r>
    <x v="3"/>
  </r>
  <r>
    <x v="4"/>
  </r>
  <r>
    <x v="4"/>
  </r>
  <r>
    <x v="4"/>
  </r>
  <r>
    <x v="4"/>
  </r>
  <r>
    <x v="4"/>
  </r>
  <r>
    <x v="2"/>
  </r>
  <r>
    <x v="5"/>
  </r>
  <r>
    <x v="2"/>
  </r>
  <r>
    <x v="2"/>
  </r>
  <r>
    <x v="2"/>
  </r>
  <r>
    <x v="2"/>
  </r>
  <r>
    <x v="6"/>
  </r>
  <r>
    <x v="2"/>
  </r>
  <r>
    <x v="2"/>
  </r>
  <r>
    <x v="3"/>
  </r>
  <r>
    <x v="7"/>
  </r>
  <r>
    <x v="7"/>
  </r>
  <r>
    <x v="7"/>
  </r>
  <r>
    <x v="7"/>
  </r>
  <r>
    <x v="7"/>
  </r>
  <r>
    <x v="7"/>
  </r>
  <r>
    <x v="7"/>
  </r>
  <r>
    <x v="7"/>
  </r>
  <r>
    <x v="2"/>
  </r>
  <r>
    <x v="2"/>
  </r>
  <r>
    <x v="8"/>
  </r>
  <r>
    <x v="2"/>
  </r>
  <r>
    <x v="2"/>
  </r>
  <r>
    <x v="2"/>
  </r>
  <r>
    <x v="2"/>
  </r>
  <r>
    <x v="2"/>
  </r>
  <r>
    <x v="2"/>
  </r>
  <r>
    <x v="2"/>
  </r>
  <r>
    <x v="8"/>
  </r>
  <r>
    <x v="8"/>
  </r>
  <r>
    <x v="2"/>
  </r>
  <r>
    <x v="2"/>
  </r>
  <r>
    <x v="2"/>
  </r>
  <r>
    <x v="2"/>
  </r>
  <r>
    <x v="7"/>
  </r>
  <r>
    <x v="3"/>
  </r>
  <r>
    <x v="3"/>
  </r>
  <r>
    <x v="3"/>
  </r>
  <r>
    <x v="3"/>
  </r>
  <r>
    <x v="3"/>
  </r>
  <r>
    <x v="3"/>
  </r>
  <r>
    <x v="7"/>
  </r>
  <r>
    <x v="7"/>
  </r>
  <r>
    <x v="7"/>
  </r>
  <r>
    <x v="1"/>
  </r>
  <r>
    <x v="7"/>
  </r>
  <r>
    <x v="9"/>
  </r>
  <r>
    <x v="1"/>
  </r>
  <r>
    <x v="1"/>
  </r>
  <r>
    <x v="7"/>
  </r>
  <r>
    <x v="9"/>
  </r>
  <r>
    <x v="7"/>
  </r>
  <r>
    <x v="3"/>
  </r>
  <r>
    <x v="3"/>
  </r>
  <r>
    <x v="3"/>
  </r>
  <r>
    <x v="3"/>
  </r>
  <r>
    <x v="3"/>
  </r>
  <r>
    <x v="2"/>
  </r>
  <r>
    <x v="2"/>
  </r>
  <r>
    <x v="2"/>
  </r>
  <r>
    <x v="2"/>
  </r>
  <r>
    <x v="2"/>
  </r>
  <r>
    <x v="2"/>
  </r>
  <r>
    <x v="2"/>
  </r>
  <r>
    <x v="2"/>
  </r>
  <r>
    <x v="2"/>
  </r>
  <r>
    <x v="2"/>
  </r>
  <r>
    <x v="1"/>
  </r>
  <r>
    <x v="10"/>
  </r>
  <r>
    <x v="10"/>
  </r>
  <r>
    <x v="10"/>
  </r>
  <r>
    <x v="10"/>
  </r>
  <r>
    <x v="10"/>
  </r>
  <r>
    <x v="10"/>
  </r>
  <r>
    <x v="11"/>
  </r>
  <r>
    <x v="10"/>
  </r>
  <r>
    <x v="10"/>
  </r>
  <r>
    <x v="10"/>
  </r>
  <r>
    <x v="2"/>
  </r>
  <r>
    <x v="7"/>
  </r>
  <r>
    <x v="7"/>
  </r>
  <r>
    <x v="7"/>
  </r>
  <r>
    <x v="7"/>
  </r>
  <r>
    <x v="7"/>
  </r>
  <r>
    <x v="7"/>
  </r>
  <r>
    <x v="7"/>
  </r>
  <r>
    <x v="7"/>
  </r>
  <r>
    <x v="7"/>
  </r>
  <r>
    <x v="10"/>
  </r>
  <r>
    <x v="10"/>
  </r>
  <r>
    <x v="10"/>
  </r>
  <r>
    <x v="10"/>
  </r>
  <r>
    <x v="10"/>
  </r>
  <r>
    <x v="7"/>
  </r>
  <r>
    <x v="3"/>
  </r>
  <r>
    <x v="3"/>
  </r>
  <r>
    <x v="3"/>
  </r>
  <r>
    <x v="2"/>
  </r>
  <r>
    <x v="1"/>
  </r>
  <r>
    <x v="7"/>
  </r>
  <r>
    <x v="7"/>
  </r>
  <r>
    <x v="7"/>
  </r>
  <r>
    <x v="7"/>
  </r>
  <r>
    <x v="7"/>
  </r>
  <r>
    <x v="10"/>
  </r>
  <r>
    <x v="10"/>
  </r>
  <r>
    <x v="10"/>
  </r>
  <r>
    <x v="3"/>
  </r>
  <r>
    <x v="3"/>
  </r>
  <r>
    <x v="3"/>
  </r>
  <r>
    <x v="3"/>
  </r>
  <r>
    <x v="3"/>
  </r>
  <r>
    <x v="3"/>
  </r>
  <r>
    <x v="3"/>
  </r>
  <r>
    <x v="3"/>
  </r>
  <r>
    <x v="3"/>
  </r>
  <r>
    <x v="3"/>
  </r>
  <r>
    <x v="10"/>
  </r>
  <r>
    <x v="10"/>
  </r>
  <r>
    <x v="1"/>
  </r>
  <r>
    <x v="7"/>
  </r>
  <r>
    <x v="7"/>
  </r>
  <r>
    <x v="7"/>
  </r>
  <r>
    <x v="7"/>
  </r>
  <r>
    <x v="1"/>
  </r>
  <r>
    <x v="7"/>
  </r>
  <r>
    <x v="2"/>
  </r>
  <r>
    <x v="2"/>
  </r>
  <r>
    <x v="1"/>
  </r>
  <r>
    <x v="7"/>
  </r>
  <r>
    <x v="7"/>
  </r>
  <r>
    <x v="2"/>
  </r>
  <r>
    <x v="2"/>
  </r>
  <r>
    <x v="3"/>
  </r>
  <r>
    <x v="3"/>
  </r>
  <r>
    <x v="3"/>
  </r>
  <r>
    <x v="12"/>
  </r>
  <r>
    <x v="12"/>
  </r>
  <r>
    <x v="7"/>
  </r>
  <r>
    <x v="7"/>
  </r>
  <r>
    <x v="7"/>
  </r>
  <r>
    <x v="1"/>
  </r>
  <r>
    <x v="2"/>
  </r>
  <r>
    <x v="2"/>
  </r>
  <r>
    <x v="1"/>
  </r>
  <r>
    <x v="10"/>
  </r>
  <r>
    <x v="1"/>
  </r>
  <r>
    <x v="2"/>
  </r>
  <r>
    <x v="2"/>
  </r>
  <r>
    <x v="1"/>
  </r>
  <r>
    <x v="1"/>
  </r>
  <r>
    <x v="2"/>
  </r>
  <r>
    <x v="10"/>
  </r>
  <r>
    <x v="7"/>
  </r>
  <r>
    <x v="2"/>
  </r>
  <r>
    <x v="2"/>
  </r>
  <r>
    <x v="10"/>
  </r>
  <r>
    <x v="3"/>
  </r>
  <r>
    <x v="2"/>
  </r>
  <r>
    <x v="2"/>
  </r>
  <r>
    <x v="2"/>
  </r>
  <r>
    <x v="2"/>
  </r>
  <r>
    <x v="7"/>
  </r>
  <r>
    <x v="2"/>
  </r>
  <r>
    <x v="3"/>
  </r>
  <r>
    <x v="3"/>
  </r>
  <r>
    <x v="10"/>
  </r>
  <r>
    <x v="9"/>
  </r>
  <r>
    <x v="9"/>
  </r>
  <r>
    <x v="9"/>
  </r>
  <r>
    <x v="9"/>
  </r>
  <r>
    <x v="9"/>
  </r>
  <r>
    <x v="9"/>
  </r>
  <r>
    <x v="9"/>
  </r>
  <r>
    <x v="9"/>
  </r>
  <r>
    <x v="9"/>
  </r>
  <r>
    <x v="13"/>
  </r>
  <r>
    <x v="9"/>
  </r>
  <r>
    <x v="2"/>
  </r>
  <r>
    <x v="2"/>
  </r>
  <r>
    <x v="2"/>
  </r>
  <r>
    <x v="2"/>
  </r>
  <r>
    <x v="2"/>
  </r>
  <r>
    <x v="1"/>
  </r>
  <r>
    <x v="7"/>
  </r>
  <r>
    <x v="7"/>
  </r>
  <r>
    <x v="14"/>
  </r>
  <r>
    <x v="1"/>
  </r>
  <r>
    <x v="15"/>
  </r>
  <r>
    <x v="16"/>
  </r>
  <r>
    <x v="16"/>
  </r>
  <r>
    <x v="16"/>
  </r>
  <r>
    <x v="16"/>
  </r>
  <r>
    <x v="16"/>
  </r>
  <r>
    <x v="16"/>
  </r>
  <r>
    <x v="16"/>
  </r>
  <r>
    <x v="16"/>
  </r>
  <r>
    <x v="16"/>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7">
  <r>
    <x v="0"/>
    <s v="On Progress"/>
    <x v="0"/>
    <x v="0"/>
  </r>
  <r>
    <x v="1"/>
    <s v="Not Started"/>
    <x v="1"/>
    <x v="1"/>
  </r>
  <r>
    <x v="2"/>
    <s v="Not Started"/>
    <x v="2"/>
    <x v="1"/>
  </r>
  <r>
    <x v="3"/>
    <s v="DONE"/>
    <x v="0"/>
    <x v="2"/>
  </r>
  <r>
    <x v="4"/>
    <s v="Not Started"/>
    <x v="1"/>
    <x v="3"/>
  </r>
  <r>
    <x v="4"/>
    <s v="Not Started"/>
    <x v="3"/>
    <x v="1"/>
  </r>
  <r>
    <x v="4"/>
    <s v="Not Started"/>
    <x v="1"/>
    <x v="3"/>
  </r>
  <r>
    <x v="4"/>
    <s v="Not Started"/>
    <x v="1"/>
    <x v="3"/>
  </r>
  <r>
    <x v="4"/>
    <s v="Not Started"/>
    <x v="4"/>
    <x v="0"/>
  </r>
  <r>
    <x v="2"/>
    <s v="DONE"/>
    <x v="0"/>
    <x v="2"/>
  </r>
  <r>
    <x v="5"/>
    <s v="DONE"/>
    <x v="0"/>
    <x v="2"/>
  </r>
  <r>
    <x v="2"/>
    <s v="Not Started"/>
    <x v="1"/>
    <x v="3"/>
  </r>
  <r>
    <x v="2"/>
    <s v="Not Started"/>
    <x v="2"/>
    <x v="3"/>
  </r>
  <r>
    <x v="2"/>
    <s v="Not Started"/>
    <x v="2"/>
    <x v="1"/>
  </r>
  <r>
    <x v="2"/>
    <s v="Not Started"/>
    <x v="4"/>
    <x v="4"/>
  </r>
  <r>
    <x v="6"/>
    <s v="Not Started"/>
    <x v="1"/>
    <x v="0"/>
  </r>
  <r>
    <x v="2"/>
    <s v="Not Started"/>
    <x v="1"/>
    <x v="3"/>
  </r>
  <r>
    <x v="2"/>
    <s v="Not Started"/>
    <x v="4"/>
    <x v="4"/>
  </r>
  <r>
    <x v="3"/>
    <s v="Not Started"/>
    <x v="1"/>
    <x v="0"/>
  </r>
  <r>
    <x v="7"/>
    <s v="On Progress"/>
    <x v="1"/>
    <x v="3"/>
  </r>
  <r>
    <x v="7"/>
    <s v="On Progress"/>
    <x v="0"/>
    <x v="3"/>
  </r>
  <r>
    <x v="7"/>
    <s v="Not Started"/>
    <x v="1"/>
    <x v="0"/>
  </r>
  <r>
    <x v="7"/>
    <s v="On Progress"/>
    <x v="0"/>
    <x v="5"/>
  </r>
  <r>
    <x v="7"/>
    <s v="On Progress"/>
    <x v="0"/>
    <x v="5"/>
  </r>
  <r>
    <x v="7"/>
    <s v="Not Started"/>
    <x v="1"/>
    <x v="3"/>
  </r>
  <r>
    <x v="7"/>
    <s v="Not Started"/>
    <x v="1"/>
    <x v="0"/>
  </r>
  <r>
    <x v="7"/>
    <s v="Not Started"/>
    <x v="2"/>
    <x v="0"/>
  </r>
  <r>
    <x v="2"/>
    <s v="DONE"/>
    <x v="5"/>
    <x v="2"/>
  </r>
  <r>
    <x v="2"/>
    <s v="DONE"/>
    <x v="0"/>
    <x v="2"/>
  </r>
  <r>
    <x v="8"/>
    <s v="DONE"/>
    <x v="0"/>
    <x v="2"/>
  </r>
  <r>
    <x v="2"/>
    <s v="Not Started"/>
    <x v="1"/>
    <x v="0"/>
  </r>
  <r>
    <x v="2"/>
    <s v="DONE"/>
    <x v="0"/>
    <x v="2"/>
  </r>
  <r>
    <x v="2"/>
    <s v="On Progress"/>
    <x v="0"/>
    <x v="5"/>
  </r>
  <r>
    <x v="2"/>
    <s v="Not Started"/>
    <x v="1"/>
    <x v="3"/>
  </r>
  <r>
    <x v="2"/>
    <s v="Not Started"/>
    <x v="4"/>
    <x v="1"/>
  </r>
  <r>
    <x v="2"/>
    <s v="Not Started"/>
    <x v="3"/>
    <x v="4"/>
  </r>
  <r>
    <x v="2"/>
    <s v="On Progress"/>
    <x v="0"/>
    <x v="5"/>
  </r>
  <r>
    <x v="8"/>
    <s v="DONE"/>
    <x v="0"/>
    <x v="2"/>
  </r>
  <r>
    <x v="8"/>
    <s v="Not Started"/>
    <x v="1"/>
    <x v="3"/>
  </r>
  <r>
    <x v="2"/>
    <s v="Not Started"/>
    <x v="4"/>
    <x v="0"/>
  </r>
  <r>
    <x v="2"/>
    <n v="0"/>
    <x v="1"/>
    <x v="5"/>
  </r>
  <r>
    <x v="2"/>
    <s v="DONE"/>
    <x v="5"/>
    <x v="2"/>
  </r>
  <r>
    <x v="2"/>
    <s v="Not Started"/>
    <x v="1"/>
    <x v="3"/>
  </r>
  <r>
    <x v="7"/>
    <s v="DONE"/>
    <x v="0"/>
    <x v="2"/>
  </r>
  <r>
    <x v="3"/>
    <s v="On Progress"/>
    <x v="5"/>
    <x v="5"/>
  </r>
  <r>
    <x v="3"/>
    <s v="Not Started"/>
    <x v="4"/>
    <x v="0"/>
  </r>
  <r>
    <x v="3"/>
    <s v="Not Started"/>
    <x v="1"/>
    <x v="3"/>
  </r>
  <r>
    <x v="3"/>
    <s v="Not Started"/>
    <x v="1"/>
    <x v="0"/>
  </r>
  <r>
    <x v="3"/>
    <s v="Not Started"/>
    <x v="2"/>
    <x v="0"/>
  </r>
  <r>
    <x v="3"/>
    <s v="Not Started"/>
    <x v="2"/>
    <x v="0"/>
  </r>
  <r>
    <x v="7"/>
    <s v="On Progress"/>
    <x v="5"/>
    <x v="5"/>
  </r>
  <r>
    <x v="7"/>
    <s v="On Progress"/>
    <x v="5"/>
    <x v="5"/>
  </r>
  <r>
    <x v="7"/>
    <s v="On Progress"/>
    <x v="5"/>
    <x v="3"/>
  </r>
  <r>
    <x v="1"/>
    <s v="On Progress"/>
    <x v="5"/>
    <x v="3"/>
  </r>
  <r>
    <x v="7"/>
    <s v="On Progress"/>
    <x v="5"/>
    <x v="3"/>
  </r>
  <r>
    <x v="9"/>
    <s v="On Progress"/>
    <x v="5"/>
    <x v="3"/>
  </r>
  <r>
    <x v="1"/>
    <s v="On Progress"/>
    <x v="5"/>
    <x v="3"/>
  </r>
  <r>
    <x v="1"/>
    <s v="On Progress"/>
    <x v="5"/>
    <x v="5"/>
  </r>
  <r>
    <x v="7"/>
    <s v="On Progress"/>
    <x v="5"/>
    <x v="5"/>
  </r>
  <r>
    <x v="9"/>
    <s v="On Progress"/>
    <x v="5"/>
    <x v="5"/>
  </r>
  <r>
    <x v="7"/>
    <s v="On Progress"/>
    <x v="5"/>
    <x v="3"/>
  </r>
  <r>
    <x v="3"/>
    <s v="DONE"/>
    <x v="5"/>
    <x v="2"/>
  </r>
  <r>
    <x v="3"/>
    <s v="DONE"/>
    <x v="0"/>
    <x v="2"/>
  </r>
  <r>
    <x v="3"/>
    <s v="On Progress"/>
    <x v="1"/>
    <x v="5"/>
  </r>
  <r>
    <x v="3"/>
    <s v="On Progress"/>
    <x v="4"/>
    <x v="0"/>
  </r>
  <r>
    <x v="3"/>
    <s v="Not Started"/>
    <x v="1"/>
    <x v="5"/>
  </r>
  <r>
    <x v="2"/>
    <s v="Not Started"/>
    <x v="3"/>
    <x v="1"/>
  </r>
  <r>
    <x v="2"/>
    <s v="Not Started"/>
    <x v="1"/>
    <x v="3"/>
  </r>
  <r>
    <x v="2"/>
    <s v="DONE"/>
    <x v="0"/>
    <x v="2"/>
  </r>
  <r>
    <x v="2"/>
    <s v="On Progress"/>
    <x v="0"/>
    <x v="5"/>
  </r>
  <r>
    <x v="2"/>
    <s v="Not Started"/>
    <x v="1"/>
    <x v="5"/>
  </r>
  <r>
    <x v="2"/>
    <s v="DONE"/>
    <x v="5"/>
    <x v="2"/>
  </r>
  <r>
    <x v="2"/>
    <s v="Not Started"/>
    <x v="1"/>
    <x v="5"/>
  </r>
  <r>
    <x v="2"/>
    <s v="DONE"/>
    <x v="0"/>
    <x v="2"/>
  </r>
  <r>
    <x v="2"/>
    <e v="#REF!"/>
    <x v="1"/>
    <x v="3"/>
  </r>
  <r>
    <x v="2"/>
    <s v="Not Started"/>
    <x v="1"/>
    <x v="3"/>
  </r>
  <r>
    <x v="1"/>
    <s v="DONE"/>
    <x v="5"/>
    <x v="2"/>
  </r>
  <r>
    <x v="10"/>
    <s v="DONE"/>
    <x v="5"/>
    <x v="2"/>
  </r>
  <r>
    <x v="10"/>
    <s v="DONE"/>
    <x v="5"/>
    <x v="2"/>
  </r>
  <r>
    <x v="10"/>
    <s v="On Progress"/>
    <x v="0"/>
    <x v="5"/>
  </r>
  <r>
    <x v="10"/>
    <s v="On Progress"/>
    <x v="0"/>
    <x v="5"/>
  </r>
  <r>
    <x v="10"/>
    <s v="Not Started"/>
    <x v="0"/>
    <x v="5"/>
  </r>
  <r>
    <x v="10"/>
    <s v="DONE"/>
    <x v="5"/>
    <x v="2"/>
  </r>
  <r>
    <x v="11"/>
    <s v="On Progress"/>
    <x v="0"/>
    <x v="5"/>
  </r>
  <r>
    <x v="10"/>
    <s v="DONE"/>
    <x v="0"/>
    <x v="2"/>
  </r>
  <r>
    <x v="10"/>
    <s v="DONE"/>
    <x v="5"/>
    <x v="5"/>
  </r>
  <r>
    <x v="10"/>
    <n v="0"/>
    <x v="0"/>
    <x v="2"/>
  </r>
  <r>
    <x v="2"/>
    <s v="DONE"/>
    <x v="5"/>
    <x v="2"/>
  </r>
  <r>
    <x v="7"/>
    <s v="On Progress"/>
    <x v="0"/>
    <x v="5"/>
  </r>
  <r>
    <x v="7"/>
    <s v="DONE"/>
    <x v="0"/>
    <x v="5"/>
  </r>
  <r>
    <x v="7"/>
    <s v="On Progress"/>
    <x v="0"/>
    <x v="5"/>
  </r>
  <r>
    <x v="7"/>
    <s v="On Progress"/>
    <x v="0"/>
    <x v="3"/>
  </r>
  <r>
    <x v="7"/>
    <s v="DONE"/>
    <x v="0"/>
    <x v="2"/>
  </r>
  <r>
    <x v="7"/>
    <s v="On Progress"/>
    <x v="0"/>
    <x v="5"/>
  </r>
  <r>
    <x v="7"/>
    <s v="On Progress"/>
    <x v="0"/>
    <x v="3"/>
  </r>
  <r>
    <x v="7"/>
    <s v="DONE"/>
    <x v="5"/>
    <x v="2"/>
  </r>
  <r>
    <x v="7"/>
    <s v="DONE"/>
    <x v="0"/>
    <x v="2"/>
  </r>
  <r>
    <x v="10"/>
    <s v="DONE"/>
    <x v="0"/>
    <x v="2"/>
  </r>
  <r>
    <x v="10"/>
    <s v="On Progress"/>
    <x v="0"/>
    <x v="5"/>
  </r>
  <r>
    <x v="10"/>
    <s v="On Progress"/>
    <x v="0"/>
    <x v="5"/>
  </r>
  <r>
    <x v="10"/>
    <s v="On Progress"/>
    <x v="0"/>
    <x v="3"/>
  </r>
  <r>
    <x v="10"/>
    <s v="DONE"/>
    <x v="5"/>
    <x v="2"/>
  </r>
  <r>
    <x v="7"/>
    <s v="On Progress"/>
    <x v="0"/>
    <x v="5"/>
  </r>
  <r>
    <x v="3"/>
    <s v="On Progress"/>
    <x v="0"/>
    <x v="3"/>
  </r>
  <r>
    <x v="3"/>
    <s v="Not Started"/>
    <x v="1"/>
    <x v="3"/>
  </r>
  <r>
    <x v="3"/>
    <s v="Not Started"/>
    <x v="2"/>
    <x v="0"/>
  </r>
  <r>
    <x v="2"/>
    <s v="On Progress"/>
    <x v="0"/>
    <x v="5"/>
  </r>
  <r>
    <x v="1"/>
    <s v="On Progress"/>
    <x v="0"/>
    <x v="0"/>
  </r>
  <r>
    <x v="7"/>
    <s v="DONE"/>
    <x v="5"/>
    <x v="2"/>
  </r>
  <r>
    <x v="7"/>
    <s v="DONE"/>
    <x v="0"/>
    <x v="2"/>
  </r>
  <r>
    <x v="7"/>
    <s v="DONE"/>
    <x v="0"/>
    <x v="5"/>
  </r>
  <r>
    <x v="7"/>
    <s v="Not Started"/>
    <x v="1"/>
    <x v="5"/>
  </r>
  <r>
    <x v="7"/>
    <s v="Not Started"/>
    <x v="1"/>
    <x v="3"/>
  </r>
  <r>
    <x v="10"/>
    <s v="DONE"/>
    <x v="5"/>
    <x v="2"/>
  </r>
  <r>
    <x v="10"/>
    <s v="On Progress"/>
    <x v="0"/>
    <x v="5"/>
  </r>
  <r>
    <x v="10"/>
    <s v="Not Started"/>
    <x v="1"/>
    <x v="5"/>
  </r>
  <r>
    <x v="3"/>
    <s v="DONE"/>
    <x v="5"/>
    <x v="2"/>
  </r>
  <r>
    <x v="3"/>
    <s v="DONE"/>
    <x v="0"/>
    <x v="2"/>
  </r>
  <r>
    <x v="3"/>
    <s v="On Progress"/>
    <x v="0"/>
    <x v="5"/>
  </r>
  <r>
    <x v="3"/>
    <s v="Not Started"/>
    <x v="1"/>
    <x v="3"/>
  </r>
  <r>
    <x v="3"/>
    <s v="DONE"/>
    <x v="5"/>
    <x v="2"/>
  </r>
  <r>
    <x v="3"/>
    <s v="On Progress"/>
    <x v="5"/>
    <x v="5"/>
  </r>
  <r>
    <x v="3"/>
    <s v="DONE"/>
    <x v="5"/>
    <x v="2"/>
  </r>
  <r>
    <x v="3"/>
    <s v="Not Started"/>
    <x v="5"/>
    <x v="5"/>
  </r>
  <r>
    <x v="3"/>
    <s v="Not Started"/>
    <x v="1"/>
    <x v="3"/>
  </r>
  <r>
    <x v="3"/>
    <s v="Not Started"/>
    <x v="1"/>
    <x v="0"/>
  </r>
  <r>
    <x v="10"/>
    <s v="DONE"/>
    <x v="5"/>
    <x v="2"/>
  </r>
  <r>
    <x v="10"/>
    <s v="On Progress"/>
    <x v="0"/>
    <x v="3"/>
  </r>
  <r>
    <x v="1"/>
    <s v="Not Started"/>
    <x v="1"/>
    <x v="3"/>
  </r>
  <r>
    <x v="7"/>
    <s v="On Progress"/>
    <x v="0"/>
    <x v="3"/>
  </r>
  <r>
    <x v="7"/>
    <s v="Not Started"/>
    <x v="1"/>
    <x v="0"/>
  </r>
  <r>
    <x v="7"/>
    <s v="Not Started"/>
    <x v="1"/>
    <x v="1"/>
  </r>
  <r>
    <x v="7"/>
    <s v="On Progress"/>
    <x v="0"/>
    <x v="3"/>
  </r>
  <r>
    <x v="1"/>
    <s v="DONE"/>
    <x v="5"/>
    <x v="2"/>
  </r>
  <r>
    <x v="7"/>
    <s v="DONE"/>
    <x v="5"/>
    <x v="2"/>
  </r>
  <r>
    <x v="2"/>
    <s v="DONE"/>
    <x v="5"/>
    <x v="2"/>
  </r>
  <r>
    <x v="2"/>
    <s v="DONE"/>
    <x v="0"/>
    <x v="2"/>
  </r>
  <r>
    <x v="1"/>
    <s v="DONE"/>
    <x v="5"/>
    <x v="2"/>
  </r>
  <r>
    <x v="7"/>
    <s v="DONE"/>
    <x v="5"/>
    <x v="2"/>
  </r>
  <r>
    <x v="7"/>
    <s v="DONE"/>
    <x v="5"/>
    <x v="2"/>
  </r>
  <r>
    <x v="2"/>
    <s v="Not Started"/>
    <x v="2"/>
    <x v="0"/>
  </r>
  <r>
    <x v="2"/>
    <s v="DONE"/>
    <x v="5"/>
    <x v="2"/>
  </r>
  <r>
    <x v="3"/>
    <s v="DONE"/>
    <x v="5"/>
    <x v="2"/>
  </r>
  <r>
    <x v="3"/>
    <s v="Not Started"/>
    <x v="1"/>
    <x v="5"/>
  </r>
  <r>
    <x v="3"/>
    <s v="Not Started"/>
    <x v="2"/>
    <x v="1"/>
  </r>
  <r>
    <x v="12"/>
    <e v="#REF!"/>
    <x v="5"/>
    <x v="2"/>
  </r>
  <r>
    <x v="12"/>
    <s v="Not Started"/>
    <x v="1"/>
    <x v="5"/>
  </r>
  <r>
    <x v="7"/>
    <n v="0"/>
    <x v="0"/>
    <x v="2"/>
  </r>
  <r>
    <x v="7"/>
    <n v="0"/>
    <x v="0"/>
    <x v="5"/>
  </r>
  <r>
    <x v="7"/>
    <s v="On Progress"/>
    <x v="0"/>
    <x v="5"/>
  </r>
  <r>
    <x v="1"/>
    <s v="Not Started"/>
    <x v="1"/>
    <x v="5"/>
  </r>
  <r>
    <x v="2"/>
    <s v="DONE"/>
    <x v="0"/>
    <x v="2"/>
  </r>
  <r>
    <x v="2"/>
    <s v="Not Started"/>
    <x v="1"/>
    <x v="5"/>
  </r>
  <r>
    <x v="1"/>
    <s v="Not Started"/>
    <x v="1"/>
    <x v="0"/>
  </r>
  <r>
    <x v="10"/>
    <s v="Not Started"/>
    <x v="1"/>
    <x v="3"/>
  </r>
  <r>
    <x v="1"/>
    <s v="On Progress"/>
    <x v="5"/>
    <x v="2"/>
  </r>
  <r>
    <x v="2"/>
    <s v="DONE"/>
    <x v="5"/>
    <x v="2"/>
  </r>
  <r>
    <x v="2"/>
    <s v="DONE"/>
    <x v="5"/>
    <x v="2"/>
  </r>
  <r>
    <x v="1"/>
    <s v="On Progress"/>
    <x v="5"/>
    <x v="2"/>
  </r>
  <r>
    <x v="1"/>
    <s v="Not Started"/>
    <x v="1"/>
    <x v="5"/>
  </r>
  <r>
    <x v="2"/>
    <s v="Not Started"/>
    <x v="1"/>
    <x v="5"/>
  </r>
  <r>
    <x v="10"/>
    <s v="Not Started"/>
    <x v="1"/>
    <x v="5"/>
  </r>
  <r>
    <x v="7"/>
    <s v="Not Started"/>
    <x v="1"/>
    <x v="5"/>
  </r>
  <r>
    <x v="2"/>
    <s v="Not Started"/>
    <x v="1"/>
    <x v="5"/>
  </r>
  <r>
    <x v="2"/>
    <s v="Not Started"/>
    <x v="2"/>
    <x v="3"/>
  </r>
  <r>
    <x v="10"/>
    <s v="Not Started"/>
    <x v="2"/>
    <x v="3"/>
  </r>
  <r>
    <x v="3"/>
    <s v="Not Started"/>
    <x v="2"/>
    <x v="0"/>
  </r>
  <r>
    <x v="2"/>
    <s v="Not Started"/>
    <x v="2"/>
    <x v="3"/>
  </r>
  <r>
    <x v="2"/>
    <s v="Not Started"/>
    <x v="2"/>
    <x v="3"/>
  </r>
  <r>
    <x v="2"/>
    <s v="Not Started"/>
    <x v="3"/>
    <x v="1"/>
  </r>
  <r>
    <x v="2"/>
    <s v="Not Started"/>
    <x v="3"/>
    <x v="1"/>
  </r>
  <r>
    <x v="7"/>
    <s v="Not Started"/>
    <x v="3"/>
    <x v="1"/>
  </r>
  <r>
    <x v="2"/>
    <s v="Not Started"/>
    <x v="4"/>
    <x v="0"/>
  </r>
  <r>
    <x v="3"/>
    <s v="Not Started"/>
    <x v="1"/>
    <x v="3"/>
  </r>
  <r>
    <x v="3"/>
    <s v="Not Started"/>
    <x v="2"/>
    <x v="3"/>
  </r>
  <r>
    <x v="10"/>
    <s v="Not Started"/>
    <x v="1"/>
    <x v="5"/>
  </r>
  <r>
    <x v="9"/>
    <s v="On Progress"/>
    <x v="1"/>
    <x v="5"/>
  </r>
  <r>
    <x v="9"/>
    <s v="DONE"/>
    <x v="0"/>
    <x v="2"/>
  </r>
  <r>
    <x v="9"/>
    <s v="DONE"/>
    <x v="0"/>
    <x v="2"/>
  </r>
  <r>
    <x v="9"/>
    <s v="DONE"/>
    <x v="0"/>
    <x v="2"/>
  </r>
  <r>
    <x v="9"/>
    <s v="DONE"/>
    <x v="0"/>
    <x v="2"/>
  </r>
  <r>
    <x v="9"/>
    <s v="DONE"/>
    <x v="0"/>
    <x v="2"/>
  </r>
  <r>
    <x v="9"/>
    <s v="DONE"/>
    <x v="0"/>
    <x v="2"/>
  </r>
  <r>
    <x v="9"/>
    <s v="DONE"/>
    <x v="0"/>
    <x v="2"/>
  </r>
  <r>
    <x v="9"/>
    <s v="DONE"/>
    <x v="0"/>
    <x v="2"/>
  </r>
  <r>
    <x v="13"/>
    <s v="DONE"/>
    <x v="0"/>
    <x v="2"/>
  </r>
  <r>
    <x v="9"/>
    <s v="Not Started"/>
    <x v="0"/>
    <x v="2"/>
  </r>
  <r>
    <x v="2"/>
    <s v="DONE"/>
    <x v="0"/>
    <x v="2"/>
  </r>
  <r>
    <x v="2"/>
    <s v="Not Started"/>
    <x v="1"/>
    <x v="5"/>
  </r>
  <r>
    <x v="2"/>
    <s v="DONE"/>
    <x v="0"/>
    <x v="2"/>
  </r>
  <r>
    <x v="2"/>
    <s v="DONE"/>
    <x v="0"/>
    <x v="2"/>
  </r>
  <r>
    <x v="2"/>
    <s v="Not Started"/>
    <x v="1"/>
    <x v="5"/>
  </r>
  <r>
    <x v="1"/>
    <s v="Not Started"/>
    <x v="0"/>
    <x v="2"/>
  </r>
  <r>
    <x v="7"/>
    <s v="Not Started"/>
    <x v="2"/>
    <x v="3"/>
  </r>
  <r>
    <x v="7"/>
    <s v="Not Started"/>
    <x v="1"/>
    <x v="5"/>
  </r>
  <r>
    <x v="14"/>
    <s v="Not Started"/>
    <x v="1"/>
    <x v="5"/>
  </r>
  <r>
    <x v="1"/>
    <s v="Not Started"/>
    <x v="1"/>
    <x v="5"/>
  </r>
  <r>
    <x v="15"/>
    <s v="Not Started"/>
    <x v="1"/>
    <x v="3"/>
  </r>
  <r>
    <x v="16"/>
    <m/>
    <x v="6"/>
    <x v="6"/>
  </r>
  <r>
    <x v="16"/>
    <m/>
    <x v="6"/>
    <x v="6"/>
  </r>
  <r>
    <x v="16"/>
    <m/>
    <x v="6"/>
    <x v="6"/>
  </r>
  <r>
    <x v="16"/>
    <m/>
    <x v="6"/>
    <x v="6"/>
  </r>
  <r>
    <x v="16"/>
    <m/>
    <x v="6"/>
    <x v="6"/>
  </r>
  <r>
    <x v="16"/>
    <m/>
    <x v="6"/>
    <x v="6"/>
  </r>
  <r>
    <x v="16"/>
    <m/>
    <x v="6"/>
    <x v="6"/>
  </r>
  <r>
    <x v="16"/>
    <m/>
    <x v="6"/>
    <x v="6"/>
  </r>
  <r>
    <x v="16"/>
    <m/>
    <x v="6"/>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4E712D-02BD-4483-9E70-F64BBBD97123}"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6" firstHeaderRow="1" firstDataRow="1" firstDataCol="1" rowPageCount="2" colPageCount="1"/>
  <pivotFields count="15">
    <pivotField showAll="0"/>
    <pivotField showAll="0"/>
    <pivotField showAll="0"/>
    <pivotField showAll="0"/>
    <pivotField dataField="1" showAll="0"/>
    <pivotField axis="axisPage" multipleItemSelectionAllowed="1" showAll="0">
      <items count="9">
        <item x="6"/>
        <item x="1"/>
        <item x="2"/>
        <item h="1" x="3"/>
        <item h="1" x="5"/>
        <item h="1" x="4"/>
        <item h="1" x="0"/>
        <item h="1" x="7"/>
        <item t="default"/>
      </items>
    </pivotField>
    <pivotField axis="axisPage" multipleItemSelectionAllowed="1" showAll="0">
      <items count="9">
        <item h="1" x="3"/>
        <item x="6"/>
        <item x="4"/>
        <item x="1"/>
        <item x="2"/>
        <item x="5"/>
        <item x="0"/>
        <item x="7"/>
        <item t="default"/>
      </items>
    </pivotField>
    <pivotField showAll="0"/>
    <pivotField showAll="0"/>
    <pivotField showAll="0"/>
    <pivotField showAll="0"/>
    <pivotField showAll="0"/>
    <pivotField axis="axisRow" showAll="0">
      <items count="14">
        <item x="0"/>
        <item x="3"/>
        <item x="6"/>
        <item x="12"/>
        <item x="8"/>
        <item x="9"/>
        <item x="7"/>
        <item x="1"/>
        <item x="4"/>
        <item x="5"/>
        <item x="11"/>
        <item x="2"/>
        <item x="10"/>
        <item t="default"/>
      </items>
    </pivotField>
    <pivotField showAll="0"/>
    <pivotField showAll="0"/>
  </pivotFields>
  <rowFields count="1">
    <field x="12"/>
  </rowFields>
  <rowItems count="12">
    <i>
      <x v="1"/>
    </i>
    <i>
      <x v="3"/>
    </i>
    <i>
      <x v="4"/>
    </i>
    <i>
      <x v="5"/>
    </i>
    <i>
      <x v="6"/>
    </i>
    <i>
      <x v="7"/>
    </i>
    <i>
      <x v="8"/>
    </i>
    <i>
      <x v="9"/>
    </i>
    <i>
      <x v="10"/>
    </i>
    <i>
      <x v="11"/>
    </i>
    <i>
      <x v="12"/>
    </i>
    <i t="grand">
      <x/>
    </i>
  </rowItems>
  <colItems count="1">
    <i/>
  </colItems>
  <pageFields count="2">
    <pageField fld="5" hier="-1"/>
    <pageField fld="6" hier="-1"/>
  </pageFields>
  <dataFields count="1">
    <dataField name="Count of Deliverables (Sub Proyek) "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6461B3-EBB1-43D0-B87D-A511E7394592}"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9:G50" firstHeaderRow="1" firstDataRow="2" firstDataCol="1" rowPageCount="2" colPageCount="1"/>
  <pivotFields count="17">
    <pivotField showAll="0"/>
    <pivotField showAll="0"/>
    <pivotField showAll="0"/>
    <pivotField showAll="0"/>
    <pivotField showAll="0"/>
    <pivotField axis="axisPage" multipleItemSelectionAllowed="1" showAll="0">
      <items count="12">
        <item h="1" x="6"/>
        <item h="1" x="1"/>
        <item x="2"/>
        <item h="1" x="3"/>
        <item h="1" x="5"/>
        <item h="1" x="4"/>
        <item h="1" x="0"/>
        <item h="1" x="7"/>
        <item h="1" x="8"/>
        <item h="1" x="9"/>
        <item h="1" x="10"/>
        <item t="default"/>
      </items>
    </pivotField>
    <pivotField axis="axisCol" showAll="0">
      <items count="9">
        <item x="3"/>
        <item x="6"/>
        <item x="4"/>
        <item x="1"/>
        <item x="2"/>
        <item x="5"/>
        <item x="0"/>
        <item x="7"/>
        <item t="default"/>
      </items>
    </pivotField>
    <pivotField showAll="0"/>
    <pivotField showAll="0"/>
    <pivotField showAll="0"/>
    <pivotField showAll="0"/>
    <pivotField showAll="0"/>
    <pivotField showAll="0"/>
    <pivotField showAll="0"/>
    <pivotField showAll="0"/>
    <pivotField axis="axisPage" multipleItemSelectionAllowed="1" showAll="0">
      <items count="8">
        <item h="1" x="0"/>
        <item h="1" x="3"/>
        <item x="2"/>
        <item x="1"/>
        <item h="1" x="4"/>
        <item h="1" m="1" x="5"/>
        <item h="1" m="1" x="6"/>
        <item t="default"/>
      </items>
    </pivotField>
    <pivotField axis="axisRow" dataField="1" showAll="0">
      <items count="12">
        <item x="5"/>
        <item x="1"/>
        <item x="10"/>
        <item x="4"/>
        <item x="9"/>
        <item x="6"/>
        <item x="8"/>
        <item x="3"/>
        <item x="2"/>
        <item x="7"/>
        <item x="0"/>
        <item t="default"/>
      </items>
    </pivotField>
  </pivotFields>
  <rowFields count="1">
    <field x="16"/>
  </rowFields>
  <rowItems count="10">
    <i>
      <x v="1"/>
    </i>
    <i>
      <x v="3"/>
    </i>
    <i>
      <x v="4"/>
    </i>
    <i>
      <x v="5"/>
    </i>
    <i>
      <x v="6"/>
    </i>
    <i>
      <x v="7"/>
    </i>
    <i>
      <x v="8"/>
    </i>
    <i>
      <x v="9"/>
    </i>
    <i>
      <x v="10"/>
    </i>
    <i t="grand">
      <x/>
    </i>
  </rowItems>
  <colFields count="1">
    <field x="6"/>
  </colFields>
  <colItems count="5">
    <i>
      <x v="1"/>
    </i>
    <i>
      <x v="2"/>
    </i>
    <i>
      <x v="3"/>
    </i>
    <i>
      <x v="4"/>
    </i>
    <i t="grand">
      <x/>
    </i>
  </colItems>
  <pageFields count="2">
    <pageField fld="15" hier="-1"/>
    <pageField fld="5" hier="-1"/>
  </pageFields>
  <dataFields count="1">
    <dataField name="Count of PM"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2C8A10-4B6B-4A1C-ACE2-882F51CE986C}"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G16" firstHeaderRow="1" firstDataRow="1" firstDataCol="1" rowPageCount="2" colPageCount="1"/>
  <pivotFields count="17">
    <pivotField showAll="0"/>
    <pivotField showAll="0"/>
    <pivotField showAll="0"/>
    <pivotField showAll="0"/>
    <pivotField showAll="0"/>
    <pivotField axis="axisPage" multipleItemSelectionAllowed="1" showAll="0">
      <items count="12">
        <item x="6"/>
        <item x="1"/>
        <item x="2"/>
        <item h="1" x="3"/>
        <item h="1" x="5"/>
        <item h="1" x="4"/>
        <item h="1" x="0"/>
        <item h="1" x="7"/>
        <item h="1" x="8"/>
        <item h="1" x="9"/>
        <item h="1" x="10"/>
        <item t="default"/>
      </items>
    </pivotField>
    <pivotField showAll="0"/>
    <pivotField showAll="0"/>
    <pivotField showAll="0"/>
    <pivotField showAll="0"/>
    <pivotField showAll="0"/>
    <pivotField showAll="0"/>
    <pivotField showAll="0"/>
    <pivotField showAll="0"/>
    <pivotField showAll="0"/>
    <pivotField axis="axisPage" multipleItemSelectionAllowed="1" showAll="0">
      <items count="8">
        <item h="1" x="0"/>
        <item h="1" x="3"/>
        <item x="2"/>
        <item x="1"/>
        <item h="1" x="4"/>
        <item h="1" m="1" x="5"/>
        <item h="1" m="1" x="6"/>
        <item t="default"/>
      </items>
    </pivotField>
    <pivotField axis="axisRow" dataField="1" showAll="0">
      <items count="12">
        <item x="5"/>
        <item x="1"/>
        <item x="10"/>
        <item x="4"/>
        <item x="9"/>
        <item x="6"/>
        <item x="8"/>
        <item x="3"/>
        <item x="2"/>
        <item x="7"/>
        <item x="0"/>
        <item t="default"/>
      </items>
    </pivotField>
  </pivotFields>
  <rowFields count="1">
    <field x="16"/>
  </rowFields>
  <rowItems count="11">
    <i>
      <x v="1"/>
    </i>
    <i>
      <x v="2"/>
    </i>
    <i>
      <x v="3"/>
    </i>
    <i>
      <x v="4"/>
    </i>
    <i>
      <x v="5"/>
    </i>
    <i>
      <x v="6"/>
    </i>
    <i>
      <x v="7"/>
    </i>
    <i>
      <x v="8"/>
    </i>
    <i>
      <x v="9"/>
    </i>
    <i>
      <x v="10"/>
    </i>
    <i t="grand">
      <x/>
    </i>
  </rowItems>
  <colItems count="1">
    <i/>
  </colItems>
  <pageFields count="2">
    <pageField fld="15" hier="-1"/>
    <pageField fld="5" hier="-1"/>
  </pageFields>
  <dataFields count="1">
    <dataField name="Count of PM" fld="16" subtotal="count" baseField="0" baseItem="0"/>
  </dataFields>
  <formats count="4">
    <format dxfId="9">
      <pivotArea outline="0" collapsedLevelsAreSubtotals="1" fieldPosition="0"/>
    </format>
    <format dxfId="8">
      <pivotArea dataOnly="0" labelOnly="1" fieldPosition="0">
        <references count="1">
          <reference field="16" count="9">
            <x v="1"/>
            <x v="2"/>
            <x v="3"/>
            <x v="4"/>
            <x v="5"/>
            <x v="6"/>
            <x v="7"/>
            <x v="8"/>
            <x v="9"/>
          </reference>
        </references>
      </pivotArea>
    </format>
    <format dxfId="7">
      <pivotArea dataOnly="0" labelOnly="1" grandRow="1" outline="0"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DCFECF-E573-453F-873B-5F463B7D2F3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2:G33" firstHeaderRow="1" firstDataRow="2" firstDataCol="1" rowPageCount="2" colPageCount="1"/>
  <pivotFields count="17">
    <pivotField showAll="0"/>
    <pivotField showAll="0"/>
    <pivotField showAll="0"/>
    <pivotField showAll="0"/>
    <pivotField showAll="0"/>
    <pivotField axis="axisPage" multipleItemSelectionAllowed="1" showAll="0">
      <items count="12">
        <item x="6"/>
        <item x="1"/>
        <item h="1" x="2"/>
        <item h="1" x="3"/>
        <item h="1" x="5"/>
        <item h="1" x="4"/>
        <item h="1" x="0"/>
        <item h="1" x="7"/>
        <item h="1" x="8"/>
        <item h="1" x="9"/>
        <item h="1" x="10"/>
        <item t="default"/>
      </items>
    </pivotField>
    <pivotField axis="axisCol" showAll="0">
      <items count="9">
        <item x="3"/>
        <item x="6"/>
        <item x="4"/>
        <item x="1"/>
        <item x="2"/>
        <item x="5"/>
        <item h="1" x="0"/>
        <item h="1" x="7"/>
        <item t="default"/>
      </items>
    </pivotField>
    <pivotField showAll="0"/>
    <pivotField showAll="0"/>
    <pivotField showAll="0"/>
    <pivotField showAll="0"/>
    <pivotField showAll="0"/>
    <pivotField showAll="0"/>
    <pivotField showAll="0"/>
    <pivotField showAll="0"/>
    <pivotField axis="axisPage" multipleItemSelectionAllowed="1" showAll="0">
      <items count="8">
        <item h="1" x="0"/>
        <item h="1" x="3"/>
        <item x="2"/>
        <item x="1"/>
        <item h="1" x="4"/>
        <item h="1" m="1" x="5"/>
        <item h="1" m="1" x="6"/>
        <item t="default"/>
      </items>
    </pivotField>
    <pivotField axis="axisRow" dataField="1" showAll="0">
      <items count="12">
        <item x="5"/>
        <item x="1"/>
        <item x="10"/>
        <item x="4"/>
        <item x="9"/>
        <item x="6"/>
        <item x="8"/>
        <item x="3"/>
        <item x="2"/>
        <item x="7"/>
        <item x="0"/>
        <item t="default"/>
      </items>
    </pivotField>
  </pivotFields>
  <rowFields count="1">
    <field x="16"/>
  </rowFields>
  <rowItems count="10">
    <i>
      <x v="1"/>
    </i>
    <i>
      <x v="2"/>
    </i>
    <i>
      <x v="3"/>
    </i>
    <i>
      <x v="4"/>
    </i>
    <i>
      <x v="5"/>
    </i>
    <i>
      <x v="6"/>
    </i>
    <i>
      <x v="7"/>
    </i>
    <i>
      <x v="8"/>
    </i>
    <i>
      <x v="9"/>
    </i>
    <i t="grand">
      <x/>
    </i>
  </rowItems>
  <colFields count="1">
    <field x="6"/>
  </colFields>
  <colItems count="5">
    <i>
      <x/>
    </i>
    <i>
      <x v="1"/>
    </i>
    <i>
      <x v="2"/>
    </i>
    <i>
      <x v="3"/>
    </i>
    <i t="grand">
      <x/>
    </i>
  </colItems>
  <pageFields count="2">
    <pageField fld="15" hier="-1"/>
    <pageField fld="5" hier="-1"/>
  </pageFields>
  <dataFields count="1">
    <dataField name="Count of PM"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1F93DD-A695-4E7D-A63A-CAFB19FB834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13" firstHeaderRow="1" firstDataRow="1" firstDataCol="1" rowPageCount="2" colPageCount="1"/>
  <pivotFields count="10">
    <pivotField showAll="0"/>
    <pivotField showAll="0"/>
    <pivotField axis="axisPage" multipleItemSelectionAllowed="1" showAll="0">
      <items count="9">
        <item x="2"/>
        <item x="1"/>
        <item x="3"/>
        <item h="1" x="4"/>
        <item h="1" x="5"/>
        <item h="1" x="6"/>
        <item h="1" x="0"/>
        <item h="1" x="7"/>
        <item t="default"/>
      </items>
    </pivotField>
    <pivotField showAll="0"/>
    <pivotField showAll="0"/>
    <pivotField showAll="0"/>
    <pivotField showAll="0"/>
    <pivotField axis="axisRow" dataField="1" showAll="0">
      <items count="11">
        <item h="1" x="1"/>
        <item x="2"/>
        <item x="5"/>
        <item x="3"/>
        <item x="9"/>
        <item x="6"/>
        <item x="8"/>
        <item x="4"/>
        <item x="7"/>
        <item x="0"/>
        <item t="default"/>
      </items>
    </pivotField>
    <pivotField showAll="0"/>
    <pivotField axis="axisPage" multipleItemSelectionAllowed="1" showAll="0">
      <items count="4">
        <item h="1" x="0"/>
        <item h="1" x="2"/>
        <item x="1"/>
        <item t="default"/>
      </items>
    </pivotField>
  </pivotFields>
  <rowFields count="1">
    <field x="7"/>
  </rowFields>
  <rowItems count="8">
    <i>
      <x v="1"/>
    </i>
    <i>
      <x v="2"/>
    </i>
    <i>
      <x v="3"/>
    </i>
    <i>
      <x v="5"/>
    </i>
    <i>
      <x v="6"/>
    </i>
    <i>
      <x v="7"/>
    </i>
    <i>
      <x v="8"/>
    </i>
    <i t="grand">
      <x/>
    </i>
  </rowItems>
  <colItems count="1">
    <i/>
  </colItems>
  <pageFields count="2">
    <pageField fld="9" hier="-1"/>
    <pageField fld="2" hier="-1"/>
  </pageFields>
  <dataFields count="1">
    <dataField name="Count of PIC PM" fld="7" subtotal="count" baseField="0" baseItem="0"/>
  </dataFields>
  <formats count="4">
    <format dxfId="13">
      <pivotArea outline="0" collapsedLevelsAreSubtotals="1" fieldPosition="0"/>
    </format>
    <format dxfId="12">
      <pivotArea dataOnly="0" labelOnly="1" fieldPosition="0">
        <references count="1">
          <reference field="7" count="7">
            <x v="1"/>
            <x v="2"/>
            <x v="3"/>
            <x v="5"/>
            <x v="6"/>
            <x v="7"/>
            <x v="8"/>
          </reference>
        </references>
      </pivotArea>
    </format>
    <format dxfId="11">
      <pivotArea dataOnly="0" labelOnly="1" grandRow="1" outline="0" fieldPosition="0"/>
    </format>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831C88-330A-40C2-B4FF-AF50817E1230}" name="PivotTable5"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54:B66" firstHeaderRow="1" firstDataRow="1" firstDataCol="1"/>
  <pivotFields count="8">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1"/>
        <item x="10"/>
        <item x="2"/>
        <item x="5"/>
        <item x="3"/>
        <item x="9"/>
        <item x="6"/>
        <item x="8"/>
        <item x="4"/>
        <item x="7"/>
        <item x="0"/>
        <item t="default"/>
      </items>
    </pivotField>
  </pivotFields>
  <rowFields count="1">
    <field x="7"/>
  </rowFields>
  <rowItems count="12">
    <i>
      <x/>
    </i>
    <i>
      <x v="1"/>
    </i>
    <i>
      <x v="2"/>
    </i>
    <i>
      <x v="3"/>
    </i>
    <i>
      <x v="4"/>
    </i>
    <i>
      <x v="5"/>
    </i>
    <i>
      <x v="6"/>
    </i>
    <i>
      <x v="7"/>
    </i>
    <i>
      <x v="8"/>
    </i>
    <i>
      <x v="9"/>
    </i>
    <i>
      <x v="1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D01100-311E-4513-B3C4-8A743D737047}"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07:K222" firstHeaderRow="1" firstDataRow="1" firstDataCol="1" rowPageCount="2" colPageCount="1"/>
  <pivotFields count="4">
    <pivotField axis="axisRow" dataField="1" showAll="0">
      <items count="19">
        <item x="2"/>
        <item x="13"/>
        <item x="5"/>
        <item x="12"/>
        <item x="8"/>
        <item x="9"/>
        <item x="7"/>
        <item m="1" x="17"/>
        <item x="15"/>
        <item x="3"/>
        <item x="4"/>
        <item x="11"/>
        <item x="1"/>
        <item x="10"/>
        <item x="16"/>
        <item x="0"/>
        <item x="6"/>
        <item x="14"/>
        <item t="default"/>
      </items>
    </pivotField>
    <pivotField showAll="0"/>
    <pivotField axis="axisPage" multipleItemSelectionAllowed="1" showAll="0">
      <items count="8">
        <item x="5"/>
        <item x="0"/>
        <item x="1"/>
        <item h="1" x="2"/>
        <item h="1" x="4"/>
        <item h="1" x="3"/>
        <item h="1" x="6"/>
        <item t="default"/>
      </items>
    </pivotField>
    <pivotField axis="axisPage" multipleItemSelectionAllowed="1" showAll="0">
      <items count="8">
        <item h="1" x="2"/>
        <item x="5"/>
        <item x="3"/>
        <item x="0"/>
        <item x="1"/>
        <item x="4"/>
        <item x="6"/>
        <item t="default"/>
      </items>
    </pivotField>
  </pivotFields>
  <rowFields count="1">
    <field x="0"/>
  </rowFields>
  <rowItems count="15">
    <i>
      <x/>
    </i>
    <i>
      <x v="3"/>
    </i>
    <i>
      <x v="4"/>
    </i>
    <i>
      <x v="5"/>
    </i>
    <i>
      <x v="6"/>
    </i>
    <i>
      <x v="8"/>
    </i>
    <i>
      <x v="9"/>
    </i>
    <i>
      <x v="10"/>
    </i>
    <i>
      <x v="11"/>
    </i>
    <i>
      <x v="12"/>
    </i>
    <i>
      <x v="13"/>
    </i>
    <i>
      <x v="15"/>
    </i>
    <i>
      <x v="16"/>
    </i>
    <i>
      <x v="17"/>
    </i>
    <i t="grand">
      <x/>
    </i>
  </rowItems>
  <colItems count="1">
    <i/>
  </colItems>
  <pageFields count="2">
    <pageField fld="2" hier="-1"/>
    <pageField fld="3" hier="-1"/>
  </pageFields>
  <dataFields count="1">
    <dataField name="Count of Stream"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F7C6D0-46D1-44B2-8C07-48815BD2D650}"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6:K24" firstHeaderRow="1" firstDataRow="1" firstDataCol="1"/>
  <pivotFields count="1">
    <pivotField axis="axisRow" dataField="1" showAll="0">
      <items count="27">
        <item x="2"/>
        <item x="13"/>
        <item x="5"/>
        <item x="12"/>
        <item x="8"/>
        <item x="7"/>
        <item x="9"/>
        <item x="15"/>
        <item x="3"/>
        <item x="4"/>
        <item x="11"/>
        <item x="1"/>
        <item x="10"/>
        <item x="16"/>
        <item m="1" x="17"/>
        <item m="1" x="18"/>
        <item m="1" x="19"/>
        <item m="1" x="20"/>
        <item m="1" x="21"/>
        <item m="1" x="22"/>
        <item m="1" x="23"/>
        <item m="1" x="24"/>
        <item m="1" x="25"/>
        <item x="0"/>
        <item x="6"/>
        <item x="14"/>
        <item t="default"/>
      </items>
    </pivotField>
  </pivotFields>
  <rowFields count="1">
    <field x="0"/>
  </rowFields>
  <rowItems count="18">
    <i>
      <x/>
    </i>
    <i>
      <x v="1"/>
    </i>
    <i>
      <x v="2"/>
    </i>
    <i>
      <x v="3"/>
    </i>
    <i>
      <x v="4"/>
    </i>
    <i>
      <x v="5"/>
    </i>
    <i>
      <x v="6"/>
    </i>
    <i>
      <x v="7"/>
    </i>
    <i>
      <x v="8"/>
    </i>
    <i>
      <x v="9"/>
    </i>
    <i>
      <x v="10"/>
    </i>
    <i>
      <x v="11"/>
    </i>
    <i>
      <x v="12"/>
    </i>
    <i>
      <x v="13"/>
    </i>
    <i>
      <x v="23"/>
    </i>
    <i>
      <x v="24"/>
    </i>
    <i>
      <x v="25"/>
    </i>
    <i t="grand">
      <x/>
    </i>
  </rowItems>
  <colItems count="1">
    <i/>
  </colItems>
  <dataFields count="1">
    <dataField name="Count of Stream"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B30" dT="2025-07-15T03:56:43.79" personId="{11EB1E53-6696-4E40-9158-1482470F21EA}" id="{17D957F0-B5FC-4F86-9B9E-39E5C0918F1A}">
    <text>Inhouse</text>
  </threadedComment>
  <threadedComment ref="EG30" dT="2025-03-24T07:29:57.78" personId="{E4E6A1F4-B6CB-4823-87D9-95E0CA4664A0}" id="{D0AFBD99-3C65-4961-99CE-D0666A3B3B14}">
    <text>To do : finalisasi dokumen BAI</text>
  </threadedComment>
  <threadedComment ref="EA31" dT="2025-07-15T03:56:28.24" personId="{11EB1E53-6696-4E40-9158-1482470F21EA}" id="{922560DE-A031-4C19-A56B-829D3AF39AA7}">
    <text>WO</text>
  </threadedComment>
  <threadedComment ref="EH31" dT="2025-05-20T02:00:47.97" personId="{11EB1E53-6696-4E40-9158-1482470F21EA}" id="{7A8014CA-9F38-40A2-B25B-E9EF54207B15}">
    <text xml:space="preserve">1. Menggunakan BRD Eksisting dari proyek reissuance SRBI.
Melalui RDG diminta implementasi searchable collateral maju dari target RIVIBI pada TW IV 2025 menjadi siap implementasi pada Sep 2025 (berbarengan dgn BI-FRN).  
2. KPPA telah berdiskusi terkait percepatan ini kepada vendor pengembang (PCI dan CMA) dan akan berdampak kepada perubahan source code Aplikasi PP BI-ETP.​
</text>
  </threadedComment>
  <threadedComment ref="EH31" dT="2025-06-23T02:07:56.83" personId="{11EB1E53-6696-4E40-9158-1482470F21EA}" id="{2E2267A6-49E2-4654-A8BA-872EB4AD3C94}" parentId="{7A8014CA-9F38-40A2-B25B-E9EF54207B15}">
    <text>2. Free Text di bid Entry form tidak dilanjutkan (drop) dan digantikan dengan penyiapan sistem untuk mendukung penguatan transaksi NDF a.l pengembangan sistem FX Go untuk transaksi NDF BI di DPMA dan KPw LN</text>
  </threadedComment>
  <threadedComment ref="EH31" dT="2025-08-07T06:31:24.76" personId="{11EB1E53-6696-4E40-9158-1482470F21EA}" id="{FE91350B-AD29-44D0-BCEA-6E674D08C9CE}" parentId="{7A8014CA-9F38-40A2-B25B-E9EF54207B15}">
    <text xml:space="preserve">1. SRS Reopening SRBI - Tahap 2 (Searchable collateral )Full Sign
2. Project Charter DONE
3. Dalam Tahapan Pengembangan, Terdapat pembahasan design mockup UI antara BI dan Principle (CMA)
</text>
  </threadedComment>
  <threadedComment ref="EH31" dT="2025-10-13T01:14:01.63" personId="{11EB1E53-6696-4E40-9158-1482470F21EA}" id="{DCC736D2-4F65-4BF3-B24B-11084A293B2D}" parentId="{7A8014CA-9F38-40A2-B25B-E9EF54207B15}">
    <text xml:space="preserve">1. terkait timeline pengembangan akan mundur sampai dengan M2 Agustus 2025.
2. Target UT selesai M2 Agustus, saat ini telah selesai, proses persiapan SIT
3. SIT pada 14-22 Agustus
4. 65 dari 75 Skenario PASS. 10 Skenario Blocked Terkait pengembangan Repo SVBI SUVBI VALAS
5. Sesuai rapat koordinasi antar satker bisnis, diputuskan bahwa Industrial test akan tetap dilaksanakan pada M2 September 2025.
6. Kick Off UAT 25 Agustus 2025
7. UAT &amp; Industrial Test Telah selesai dilaksanakan
8. Temuan Security telah selesai di Remediasi
</text>
  </threadedComment>
  <threadedComment ref="EH31" dT="2025-10-20T03:11:19.50" personId="{F78D9FFE-E1AF-4221-B2A5-41CCC54D5DF6}" id="{D78B0694-B4E4-42BA-8E2B-A4BC3DC9E6FC}" parentId="{7A8014CA-9F38-40A2-B25B-E9EF54207B15}">
    <text>251020:
1. Update informasi tanggal deployment pada charter
2. Perhatikan kondisi BI-ETP pada saat implementasi</text>
  </threadedComment>
  <threadedComment ref="EA32" dT="2025-07-15T03:56:28.24" personId="{11EB1E53-6696-4E40-9158-1482470F21EA}" id="{FC362B2C-14FF-4793-8C1E-87B27342DACB}">
    <text>WO</text>
  </threadedComment>
  <threadedComment ref="EB32" dT="2025-07-15T03:56:28.24" personId="{11EB1E53-6696-4E40-9158-1482470F21EA}" id="{BA9E4CDB-9E24-4A9D-BD12-3132ECF42594}">
    <text>WO</text>
  </threadedComment>
  <threadedComment ref="EH32" dT="2025-04-16T08:00:38.02" personId="{11EB1E53-6696-4E40-9158-1482470F21EA}" id="{91563592-9BD9-45A1-8744-327C60F95C86}">
    <text>Deliverable FMB
dokumen
FMB modul exsisting
FMB modul custom</text>
  </threadedComment>
  <threadedComment ref="EH32" dT="2025-08-07T06:32:06.28" personId="{11EB1E53-6696-4E40-9158-1482470F21EA}" id="{C4637F08-29B2-44BD-BF4F-E2CBC70FA619}" parentId="{91563592-9BD9-45A1-8744-327C60F95C86}">
    <text xml:space="preserve">On Progress:
1. Dokumen design
- Tersisa SIMP
2. Update Surrounding  
- SSK: 
GMMP, SSS (fungsi merupakan UI Eksisting bersifat parameterize, sesuai arahan Stream SSK akan mengirimkan email kepada user bahwa Terkait pengembangan di area SSK tidak akan diuji pada UT dan SIT untuk menjadi landasan proses SIT di PKLD)
SIMP (Proses Pengajuan WO) terdapat pengembangan. akan dilakukan tailoring kembali
- MON : SEKI Selesai SIT
LBUT : DIDD telah merespon Memo Dsta dengan menyesuaikan sandi referensi jenis instrumen pada Igov. metadata akan lakukan pengujian oleh Dsta.
3. SIT dilakukan tailoring agar skenario pada sisi Market dan Middleware bisa dilaksanakan
4. Skenario SIT telah di eksekusi sejumlah 101/124 Skenario (82%), 1 Skenario Fail ( 1 cosmetic), 13 Blocked untuk skenario dari BI-SSS dan GMMP, sesuai diskusi tidak akan diuji pada fase UT dan SIT. 8 skenario tersisa di area SIMP dan LBUT. total SIT sudah 92%
5. Kick-Off UAT telah dilakukan pada 1 Agustus, mulai di tanggal 4 Agustus, total terdapat 69 Skenario UAT
</text>
  </threadedComment>
  <threadedComment ref="EH32" dT="2025-10-20T03:16:21.58" personId="{F78D9FFE-E1AF-4221-B2A5-41CCC54D5DF6}" id="{A0647847-403C-49CC-8F19-26BC717633E1}" parentId="{91563592-9BD9-45A1-8744-327C60F95C86}">
    <text>251020:
1. Tambahkan informasi terkait LBUT dan SEKI
2. Tambahkan informasi terkait due date deployment di 24 Oktober 2025, pada charter seharusnya Sept 2025.</text>
  </threadedComment>
  <threadedComment ref="EH32" dT="2025-11-10T01:43:38.73" personId="{11EB1E53-6696-4E40-9158-1482470F21EA}" id="{58A24390-E0AA-4EB3-89FF-088AEDBF278E}" parentId="{91563592-9BD9-45A1-8744-327C60F95C86}">
    <text xml:space="preserve">1. Seluruh kegiatan deployment modul utama yaitu FMB (26 September 2025), BI-SSSS, ETP, SOA, dan SIMP (10 Oktober 2025), serta LBUT (16 Oktober 2025) serta HARTIS &amp; SIBISSSS (24 Oktober) telah berhasil diselesaikan sesuai jadwal baseline.
2. Pelaksanaan UAT telah mencapai 100% (22 Oktober 2025)
3. Remediasi temuan keamanan server untuk FMB dan FMI telah selesai, sementara SOA masih dalam tahap penyelesaian dan tidak berdampak terhadap readiness sistem.
4. Komponen BI-SSS dan GMMP bersifat Parameterize,
5. SEKI &amp; LBUT masih menunggu ketentuan kebijakan lebih lanjut untuk proses kegiatan Deploy.
6. Kegiatan  deployment HARTIS, SI BI-SSSS, serta patching peserta PP BI-ETP untuk 140 bank peserta, yang seluruhnya telah dilakukan pada 24 Oktober 2025.
7. Dokumen Laporan SIT telah full sign, disampaikan beserta Memo dari PKLD
8. Laporan UAT Versi 2 cakupan SIBISSSS dan HARTIS Full sign
9. 3 BA Deployment Full sign 
- FMB
- S4, ETP, SOA, SIMP
- HARTIS, SIBISSSS
10. Adendum WO
Summary: 
Secara keseluruhan proyek berada dalam kondisi on track dengan risiko rendah dan tidak terdapat isu kritikal yang menghambat target penyelesaian TW4.
Next Plan:
Deployment LBUT &amp; SEKI 
Revisi RPP, Menunggu tanggal pada WO terbaru
BAI
</text>
  </threadedComment>
  <threadedComment ref="EA34" dT="2025-07-15T08:05:57.62" personId="{11EB1E53-6696-4E40-9158-1482470F21EA}" id="{FB5F6C75-4BA9-4F9A-9837-CA65BB7CC70C}">
    <text>WO</text>
  </threadedComment>
  <threadedComment ref="EH34" dT="2025-10-20T03:24:45.36" personId="{F78D9FFE-E1AF-4221-B2A5-41CCC54D5DF6}" id="{6A4D8EE6-45D7-43CA-AB9A-AF0239376A29}">
    <text>251020:
1. Informasikan tanggal deployment pada charter, indentifikasi apakah perlu penyesuaian charter</text>
  </threadedComment>
  <threadedComment ref="EH35" dT="2025-11-03T01:58:06.73" personId="{11EB1E53-6696-4E40-9158-1482470F21EA}" id="{E050B191-332C-40DA-A1DF-9206A321B9C5}">
    <text xml:space="preserve">Underlying Percepatan Keputusan RDGB Jan 2025, 
implementasi dipercepat menjadi TW IV 2025 dengan aplikasi terdampak yakni BI-ETP, BI-SSSS, HARTIS, SI BI-SSSS, SOA, FOMOBO. Rencana RBT akan mulai disusun pada bulan Juni, dengan target final pada Juli 2025
</text>
  </threadedComment>
  <threadedComment ref="EH36" dT="2025-12-01T04:00:58.12" personId="{11EB1E53-6696-4E40-9158-1482470F21EA}" id="{F54A2813-3C60-4C5A-9419-98873773F54E}">
    <text>Pengembangan akan dimulai pada November 2026 dan implementasi akan dilaksanakan pada April 2027
Setelah pembahasan diskusi antara satker bisnis.
RBT akan dipisah antara tahap 1 dan 2. rencana Submit RBT di TW 1 2026
Implementasi TW2 2027</text>
  </threadedComment>
  <threadedComment ref="AN47" dT="2025-01-22T04:26:43.36" personId="{827F35BE-3028-4424-997C-7D2C88C677EA}" id="{7476D321-D6FE-461D-AA97-73B060A76E85}">
    <text xml:space="preserve">Belum ada SPPP,belum ada jadwal yang disepakati </text>
  </threadedComment>
  <threadedComment ref="EH47" dT="2025-10-20T03:34:11.73" personId="{F78D9FFE-E1AF-4221-B2A5-41CCC54D5DF6}" id="{DB3F0381-E567-436D-BF55-5F0BEFA55E59}">
    <text>25102025:
1. Informasi due date based on project charter
2. Due penyelesaian desain SI.
3. Timeline penyelesaian DS desain SI</text>
  </threadedComment>
  <threadedComment ref="EH47" dT="2025-10-20T03:34:35.97" personId="{F78D9FFE-E1AF-4221-B2A5-41CCC54D5DF6}" id="{DD267FB2-C0EE-454F-98EA-38ACA048F048}" parentId="{DB3F0381-E567-436D-BF55-5F0BEFA55E59}">
    <text>Modul tahap 1 KPPK dan TRD</text>
  </threadedComment>
  <threadedComment ref="EH53" dT="2025-10-20T03:56:04.43" personId="{F78D9FFE-E1AF-4221-B2A5-41CCC54D5DF6}" id="{C8DE8D41-2F8C-431C-A44A-7394ECFF803D}">
    <text>251020:
1. Target DS SRS due 24 Oktober 2025.
2. Pengembangan due M2 Maret 2026.</text>
  </threadedComment>
  <threadedComment ref="EH54" dT="2025-10-20T04:01:18.23" personId="{F78D9FFE-E1AF-4221-B2A5-41CCC54D5DF6}" id="{AFA8D65F-0B47-496B-BC42-9C1DEC65AB2B}">
    <text>251020:1
1. Update due DS charter ke 24 Oktober 2025
2. Update due DS SRD ke 24 Oktober 2025</text>
  </threadedComment>
  <threadedComment ref="EH57" dT="2024-08-05T02:47:43.13" personId="{129C175E-87AC-44BC-B674-BAD6A659C8D7}" id="{30F68F59-19E9-4BAE-8B40-CCFDED397F89}">
    <text>Rencana adendum WO4 di Sem2-2025. WO4-nya sdg dibuat</text>
  </threadedComment>
  <threadedComment ref="EH61" dT="2024-08-05T02:47:43.13" personId="{129C175E-87AC-44BC-B674-BAD6A659C8D7}" id="{0B2CF58E-CF46-4C4C-9241-8C7C3C5E1996}">
    <text>Rencana adendum WO4 di Sem2-2025. WO4-nya sdg dibuat</text>
  </threadedComment>
  <threadedComment ref="EH62" dT="2024-08-19T02:46:27.96" personId="{129C175E-87AC-44BC-B674-BAD6A659C8D7}" id="{E676C3C0-A403-48A8-A187-A8CF458ED944}">
    <text>Saat ini SOA dipegang vendor ICT</text>
  </threadedComment>
  <threadedComment ref="AN64" dT="2025-03-12T09:29:27.10" personId="{E9C96A8F-EABA-495A-A6C6-E01ACC15964F}" id="{C97D0E83-0FD3-48F6-9791-90F70187B2B3}">
    <text>Sebelumnya small changes, timeline perlu diupdate dengan rencana (T.1.4) terbaru menjadi 14 - 21 April 2025</text>
  </threadedComment>
  <threadedComment ref="AM68" dT="2026-01-27T04:18:17.14" personId="{E4E6A1F4-B6CB-4823-87D9-95E0CA4664A0}" id="{5BA8AF6D-940F-406F-A177-DCD41223602F}">
    <text>Jadwal SIT dibagi menjadi 2</text>
  </threadedComment>
  <threadedComment ref="AN79" dT="2025-01-21T09:54:08.03" personId="{827F35BE-3028-4424-997C-7D2C88C677EA}" id="{C7A56E98-C3E2-4603-9BBA-0420F1323770}">
    <text>Potensi durasi diperpanjang based on risalah rapat bersama DPU-PKLD</text>
  </threadedComment>
  <threadedComment ref="W81" dT="2024-11-29T07:03:45.80" personId="{2BBCC33E-1A37-419D-9CAF-B2AB7B917200}" id="{A30D83E4-6908-4CB6-ACB8-A98995BA75A7}">
    <text>Penyesuaian jadwal yg sebelumnya TW IV 2024</text>
  </threadedComment>
  <threadedComment ref="W82" dT="2024-11-29T07:03:45.80" personId="{2BBCC33E-1A37-419D-9CAF-B2AB7B917200}" id="{9F8DD356-1C9B-4C3E-B14B-B12EC2D30007}">
    <text>Penyesuaian jadwal yg sebelumnya TW IV 2024</text>
  </threadedComment>
  <threadedComment ref="X90" dT="2024-11-28T08:00:18.71" personId="{2BBCC33E-1A37-419D-9CAF-B2AB7B917200}" id="{DF05D5BA-6EDF-46AC-AA05-4B24DD7BB779}">
    <text>Potensi ahead schedule dari awal jadwal Live di 31-Jan-25</text>
  </threadedComment>
  <threadedComment ref="EH109" dT="2025-12-01T03:03:44.22" personId="{11EB1E53-6696-4E40-9158-1482470F21EA}" id="{7C5996BE-F7FF-4591-B3F0-E9B463DC6B4D}">
    <text>1. Target RBT di Desember 2025 dan baru mulai pengembangan di 2026
2. Untuk besaran proyek yang didahulukan di 2025 sendiri ada BI-ETP dan S4
3. Rapat Koordinasi Terkait penyusunan RBT akan dilakukan dibulan November.</text>
  </threadedComment>
  <threadedComment ref="AM111" dT="2025-06-17T02:45:05.07" personId="{E4E6A1F4-B6CB-4823-87D9-95E0CA4664A0}" id="{C9BFDC30-4AE8-4EDC-BBBA-40398388B8F0}">
    <text>Jadwal SIT 
WO I : 1 - 14 Juli 2025
WO II : TBD</text>
  </threadedComment>
  <threadedComment ref="AM114" dT="2025-06-17T02:45:05.07" personId="{E4E6A1F4-B6CB-4823-87D9-95E0CA4664A0}" id="{51BF975C-A16C-46E8-98A5-92898FBE618D}">
    <text>Jadwal SIT 
WO I : 1 - 14 Juli 2025
WO II : TBD</text>
  </threadedComment>
  <threadedComment ref="AN119" dT="2025-03-05T06:47:25.09" personId="{E4E6A1F4-B6CB-4823-87D9-95E0CA4664A0}" id="{987B27E7-5146-40FF-A4DB-514196D4F8D8}">
    <text>SIT dibagi menjadi 3:
1. M4 Januari - M5 Januari
2a. M3 Februari - M4 Februari
2b. M2 April - M3 April</text>
  </threadedComment>
  <threadedComment ref="EH120" dT="2025-10-20T03:42:54.24" personId="{F78D9FFE-E1AF-4221-B2A5-41CCC54D5DF6}" id="{EE72EA4A-8665-4946-907C-14D427ADD79D}">
    <text>251020:
1. Due sesuai charter untuk desain SI? Penyesuaiannya selesai 31 Oktober 2025 (sesuai charter)
2. Pengembangan M1 Oktober s.d. M1 November (sesuai charter)
3. SIT rencana dimulai M2 November 2025 (sesuai charter)</text>
  </threadedComment>
  <threadedComment ref="EH121" dT="2025-10-20T03:48:59.77" personId="{F78D9FFE-E1AF-4221-B2A5-41CCC54D5DF6}" id="{DCE59D13-C574-431C-A115-3FFE01DD88E3}">
    <text>251020:
1. Perlu dipastikan rpp telah sesuai dengan tanggal selesainya RBT di M1 Oktober.
2. Informasi WO terbit di M4 Januari
3. Mulai pengembangan di M1 Februari</text>
  </threadedComment>
  <threadedComment ref="AR125" dT="2025-04-17T10:34:09.41" personId="{E4E6A1F4-B6CB-4823-87D9-95E0CA4664A0}" id="{3ED8D9C5-9B62-4BCE-9291-394322BD0F74}">
    <text>Di project charter agustus 2025</text>
  </threadedComment>
  <threadedComment ref="EH133" dT="2025-10-20T04:28:00.66" personId="{F78D9FFE-E1AF-4221-B2A5-41CCC54D5DF6}" id="{38F882EB-88A8-4110-8A7C-79E73E9A2811}">
    <text>251020:
1. Koordinasi dengan KMBD dan KPPA untuk tanggal pemenuhannya
2. Koordinasi dengan DAI untuk tanggal pemenuhannya.
note: buat buffer 1 bulan.</text>
  </threadedComment>
  <threadedComment ref="DY135" dT="2025-03-17T07:41:07.77" personId="{E9C96A8F-EABA-495A-A6C6-E01ACC15964F}" id="{AC770858-48A5-4EA9-817A-11BF838349D9}">
    <text>Dianggap sudah ada persentase karena ada BRD</text>
  </threadedComment>
  <threadedComment ref="AN136" dT="2025-01-21T09:55:59.26" personId="{827F35BE-3028-4424-997C-7D2C88C677EA}" id="{549C95DF-C47C-4D65-8E4C-3B2B5A39281C}">
    <text>Sudah mulai coding, namun jadwal SIT blm final, konfirm SP - PKLD</text>
  </threadedComment>
  <threadedComment ref="AN140" dT="2025-01-21T09:58:19.55" personId="{827F35BE-3028-4424-997C-7D2C88C677EA}" id="{77DC21A7-DEE1-465E-AEE6-AD3149865278}">
    <text>Jadwal ini sebelum pengadaan, potensi akan berubah sesuai project charter</text>
  </threadedComment>
  <threadedComment ref="EJ140" dT="2024-12-03T07:19:26.81" personId="{2BBCC33E-1A37-419D-9CAF-B2AB7B917200}" id="{D5E9116A-A39D-4B3A-85E0-0A73A0EF7CC3}">
    <text>03122024 : Berdasarkan konsinyering KPPA 28-Nov-24, Target implementasi di 31-Jul-25</text>
  </threadedComment>
  <threadedComment ref="EH141" dT="2025-10-20T04:30:04.65" personId="{F78D9FFE-E1AF-4221-B2A5-41CCC54D5DF6}" id="{EDC176EC-2E81-4DCC-ABAB-3151F6E33D0C}">
    <text>251022:
1. Konfirmasi due penyampaian P.06? 31 Oktober 2025</text>
  </threadedComment>
  <threadedComment ref="EH144" dT="2025-01-02T09:41:02.20" personId="{11EB1E53-6696-4E40-9158-1482470F21EA}" id="{1A00EFF8-E159-4D51-8271-5A1C8129C1F4}">
    <text>6. sesuai dengan CAB meeting pada tanggal 2 Januari 2025, terdapat concern jika tidak dilakukan test login oleh bank peserta (Issue DRP pada deployment ditahun sebelumnya) dikarenakan proses deployment berdampak pada RTGS dan SSSS . karena bank peserta belum terinfo terkait adanya enhancement pada sisi ETP, dari DPSP menyarankan untuk kembali di undur ke tanggal 10 Januari 2025 agar info yang diberikan kepada bank peserta tidak mendadak.</text>
  </threadedComment>
  <threadedComment ref="AN145" dT="2025-01-22T04:15:17.85" personId="{827F35BE-3028-4424-997C-7D2C88C677EA}" id="{263502BF-F2B5-40C2-A249-E485CA74686A}">
    <text>Belum ada timeline yg disepakati</text>
  </threadedComment>
  <threadedComment ref="AM148" dT="2025-01-21T09:59:51.36" personId="{827F35BE-3028-4424-997C-7D2C88C677EA}" id="{5A7AF953-2264-4D43-BDD5-2A455B12AB51}">
    <text>TBD bersama KMBD</text>
  </threadedComment>
</ThreadedComments>
</file>

<file path=xl/threadedComments/threadedComment2.xml><?xml version="1.0" encoding="utf-8"?>
<ThreadedComments xmlns="http://schemas.microsoft.com/office/spreadsheetml/2018/threadedcomments" xmlns:x="http://schemas.openxmlformats.org/spreadsheetml/2006/main">
  <threadedComment ref="D34" dT="2025-06-26T15:06:50.60" personId="{E4E6A1F4-B6CB-4823-87D9-95E0CA4664A0}" id="{99BA112C-63C0-463C-89A0-F6FD6BA4AF83}">
    <text>x</text>
  </threadedComment>
</ThreadedComments>
</file>

<file path=xl/threadedComments/threadedComment3.xml><?xml version="1.0" encoding="utf-8"?>
<ThreadedComments xmlns="http://schemas.microsoft.com/office/spreadsheetml/2018/threadedcomments" xmlns:x="http://schemas.openxmlformats.org/spreadsheetml/2006/main">
  <threadedComment ref="FT3" dT="2025-10-20T04:48:16.33" personId="{F78D9FFE-E1AF-4221-B2A5-41CCC54D5DF6}" id="{E332629A-412E-4431-A306-403B36A31134}">
    <text>Digabung ke P-30</text>
  </threadedComment>
  <threadedComment ref="FT3" dT="2025-10-20T04:49:21.23" personId="{F78D9FFE-E1AF-4221-B2A5-41CCC54D5DF6}" id="{3B682C20-EA67-481D-855D-4DFAD0065B2B}" parentId="{E332629A-412E-4431-A306-403B36A31134}">
    <text>251022:
1. Informasikan due date untuk RBT, RPP, KAK, RPP?</text>
  </threadedComment>
  <threadedComment ref="FT3" dT="2025-10-27T01:35:49.74" personId="{255DA875-071C-470E-B170-4174EA04EEA9}" id="{89A1C161-F4C4-4DB9-8F96-BFE316FDDF64}" parentId="{E332629A-412E-4431-A306-403B36A31134}">
    <text>RBT sudah di sirkular per tgl 7 Oktober 2025
Untuk KAK dan RPP, informasi yang baru didapatkan akhir TW 4. Detailnya masih belum dapat, akan coba di follow up kembali</text>
  </threadedComment>
  <threadedComment ref="FT4" dT="2025-10-20T04:46:12.27" personId="{F78D9FFE-E1AF-4221-B2A5-41CCC54D5DF6}" id="{D15FC7A8-0816-41A4-9378-A9FF6CFECF60}">
    <text>251022:
1. Due date penyelesaian instalasai DKU dan SPU</text>
  </threadedComment>
  <threadedComment ref="FT4" dT="2025-10-20T04:46:55.49" personId="{F78D9FFE-E1AF-4221-B2A5-41CCC54D5DF6}" id="{468CC151-B993-4CF7-B930-0E532DCD3C1E}" parentId="{D15FC7A8-0816-41A4-9378-A9FF6CFECF60}">
    <text>Dipindah ke P-34</text>
  </threadedComment>
  <threadedComment ref="FT5" dT="2025-10-20T04:37:03.86" personId="{F78D9FFE-E1AF-4221-B2A5-41CCC54D5DF6}" id="{38742DB3-F91D-4981-A5E0-CE36B040C5BD}">
    <text xml:space="preserve">251020:
1. Due date penyelesaian hasil QA? M2 Oktober 2025 (plan awal), target baru 24 Oktober 2025.
</text>
  </threadedComment>
  <threadedComment ref="FT5" dT="2025-10-20T04:47:13.13" personId="{F78D9FFE-E1AF-4221-B2A5-41CCC54D5DF6}" id="{1C12A2A2-C002-437D-A870-25CAD59FD85E}" parentId="{38742DB3-F91D-4981-A5E0-CE36B040C5BD}">
    <text>Digabung ke P-34</text>
  </threadedComment>
  <threadedComment ref="FT5" dT="2025-10-27T01:46:48.61" personId="{255DA875-071C-470E-B170-4174EA04EEA9}" id="{D742D26B-2F44-4BA4-A4F9-C0E6BFE6A5CA}" parentId="{38742DB3-F91D-4981-A5E0-CE36B040C5BD}">
    <text>Dari tiap uker dari Satker sudah sirkular per tgl 22 Oktober 2025, sisa sirkular dari Ka Grup GPID-DPID dan GPPD-DPID</text>
  </threadedComment>
</ThreadedComments>
</file>

<file path=xl/threadedComments/threadedComment4.xml><?xml version="1.0" encoding="utf-8"?>
<ThreadedComments xmlns="http://schemas.microsoft.com/office/spreadsheetml/2018/threadedcomments" xmlns:x="http://schemas.openxmlformats.org/spreadsheetml/2006/main">
  <threadedComment ref="DR34" dT="2025-10-20T05:01:18.36" personId="{F78D9FFE-E1AF-4221-B2A5-41CCC54D5DF6}" id="{36D6C32F-3CB6-464F-A1F4-0294198B7083}">
    <text>251022:
1. Konfirmasi BAPB dan BAI due date-nya? 24 Oktober 2025</text>
  </threadedComment>
  <threadedComment ref="DR34" dT="2025-10-27T01:52:15.29" personId="{255DA875-071C-470E-B170-4174EA04EEA9}" id="{F129A770-59DA-4678-B8C0-503393F31262}" parentId="{36D6C32F-3CB6-464F-A1F4-0294198B7083}">
    <text>BAPB &amp; BAI: 28 Oktober 2025</text>
  </threadedComment>
  <threadedComment ref="DR35" dT="2025-10-20T05:04:06.41" personId="{F78D9FFE-E1AF-4221-B2A5-41CCC54D5DF6}" id="{5A058837-28D9-4338-AC8D-2BD5A06DBC4F}">
    <text>251022:
1. konfirmasi due penyelesaian laporan dan BA? Propose di 24 Oktober 2025</text>
  </threadedComment>
</ThreadedComments>
</file>

<file path=xl/worksheets/_rels/sheet3.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namedSheetView" Target="../namedSheetViews/namedSheetView2.x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523E9-59E4-497E-B7FB-D3F318430F87}">
  <dimension ref="A1:N74"/>
  <sheetViews>
    <sheetView workbookViewId="0">
      <selection activeCell="A10" sqref="A10"/>
    </sheetView>
  </sheetViews>
  <sheetFormatPr defaultRowHeight="14.5"/>
  <sheetData>
    <row r="1" spans="1:12" ht="15" thickBot="1">
      <c r="A1" s="6" t="s">
        <v>0</v>
      </c>
    </row>
    <row r="2" spans="1:12">
      <c r="A2" s="803" t="s">
        <v>1</v>
      </c>
      <c r="B2" s="803"/>
      <c r="C2" s="803"/>
      <c r="D2" s="803"/>
      <c r="E2" s="803"/>
      <c r="F2" s="803"/>
      <c r="G2" s="803"/>
      <c r="H2" s="803"/>
      <c r="I2" s="803"/>
      <c r="J2" s="803"/>
      <c r="K2" s="803"/>
      <c r="L2" s="803"/>
    </row>
    <row r="3" spans="1:12">
      <c r="A3" s="178" t="s">
        <v>2</v>
      </c>
      <c r="B3" s="178" t="s">
        <v>3</v>
      </c>
      <c r="C3" s="178" t="s">
        <v>4</v>
      </c>
      <c r="D3" s="178" t="s">
        <v>5</v>
      </c>
      <c r="E3" s="178" t="s">
        <v>6</v>
      </c>
      <c r="F3" s="178" t="s">
        <v>7</v>
      </c>
      <c r="G3" s="178" t="s">
        <v>8</v>
      </c>
      <c r="H3" s="178" t="s">
        <v>9</v>
      </c>
      <c r="I3" s="178" t="s">
        <v>10</v>
      </c>
      <c r="J3" s="178" t="s">
        <v>11</v>
      </c>
      <c r="K3" s="178" t="s">
        <v>12</v>
      </c>
      <c r="L3" s="178" t="s">
        <v>13</v>
      </c>
    </row>
    <row r="4" spans="1:12" ht="15" thickBot="1">
      <c r="A4" s="120">
        <v>0.08</v>
      </c>
      <c r="B4" s="120">
        <v>0.1</v>
      </c>
      <c r="C4" s="120">
        <v>0.12</v>
      </c>
      <c r="D4" s="120">
        <v>0.15</v>
      </c>
      <c r="E4" s="120">
        <v>0.17499999999999999</v>
      </c>
      <c r="F4" s="120">
        <v>0.2</v>
      </c>
      <c r="G4" s="120">
        <v>0.215</v>
      </c>
      <c r="H4" s="98">
        <v>0.23</v>
      </c>
      <c r="I4" s="98">
        <v>0.245</v>
      </c>
      <c r="J4" s="98">
        <v>0.26</v>
      </c>
      <c r="K4" s="98">
        <v>0.27500000000000002</v>
      </c>
      <c r="L4" s="98">
        <v>0.3</v>
      </c>
    </row>
    <row r="5" spans="1:12" ht="14.9" customHeight="1">
      <c r="A5" s="803" t="s">
        <v>14</v>
      </c>
      <c r="B5" s="803"/>
      <c r="C5" s="803"/>
      <c r="D5" s="803"/>
      <c r="E5" s="803"/>
      <c r="F5" s="803"/>
      <c r="G5" s="803"/>
      <c r="H5" s="803"/>
      <c r="I5" s="803"/>
      <c r="J5" s="803"/>
      <c r="K5" s="803"/>
      <c r="L5" s="803"/>
    </row>
    <row r="6" spans="1:12">
      <c r="A6" s="178" t="s">
        <v>2</v>
      </c>
      <c r="B6" s="178" t="s">
        <v>3</v>
      </c>
      <c r="C6" s="178" t="s">
        <v>4</v>
      </c>
      <c r="D6" s="178" t="s">
        <v>5</v>
      </c>
      <c r="E6" s="178" t="s">
        <v>6</v>
      </c>
      <c r="F6" s="178" t="s">
        <v>7</v>
      </c>
      <c r="G6" s="178" t="s">
        <v>8</v>
      </c>
      <c r="H6" s="178" t="s">
        <v>9</v>
      </c>
      <c r="I6" s="178" t="s">
        <v>10</v>
      </c>
      <c r="J6" s="178" t="s">
        <v>11</v>
      </c>
      <c r="K6" s="178" t="s">
        <v>12</v>
      </c>
      <c r="L6" s="178" t="s">
        <v>13</v>
      </c>
    </row>
    <row r="7" spans="1:12">
      <c r="A7" s="120">
        <f t="shared" ref="A7:L7" si="0">A4/$L$4</f>
        <v>0.26666666666666666</v>
      </c>
      <c r="B7" s="120">
        <f t="shared" si="0"/>
        <v>0.33333333333333337</v>
      </c>
      <c r="C7" s="120">
        <f t="shared" si="0"/>
        <v>0.4</v>
      </c>
      <c r="D7" s="120">
        <f t="shared" si="0"/>
        <v>0.5</v>
      </c>
      <c r="E7" s="120">
        <f t="shared" si="0"/>
        <v>0.58333333333333337</v>
      </c>
      <c r="F7" s="120">
        <f t="shared" si="0"/>
        <v>0.66666666666666674</v>
      </c>
      <c r="G7" s="120">
        <f t="shared" si="0"/>
        <v>0.71666666666666667</v>
      </c>
      <c r="H7" s="120">
        <f t="shared" si="0"/>
        <v>0.76666666666666672</v>
      </c>
      <c r="I7" s="120">
        <f t="shared" si="0"/>
        <v>0.81666666666666665</v>
      </c>
      <c r="J7" s="120">
        <f t="shared" si="0"/>
        <v>0.8666666666666667</v>
      </c>
      <c r="K7" s="120">
        <f t="shared" si="0"/>
        <v>0.91666666666666674</v>
      </c>
      <c r="L7" s="120">
        <f t="shared" si="0"/>
        <v>1</v>
      </c>
    </row>
    <row r="9" spans="1:12" ht="15" thickBot="1">
      <c r="A9" s="6" t="s">
        <v>15</v>
      </c>
    </row>
    <row r="10" spans="1:12">
      <c r="A10" s="803" t="s">
        <v>16</v>
      </c>
      <c r="B10" s="803"/>
      <c r="C10" s="803"/>
      <c r="D10" s="803"/>
      <c r="E10" s="803"/>
      <c r="F10" s="803"/>
      <c r="G10" s="803"/>
      <c r="H10" s="803"/>
      <c r="I10" s="803"/>
      <c r="J10" s="803"/>
      <c r="K10" s="803"/>
      <c r="L10" s="803"/>
    </row>
    <row r="11" spans="1:12">
      <c r="A11" s="178" t="s">
        <v>2</v>
      </c>
      <c r="B11" s="178" t="s">
        <v>3</v>
      </c>
      <c r="C11" s="178" t="s">
        <v>4</v>
      </c>
      <c r="D11" s="178" t="s">
        <v>5</v>
      </c>
      <c r="E11" s="178" t="s">
        <v>6</v>
      </c>
      <c r="F11" s="178" t="s">
        <v>7</v>
      </c>
      <c r="G11" s="178" t="s">
        <v>8</v>
      </c>
      <c r="H11" s="178" t="s">
        <v>9</v>
      </c>
      <c r="I11" s="178" t="s">
        <v>10</v>
      </c>
      <c r="J11" s="178" t="s">
        <v>11</v>
      </c>
      <c r="K11" s="178" t="s">
        <v>12</v>
      </c>
      <c r="L11" s="178" t="s">
        <v>13</v>
      </c>
    </row>
    <row r="12" spans="1:12" ht="15" thickBot="1">
      <c r="A12" s="120">
        <v>0</v>
      </c>
      <c r="B12" s="120">
        <v>0</v>
      </c>
      <c r="C12" s="120">
        <v>0</v>
      </c>
      <c r="D12" s="120">
        <v>0</v>
      </c>
      <c r="E12" s="120">
        <v>0</v>
      </c>
      <c r="F12" s="120">
        <v>0</v>
      </c>
      <c r="G12" s="120">
        <v>0</v>
      </c>
      <c r="H12" s="120">
        <v>0</v>
      </c>
      <c r="I12" s="120">
        <v>0</v>
      </c>
      <c r="J12" s="120">
        <v>1.6E-2</v>
      </c>
      <c r="K12" s="120">
        <v>0.03</v>
      </c>
      <c r="L12" s="120">
        <v>4.4999999999999998E-2</v>
      </c>
    </row>
    <row r="13" spans="1:12">
      <c r="A13" s="803" t="s">
        <v>17</v>
      </c>
      <c r="B13" s="803"/>
      <c r="C13" s="803"/>
      <c r="D13" s="803"/>
      <c r="E13" s="803"/>
      <c r="F13" s="803"/>
      <c r="G13" s="803"/>
      <c r="H13" s="803"/>
      <c r="I13" s="803"/>
      <c r="J13" s="803"/>
      <c r="K13" s="803"/>
      <c r="L13" s="803"/>
    </row>
    <row r="14" spans="1:12">
      <c r="A14" s="178" t="s">
        <v>2</v>
      </c>
      <c r="B14" s="178" t="s">
        <v>3</v>
      </c>
      <c r="C14" s="178" t="s">
        <v>4</v>
      </c>
      <c r="D14" s="178" t="s">
        <v>5</v>
      </c>
      <c r="E14" s="178" t="s">
        <v>6</v>
      </c>
      <c r="F14" s="178" t="s">
        <v>7</v>
      </c>
      <c r="G14" s="178" t="s">
        <v>8</v>
      </c>
      <c r="H14" s="178" t="s">
        <v>9</v>
      </c>
      <c r="I14" s="178" t="s">
        <v>10</v>
      </c>
      <c r="J14" s="178" t="s">
        <v>11</v>
      </c>
      <c r="K14" s="178" t="s">
        <v>12</v>
      </c>
      <c r="L14" s="178" t="s">
        <v>13</v>
      </c>
    </row>
    <row r="15" spans="1:12">
      <c r="A15" s="120">
        <f t="shared" ref="A15:L15" si="1">A12/$L$12</f>
        <v>0</v>
      </c>
      <c r="B15" s="120">
        <f t="shared" si="1"/>
        <v>0</v>
      </c>
      <c r="C15" s="120">
        <f t="shared" si="1"/>
        <v>0</v>
      </c>
      <c r="D15" s="120">
        <f t="shared" si="1"/>
        <v>0</v>
      </c>
      <c r="E15" s="120">
        <f t="shared" si="1"/>
        <v>0</v>
      </c>
      <c r="F15" s="120">
        <f t="shared" si="1"/>
        <v>0</v>
      </c>
      <c r="G15" s="120">
        <f t="shared" si="1"/>
        <v>0</v>
      </c>
      <c r="H15" s="120">
        <f t="shared" si="1"/>
        <v>0</v>
      </c>
      <c r="I15" s="120">
        <f t="shared" si="1"/>
        <v>0</v>
      </c>
      <c r="J15" s="120">
        <f t="shared" si="1"/>
        <v>0.35555555555555557</v>
      </c>
      <c r="K15" s="120">
        <f t="shared" si="1"/>
        <v>0.66666666666666663</v>
      </c>
      <c r="L15" s="120">
        <f t="shared" si="1"/>
        <v>1</v>
      </c>
    </row>
    <row r="16" spans="1:12" ht="15" thickBot="1"/>
    <row r="17" spans="1:12">
      <c r="A17" s="803" t="s">
        <v>18</v>
      </c>
      <c r="B17" s="803"/>
      <c r="C17" s="803"/>
      <c r="D17" s="803"/>
      <c r="E17" s="803"/>
      <c r="F17" s="803"/>
      <c r="G17" s="803"/>
      <c r="H17" s="803"/>
      <c r="I17" s="803"/>
      <c r="J17" s="803"/>
      <c r="K17" s="803"/>
      <c r="L17" s="803"/>
    </row>
    <row r="18" spans="1:12">
      <c r="A18" s="178" t="s">
        <v>2</v>
      </c>
      <c r="B18" s="178" t="s">
        <v>3</v>
      </c>
      <c r="C18" s="178" t="s">
        <v>4</v>
      </c>
      <c r="D18" s="178" t="s">
        <v>5</v>
      </c>
      <c r="E18" s="178" t="s">
        <v>6</v>
      </c>
      <c r="F18" s="178" t="s">
        <v>7</v>
      </c>
      <c r="G18" s="178" t="s">
        <v>8</v>
      </c>
      <c r="H18" s="178" t="s">
        <v>9</v>
      </c>
      <c r="I18" s="178" t="s">
        <v>10</v>
      </c>
      <c r="J18" s="178" t="s">
        <v>11</v>
      </c>
      <c r="K18" s="178" t="s">
        <v>12</v>
      </c>
      <c r="L18" s="178" t="s">
        <v>13</v>
      </c>
    </row>
    <row r="19" spans="1:12">
      <c r="A19" s="120">
        <v>0.2</v>
      </c>
      <c r="B19" s="120">
        <v>0.45</v>
      </c>
      <c r="C19" s="120">
        <v>0.875</v>
      </c>
      <c r="D19" s="120">
        <v>1</v>
      </c>
      <c r="E19" s="120">
        <v>1</v>
      </c>
      <c r="F19" s="120">
        <v>1</v>
      </c>
      <c r="G19" s="120">
        <v>1</v>
      </c>
      <c r="H19" s="120">
        <v>1</v>
      </c>
      <c r="I19" s="120">
        <v>1</v>
      </c>
      <c r="J19" s="120">
        <v>1</v>
      </c>
      <c r="K19" s="120">
        <v>1</v>
      </c>
      <c r="L19" s="120">
        <v>1</v>
      </c>
    </row>
    <row r="20" spans="1:12" ht="15" thickBot="1">
      <c r="A20" s="179"/>
      <c r="B20" s="179"/>
      <c r="C20" s="179"/>
      <c r="D20" s="179"/>
      <c r="E20" s="179"/>
      <c r="F20" s="179"/>
      <c r="G20" s="179"/>
      <c r="H20" s="179"/>
      <c r="I20" s="179"/>
      <c r="J20" s="179"/>
      <c r="K20" s="179"/>
      <c r="L20" s="179"/>
    </row>
    <row r="21" spans="1:12">
      <c r="A21" s="803" t="s">
        <v>19</v>
      </c>
      <c r="B21" s="803"/>
      <c r="C21" s="803"/>
      <c r="D21" s="803"/>
      <c r="E21" s="803"/>
      <c r="F21" s="803"/>
      <c r="G21" s="803"/>
      <c r="H21" s="803"/>
      <c r="I21" s="803"/>
      <c r="J21" s="803"/>
      <c r="K21" s="803"/>
      <c r="L21" s="803"/>
    </row>
    <row r="22" spans="1:12">
      <c r="A22" s="178" t="s">
        <v>2</v>
      </c>
      <c r="B22" s="178" t="s">
        <v>3</v>
      </c>
      <c r="C22" s="178" t="s">
        <v>4</v>
      </c>
      <c r="D22" s="178" t="s">
        <v>5</v>
      </c>
      <c r="E22" s="178" t="s">
        <v>6</v>
      </c>
      <c r="F22" s="178" t="s">
        <v>7</v>
      </c>
      <c r="G22" s="178" t="s">
        <v>8</v>
      </c>
      <c r="H22" s="178" t="s">
        <v>9</v>
      </c>
      <c r="I22" s="178" t="s">
        <v>10</v>
      </c>
      <c r="J22" s="178" t="s">
        <v>11</v>
      </c>
      <c r="K22" s="178" t="s">
        <v>12</v>
      </c>
      <c r="L22" s="178" t="s">
        <v>13</v>
      </c>
    </row>
    <row r="23" spans="1:12" ht="15" thickBot="1">
      <c r="A23" s="120">
        <v>0</v>
      </c>
      <c r="B23" s="120">
        <v>0</v>
      </c>
      <c r="C23" s="120">
        <v>0</v>
      </c>
      <c r="D23" s="120">
        <v>0</v>
      </c>
      <c r="E23" s="120">
        <v>0</v>
      </c>
      <c r="F23" s="120">
        <v>0</v>
      </c>
      <c r="G23" s="120">
        <v>0</v>
      </c>
      <c r="H23" s="120">
        <v>0</v>
      </c>
      <c r="I23" s="120">
        <v>0</v>
      </c>
      <c r="J23" s="120">
        <v>7.4999999999999997E-2</v>
      </c>
      <c r="K23" s="120">
        <v>0.15</v>
      </c>
      <c r="L23" s="120">
        <v>0.2</v>
      </c>
    </row>
    <row r="24" spans="1:12">
      <c r="A24" s="803" t="s">
        <v>20</v>
      </c>
      <c r="B24" s="803"/>
      <c r="C24" s="803"/>
      <c r="D24" s="803"/>
      <c r="E24" s="803"/>
      <c r="F24" s="803"/>
      <c r="G24" s="803"/>
      <c r="H24" s="803"/>
      <c r="I24" s="803"/>
      <c r="J24" s="803"/>
      <c r="K24" s="803"/>
      <c r="L24" s="803"/>
    </row>
    <row r="25" spans="1:12">
      <c r="A25" s="178" t="s">
        <v>2</v>
      </c>
      <c r="B25" s="178" t="s">
        <v>3</v>
      </c>
      <c r="C25" s="178" t="s">
        <v>4</v>
      </c>
      <c r="D25" s="178" t="s">
        <v>5</v>
      </c>
      <c r="E25" s="178" t="s">
        <v>6</v>
      </c>
      <c r="F25" s="178" t="s">
        <v>7</v>
      </c>
      <c r="G25" s="178" t="s">
        <v>8</v>
      </c>
      <c r="H25" s="178" t="s">
        <v>9</v>
      </c>
      <c r="I25" s="178" t="s">
        <v>10</v>
      </c>
      <c r="J25" s="178" t="s">
        <v>11</v>
      </c>
      <c r="K25" s="178" t="s">
        <v>12</v>
      </c>
      <c r="L25" s="178" t="s">
        <v>13</v>
      </c>
    </row>
    <row r="26" spans="1:12">
      <c r="A26" s="120">
        <f t="shared" ref="A26:L26" si="2">A23/$L$23</f>
        <v>0</v>
      </c>
      <c r="B26" s="120">
        <f t="shared" si="2"/>
        <v>0</v>
      </c>
      <c r="C26" s="120">
        <f t="shared" si="2"/>
        <v>0</v>
      </c>
      <c r="D26" s="120">
        <f t="shared" si="2"/>
        <v>0</v>
      </c>
      <c r="E26" s="120">
        <f t="shared" si="2"/>
        <v>0</v>
      </c>
      <c r="F26" s="120">
        <f t="shared" si="2"/>
        <v>0</v>
      </c>
      <c r="G26" s="120">
        <f t="shared" si="2"/>
        <v>0</v>
      </c>
      <c r="H26" s="120">
        <f t="shared" si="2"/>
        <v>0</v>
      </c>
      <c r="I26" s="120">
        <f t="shared" si="2"/>
        <v>0</v>
      </c>
      <c r="J26" s="120">
        <f t="shared" si="2"/>
        <v>0.37499999999999994</v>
      </c>
      <c r="K26" s="120">
        <f t="shared" si="2"/>
        <v>0.74999999999999989</v>
      </c>
      <c r="L26" s="120">
        <f t="shared" si="2"/>
        <v>1</v>
      </c>
    </row>
    <row r="28" spans="1:12" ht="15" thickBot="1">
      <c r="A28" s="6" t="s">
        <v>15</v>
      </c>
    </row>
    <row r="29" spans="1:12">
      <c r="A29" s="803" t="s">
        <v>21</v>
      </c>
      <c r="B29" s="803"/>
      <c r="C29" s="803"/>
      <c r="D29" s="803"/>
      <c r="E29" s="803"/>
      <c r="F29" s="803"/>
      <c r="G29" s="803"/>
      <c r="H29" s="803"/>
      <c r="I29" s="803"/>
      <c r="J29" s="803"/>
      <c r="K29" s="803"/>
      <c r="L29" s="803"/>
    </row>
    <row r="30" spans="1:12">
      <c r="A30" s="178" t="s">
        <v>2</v>
      </c>
      <c r="B30" s="178" t="s">
        <v>3</v>
      </c>
      <c r="C30" s="178" t="s">
        <v>4</v>
      </c>
      <c r="D30" s="178" t="s">
        <v>5</v>
      </c>
      <c r="E30" s="178" t="s">
        <v>6</v>
      </c>
      <c r="F30" s="178" t="s">
        <v>7</v>
      </c>
      <c r="G30" s="178" t="s">
        <v>8</v>
      </c>
      <c r="H30" s="178" t="s">
        <v>9</v>
      </c>
      <c r="I30" s="178" t="s">
        <v>10</v>
      </c>
      <c r="J30" s="178" t="s">
        <v>11</v>
      </c>
      <c r="K30" s="178" t="s">
        <v>12</v>
      </c>
      <c r="L30" s="178" t="s">
        <v>13</v>
      </c>
    </row>
    <row r="31" spans="1:12" ht="15" thickBot="1">
      <c r="A31" s="120">
        <v>0.08</v>
      </c>
      <c r="B31" s="120">
        <v>0.1</v>
      </c>
      <c r="C31" s="120">
        <v>0.12</v>
      </c>
      <c r="D31" s="120">
        <v>0.15</v>
      </c>
      <c r="E31" s="120">
        <v>0.17499999999999999</v>
      </c>
      <c r="F31" s="120">
        <v>0.2</v>
      </c>
      <c r="G31" s="120">
        <v>0.215</v>
      </c>
      <c r="H31" s="98">
        <v>0.23</v>
      </c>
      <c r="I31" s="98">
        <v>0.245</v>
      </c>
      <c r="J31" s="98">
        <v>0.26</v>
      </c>
      <c r="K31" s="98">
        <v>0.27500000000000002</v>
      </c>
      <c r="L31" s="98">
        <v>0.3</v>
      </c>
    </row>
    <row r="32" spans="1:12">
      <c r="A32" s="803" t="s">
        <v>22</v>
      </c>
      <c r="B32" s="803"/>
      <c r="C32" s="803"/>
      <c r="D32" s="803"/>
      <c r="E32" s="803"/>
      <c r="F32" s="803"/>
      <c r="G32" s="803"/>
      <c r="H32" s="803"/>
      <c r="I32" s="803"/>
      <c r="J32" s="803"/>
      <c r="K32" s="803"/>
      <c r="L32" s="803"/>
    </row>
    <row r="33" spans="1:14">
      <c r="A33" s="178" t="s">
        <v>2</v>
      </c>
      <c r="B33" s="178" t="s">
        <v>3</v>
      </c>
      <c r="C33" s="178" t="s">
        <v>4</v>
      </c>
      <c r="D33" s="178" t="s">
        <v>5</v>
      </c>
      <c r="E33" s="178" t="s">
        <v>6</v>
      </c>
      <c r="F33" s="178" t="s">
        <v>7</v>
      </c>
      <c r="G33" s="178" t="s">
        <v>8</v>
      </c>
      <c r="H33" s="178" t="s">
        <v>9</v>
      </c>
      <c r="I33" s="178" t="s">
        <v>10</v>
      </c>
      <c r="J33" s="178" t="s">
        <v>11</v>
      </c>
      <c r="K33" s="178" t="s">
        <v>12</v>
      </c>
      <c r="L33" s="178" t="s">
        <v>13</v>
      </c>
    </row>
    <row r="34" spans="1:14">
      <c r="A34" s="120">
        <f t="shared" ref="A34:L34" si="3">A31/$L$4</f>
        <v>0.26666666666666666</v>
      </c>
      <c r="B34" s="120">
        <f t="shared" si="3"/>
        <v>0.33333333333333337</v>
      </c>
      <c r="C34" s="120">
        <f t="shared" si="3"/>
        <v>0.4</v>
      </c>
      <c r="D34" s="120">
        <f t="shared" si="3"/>
        <v>0.5</v>
      </c>
      <c r="E34" s="120">
        <f t="shared" si="3"/>
        <v>0.58333333333333337</v>
      </c>
      <c r="F34" s="120">
        <f t="shared" si="3"/>
        <v>0.66666666666666674</v>
      </c>
      <c r="G34" s="120">
        <f t="shared" si="3"/>
        <v>0.71666666666666667</v>
      </c>
      <c r="H34" s="120">
        <f t="shared" si="3"/>
        <v>0.76666666666666672</v>
      </c>
      <c r="I34" s="120">
        <f t="shared" si="3"/>
        <v>0.81666666666666665</v>
      </c>
      <c r="J34" s="120">
        <f t="shared" si="3"/>
        <v>0.8666666666666667</v>
      </c>
      <c r="K34" s="120">
        <f t="shared" si="3"/>
        <v>0.91666666666666674</v>
      </c>
      <c r="L34" s="120">
        <f t="shared" si="3"/>
        <v>1</v>
      </c>
    </row>
    <row r="41" spans="1:14">
      <c r="K41">
        <f>35/8</f>
        <v>4.375</v>
      </c>
      <c r="L41">
        <f>K41*6</f>
        <v>26.25</v>
      </c>
      <c r="M41">
        <f>L41+26</f>
        <v>52.25</v>
      </c>
    </row>
    <row r="47" spans="1:14" ht="15" thickBot="1">
      <c r="C47" t="s">
        <v>23</v>
      </c>
    </row>
    <row r="48" spans="1:14">
      <c r="C48" s="803" t="s">
        <v>24</v>
      </c>
      <c r="D48" s="803"/>
      <c r="E48" s="803"/>
      <c r="F48" s="803"/>
      <c r="G48" s="803"/>
      <c r="H48" s="803"/>
      <c r="I48" s="803"/>
      <c r="J48" s="803"/>
      <c r="K48" s="803"/>
      <c r="L48" s="803"/>
      <c r="M48" s="803"/>
      <c r="N48" s="803"/>
    </row>
    <row r="49" spans="2:14">
      <c r="C49" s="178" t="s">
        <v>2</v>
      </c>
      <c r="D49" s="178" t="s">
        <v>3</v>
      </c>
      <c r="E49" s="178" t="s">
        <v>4</v>
      </c>
      <c r="F49" s="178" t="s">
        <v>5</v>
      </c>
      <c r="G49" s="178" t="s">
        <v>6</v>
      </c>
      <c r="H49" s="178" t="s">
        <v>7</v>
      </c>
      <c r="I49" s="178" t="s">
        <v>8</v>
      </c>
      <c r="J49" s="178" t="s">
        <v>9</v>
      </c>
      <c r="K49" s="178" t="s">
        <v>10</v>
      </c>
      <c r="L49" s="178" t="s">
        <v>11</v>
      </c>
      <c r="M49" s="178" t="s">
        <v>12</v>
      </c>
      <c r="N49" s="178" t="s">
        <v>13</v>
      </c>
    </row>
    <row r="50" spans="2:14">
      <c r="B50" t="s">
        <v>25</v>
      </c>
      <c r="C50" s="459">
        <f t="shared" ref="C50:N50" si="4">AVERAGE(C52:C64)</f>
        <v>6.9230769230769235E-2</v>
      </c>
      <c r="D50" s="459">
        <f t="shared" si="4"/>
        <v>0.12499999999999999</v>
      </c>
      <c r="E50" s="459">
        <f t="shared" si="4"/>
        <v>0.15769230769230769</v>
      </c>
      <c r="F50" s="459">
        <f t="shared" si="4"/>
        <v>0.18230769230769228</v>
      </c>
      <c r="G50" s="459">
        <f t="shared" si="4"/>
        <v>0.23307692307692307</v>
      </c>
      <c r="H50" s="459">
        <f t="shared" si="4"/>
        <v>0.25384615384615383</v>
      </c>
      <c r="I50" s="459">
        <f t="shared" si="4"/>
        <v>0.29423076923076918</v>
      </c>
      <c r="J50" s="459">
        <f t="shared" si="4"/>
        <v>0.30769230769230771</v>
      </c>
      <c r="K50" s="459">
        <f t="shared" si="4"/>
        <v>0.32499999999999996</v>
      </c>
      <c r="L50" s="459">
        <f t="shared" si="4"/>
        <v>0.38269230769230766</v>
      </c>
      <c r="M50" s="459">
        <f t="shared" si="4"/>
        <v>0.4</v>
      </c>
      <c r="N50" s="459">
        <f t="shared" si="4"/>
        <v>0.40384615384615385</v>
      </c>
    </row>
    <row r="51" spans="2:14">
      <c r="C51" s="459"/>
      <c r="D51" s="459"/>
      <c r="E51" s="459">
        <f>E50/N50</f>
        <v>0.39047619047619048</v>
      </c>
      <c r="F51" s="459"/>
      <c r="G51" s="459"/>
      <c r="H51" s="459">
        <f>H50/N50</f>
        <v>0.62857142857142856</v>
      </c>
      <c r="I51" s="459"/>
      <c r="J51" s="459"/>
      <c r="K51" s="459">
        <f>K50/N50</f>
        <v>0.80476190476190468</v>
      </c>
      <c r="L51" s="459"/>
      <c r="M51" s="459"/>
      <c r="N51" s="459">
        <f>N50/N50</f>
        <v>1</v>
      </c>
    </row>
    <row r="52" spans="2:14" ht="26">
      <c r="B52" s="412" t="s">
        <v>26</v>
      </c>
      <c r="C52" s="416">
        <v>0.45</v>
      </c>
      <c r="D52" s="416">
        <v>0.875</v>
      </c>
      <c r="E52" s="416">
        <v>1</v>
      </c>
      <c r="F52" s="416">
        <v>1</v>
      </c>
      <c r="G52" s="416">
        <v>1</v>
      </c>
      <c r="H52" s="416">
        <v>1</v>
      </c>
      <c r="I52" s="416">
        <v>1</v>
      </c>
      <c r="J52" s="416">
        <v>1</v>
      </c>
      <c r="K52" s="416">
        <v>1</v>
      </c>
      <c r="L52" s="416">
        <v>1</v>
      </c>
      <c r="M52" s="416">
        <v>1</v>
      </c>
      <c r="N52" s="416">
        <v>1</v>
      </c>
    </row>
    <row r="53" spans="2:14" ht="26">
      <c r="B53" s="413" t="s">
        <v>27</v>
      </c>
      <c r="C53" s="416">
        <v>0.15</v>
      </c>
      <c r="D53" s="416">
        <v>0.15</v>
      </c>
      <c r="E53" s="416">
        <v>0.15</v>
      </c>
      <c r="F53" s="416">
        <v>0.15</v>
      </c>
      <c r="G53" s="416">
        <v>0.3</v>
      </c>
      <c r="H53" s="416">
        <v>0.45</v>
      </c>
      <c r="I53" s="416">
        <v>0.8</v>
      </c>
      <c r="J53" s="416">
        <v>0.9</v>
      </c>
      <c r="K53" s="416">
        <v>0.95</v>
      </c>
      <c r="L53" s="416">
        <v>0.95</v>
      </c>
      <c r="M53" s="416">
        <v>1</v>
      </c>
      <c r="N53" s="416">
        <v>1</v>
      </c>
    </row>
    <row r="54" spans="2:14" ht="19.5">
      <c r="B54" s="413" t="s">
        <v>28</v>
      </c>
      <c r="C54" s="416">
        <v>0.15</v>
      </c>
      <c r="D54" s="416">
        <v>0.3</v>
      </c>
      <c r="E54" s="416">
        <v>0.45</v>
      </c>
      <c r="F54" s="416">
        <v>0.56999999999999995</v>
      </c>
      <c r="G54" s="416">
        <v>0.7</v>
      </c>
      <c r="H54" s="416">
        <v>0.8</v>
      </c>
      <c r="I54" s="417">
        <v>0.875</v>
      </c>
      <c r="J54" s="416">
        <v>0.9</v>
      </c>
      <c r="K54" s="417">
        <v>0.92500000000000004</v>
      </c>
      <c r="L54" s="416">
        <v>0.95</v>
      </c>
      <c r="M54" s="416">
        <v>1</v>
      </c>
      <c r="N54" s="416">
        <v>1</v>
      </c>
    </row>
    <row r="55" spans="2:14" ht="26">
      <c r="B55" s="412" t="s">
        <v>29</v>
      </c>
      <c r="C55" s="416">
        <v>0</v>
      </c>
      <c r="D55" s="416">
        <v>0</v>
      </c>
      <c r="E55" s="416">
        <v>0</v>
      </c>
      <c r="F55" s="416">
        <v>0</v>
      </c>
      <c r="G55" s="416">
        <v>0</v>
      </c>
      <c r="H55" s="416">
        <v>0</v>
      </c>
      <c r="I55" s="416">
        <v>0</v>
      </c>
      <c r="J55" s="416">
        <v>0</v>
      </c>
      <c r="K55" s="416">
        <v>0</v>
      </c>
      <c r="L55" s="416">
        <v>0</v>
      </c>
      <c r="M55" s="416">
        <v>0</v>
      </c>
      <c r="N55" s="416">
        <v>0</v>
      </c>
    </row>
    <row r="56" spans="2:14">
      <c r="B56" s="412" t="s">
        <v>30</v>
      </c>
      <c r="C56" s="416">
        <v>0</v>
      </c>
      <c r="D56" s="416">
        <v>0.15</v>
      </c>
      <c r="E56" s="416">
        <v>0.3</v>
      </c>
      <c r="F56" s="416">
        <v>0.5</v>
      </c>
      <c r="G56" s="416">
        <v>0.88</v>
      </c>
      <c r="H56" s="416">
        <v>0.9</v>
      </c>
      <c r="I56" s="416">
        <v>0.95</v>
      </c>
      <c r="J56" s="416">
        <v>0.95</v>
      </c>
      <c r="K56" s="416">
        <v>0.95</v>
      </c>
      <c r="L56" s="416">
        <v>1</v>
      </c>
      <c r="M56" s="416">
        <v>1</v>
      </c>
      <c r="N56" s="416">
        <v>1</v>
      </c>
    </row>
    <row r="57" spans="2:14" ht="19.5">
      <c r="B57" s="412" t="s">
        <v>31</v>
      </c>
      <c r="C57" s="416">
        <v>0</v>
      </c>
      <c r="D57" s="416">
        <v>0</v>
      </c>
      <c r="E57" s="416">
        <v>0</v>
      </c>
      <c r="F57" s="416">
        <v>0</v>
      </c>
      <c r="G57" s="416">
        <v>0</v>
      </c>
      <c r="H57" s="416">
        <v>0</v>
      </c>
      <c r="I57" s="416">
        <v>0</v>
      </c>
      <c r="J57" s="416">
        <v>0</v>
      </c>
      <c r="K57" s="416">
        <v>0</v>
      </c>
      <c r="L57" s="416">
        <v>0</v>
      </c>
      <c r="M57" s="416">
        <v>0.05</v>
      </c>
      <c r="N57" s="416">
        <v>0.1</v>
      </c>
    </row>
    <row r="58" spans="2:14" ht="26">
      <c r="B58" s="412" t="s">
        <v>32</v>
      </c>
      <c r="C58" s="416">
        <v>0</v>
      </c>
      <c r="D58" s="416">
        <v>0</v>
      </c>
      <c r="E58" s="416">
        <v>0</v>
      </c>
      <c r="F58" s="416">
        <v>0</v>
      </c>
      <c r="G58" s="416">
        <v>0</v>
      </c>
      <c r="H58" s="416">
        <v>0</v>
      </c>
      <c r="I58" s="416">
        <v>0</v>
      </c>
      <c r="J58" s="416">
        <v>0</v>
      </c>
      <c r="K58" s="416">
        <v>0</v>
      </c>
      <c r="L58" s="416">
        <v>0</v>
      </c>
      <c r="M58" s="416">
        <v>0</v>
      </c>
      <c r="N58" s="416">
        <v>0</v>
      </c>
    </row>
    <row r="59" spans="2:14" ht="19.5">
      <c r="B59" s="412" t="s">
        <v>33</v>
      </c>
      <c r="C59" s="416">
        <v>0</v>
      </c>
      <c r="D59" s="416">
        <v>0</v>
      </c>
      <c r="E59" s="416">
        <v>0</v>
      </c>
      <c r="F59" s="416">
        <v>0</v>
      </c>
      <c r="G59" s="416">
        <v>0</v>
      </c>
      <c r="H59" s="416">
        <v>0</v>
      </c>
      <c r="I59" s="416">
        <v>0</v>
      </c>
      <c r="J59" s="416">
        <v>0</v>
      </c>
      <c r="K59" s="416">
        <v>0</v>
      </c>
      <c r="L59" s="416">
        <v>0</v>
      </c>
      <c r="M59" s="416">
        <v>0</v>
      </c>
      <c r="N59" s="416">
        <v>0</v>
      </c>
    </row>
    <row r="60" spans="2:14">
      <c r="B60" s="412" t="s">
        <v>34</v>
      </c>
      <c r="C60" s="416">
        <v>0</v>
      </c>
      <c r="D60" s="416">
        <v>0</v>
      </c>
      <c r="E60" s="416">
        <v>0</v>
      </c>
      <c r="F60" s="416">
        <v>0</v>
      </c>
      <c r="G60" s="416">
        <v>0</v>
      </c>
      <c r="H60" s="416">
        <v>0</v>
      </c>
      <c r="I60" s="416">
        <v>0</v>
      </c>
      <c r="J60" s="416">
        <v>0</v>
      </c>
      <c r="K60" s="416">
        <v>0</v>
      </c>
      <c r="L60" s="416">
        <v>0</v>
      </c>
      <c r="M60" s="416">
        <v>0</v>
      </c>
      <c r="N60" s="416">
        <v>0</v>
      </c>
    </row>
    <row r="61" spans="2:14" ht="32.5">
      <c r="B61" s="414" t="s">
        <v>35</v>
      </c>
      <c r="C61" s="416">
        <v>0.15</v>
      </c>
      <c r="D61" s="416">
        <v>0.15</v>
      </c>
      <c r="E61" s="416">
        <v>0.15</v>
      </c>
      <c r="F61" s="416">
        <v>0.15</v>
      </c>
      <c r="G61" s="416">
        <v>0.15</v>
      </c>
      <c r="H61" s="416">
        <v>0.15</v>
      </c>
      <c r="I61" s="416">
        <v>0.15</v>
      </c>
      <c r="J61" s="416">
        <v>0.15</v>
      </c>
      <c r="K61" s="416">
        <v>0.15</v>
      </c>
      <c r="L61" s="416">
        <v>0.15</v>
      </c>
      <c r="M61" s="416">
        <v>0.15</v>
      </c>
      <c r="N61" s="416">
        <v>0.15</v>
      </c>
    </row>
    <row r="62" spans="2:14" ht="32.5">
      <c r="B62" s="415" t="s">
        <v>36</v>
      </c>
      <c r="C62" s="416">
        <v>0</v>
      </c>
      <c r="D62" s="416">
        <v>0</v>
      </c>
      <c r="E62" s="416">
        <v>0</v>
      </c>
      <c r="F62" s="416">
        <v>0</v>
      </c>
      <c r="G62" s="416">
        <v>0</v>
      </c>
      <c r="H62" s="416">
        <v>0</v>
      </c>
      <c r="I62" s="416">
        <v>0.05</v>
      </c>
      <c r="J62" s="416">
        <v>0.1</v>
      </c>
      <c r="K62" s="416">
        <v>0.25</v>
      </c>
      <c r="L62" s="416">
        <v>0.92500000000000004</v>
      </c>
      <c r="M62" s="416">
        <v>1</v>
      </c>
      <c r="N62" s="416">
        <v>1</v>
      </c>
    </row>
    <row r="63" spans="2:14" ht="32.5">
      <c r="B63" s="415" t="s">
        <v>37</v>
      </c>
      <c r="C63" s="416">
        <v>0</v>
      </c>
      <c r="D63" s="416">
        <v>0</v>
      </c>
      <c r="E63" s="416">
        <v>0</v>
      </c>
      <c r="F63" s="416">
        <v>0</v>
      </c>
      <c r="G63" s="416">
        <v>0</v>
      </c>
      <c r="H63" s="416">
        <v>0</v>
      </c>
      <c r="I63" s="416">
        <v>0</v>
      </c>
      <c r="J63" s="416">
        <v>0</v>
      </c>
      <c r="K63" s="416">
        <v>0</v>
      </c>
      <c r="L63" s="416">
        <v>0</v>
      </c>
      <c r="M63" s="416">
        <v>0</v>
      </c>
      <c r="N63" s="416">
        <v>0</v>
      </c>
    </row>
    <row r="64" spans="2:14" ht="19.5">
      <c r="B64" s="414" t="s">
        <v>38</v>
      </c>
      <c r="C64" s="416">
        <v>0</v>
      </c>
      <c r="D64" s="416">
        <v>0</v>
      </c>
      <c r="E64" s="416">
        <v>0</v>
      </c>
      <c r="F64" s="416">
        <v>0</v>
      </c>
      <c r="G64" s="416">
        <v>0</v>
      </c>
      <c r="H64" s="416">
        <v>0</v>
      </c>
      <c r="I64" s="416">
        <v>0</v>
      </c>
      <c r="J64" s="416">
        <v>0</v>
      </c>
      <c r="K64" s="416">
        <v>0</v>
      </c>
      <c r="L64" s="416">
        <v>0</v>
      </c>
      <c r="M64" s="416">
        <v>0</v>
      </c>
      <c r="N64" s="416">
        <v>0</v>
      </c>
    </row>
    <row r="67" spans="2:14" ht="15" thickBot="1"/>
    <row r="68" spans="2:14">
      <c r="C68" s="803" t="s">
        <v>24</v>
      </c>
      <c r="D68" s="803"/>
      <c r="E68" s="803"/>
      <c r="F68" s="803"/>
      <c r="G68" s="803"/>
      <c r="H68" s="803"/>
      <c r="I68" s="803"/>
      <c r="J68" s="803"/>
      <c r="K68" s="803"/>
      <c r="L68" s="803"/>
      <c r="M68" s="803"/>
      <c r="N68" s="803"/>
    </row>
    <row r="69" spans="2:14">
      <c r="C69" s="178" t="s">
        <v>2</v>
      </c>
      <c r="D69" s="178" t="s">
        <v>3</v>
      </c>
      <c r="E69" s="178" t="s">
        <v>4</v>
      </c>
      <c r="F69" s="178" t="s">
        <v>5</v>
      </c>
      <c r="G69" s="178" t="s">
        <v>6</v>
      </c>
      <c r="H69" s="178" t="s">
        <v>7</v>
      </c>
      <c r="I69" s="178" t="s">
        <v>8</v>
      </c>
      <c r="J69" s="178" t="s">
        <v>9</v>
      </c>
      <c r="K69" s="178" t="s">
        <v>10</v>
      </c>
      <c r="L69" s="178" t="s">
        <v>11</v>
      </c>
      <c r="M69" s="178" t="s">
        <v>12</v>
      </c>
      <c r="N69" s="178" t="s">
        <v>13</v>
      </c>
    </row>
    <row r="70" spans="2:14">
      <c r="B70" t="s">
        <v>25</v>
      </c>
      <c r="C70" s="459">
        <f>AVERAGE(C72:C74)</f>
        <v>3.3333333333333333E-2</v>
      </c>
      <c r="D70" s="459">
        <f t="shared" ref="D70:N70" si="5">AVERAGE(D72:D84)</f>
        <v>5.6666666666666671E-2</v>
      </c>
      <c r="E70" s="459">
        <f t="shared" si="5"/>
        <v>0.18333333333333335</v>
      </c>
      <c r="F70" s="459">
        <f t="shared" si="5"/>
        <v>0.31666666666666665</v>
      </c>
      <c r="G70" s="459">
        <f t="shared" si="5"/>
        <v>0.45</v>
      </c>
      <c r="H70" s="459">
        <f t="shared" si="5"/>
        <v>0.54166666666666663</v>
      </c>
      <c r="I70" s="459">
        <f t="shared" si="5"/>
        <v>0.66666666666666663</v>
      </c>
      <c r="J70" s="459">
        <f t="shared" si="5"/>
        <v>0.76666666666666672</v>
      </c>
      <c r="K70" s="459">
        <f t="shared" si="5"/>
        <v>0.83333333333333337</v>
      </c>
      <c r="L70" s="459">
        <f t="shared" si="5"/>
        <v>0.93333333333333324</v>
      </c>
      <c r="M70" s="459">
        <f t="shared" si="5"/>
        <v>0.95833333333333337</v>
      </c>
      <c r="N70" s="459">
        <f t="shared" si="5"/>
        <v>1</v>
      </c>
    </row>
    <row r="71" spans="2:14">
      <c r="C71" s="459"/>
      <c r="D71" s="459"/>
      <c r="E71" s="459">
        <f>E70/N70</f>
        <v>0.18333333333333335</v>
      </c>
      <c r="F71" s="459"/>
      <c r="G71" s="459"/>
      <c r="H71" s="459">
        <f>H70/N70</f>
        <v>0.54166666666666663</v>
      </c>
      <c r="I71" s="459"/>
      <c r="J71" s="459"/>
      <c r="K71" s="459">
        <f>K70/N70</f>
        <v>0.83333333333333337</v>
      </c>
      <c r="L71" s="459"/>
      <c r="M71" s="459"/>
      <c r="N71" s="459">
        <f>N70/N70</f>
        <v>1</v>
      </c>
    </row>
    <row r="72" spans="2:14">
      <c r="B72" s="412" t="s">
        <v>39</v>
      </c>
      <c r="C72" s="416">
        <v>0.05</v>
      </c>
      <c r="D72" s="416">
        <v>0.1</v>
      </c>
      <c r="E72" s="416">
        <v>0.45</v>
      </c>
      <c r="F72" s="416">
        <v>0.6</v>
      </c>
      <c r="G72" s="416">
        <v>0.8</v>
      </c>
      <c r="H72" s="416">
        <v>0.875</v>
      </c>
      <c r="I72" s="416">
        <v>0.9</v>
      </c>
      <c r="J72" s="416">
        <v>0.95</v>
      </c>
      <c r="K72" s="416">
        <v>1</v>
      </c>
      <c r="L72" s="416">
        <v>1</v>
      </c>
      <c r="M72" s="416">
        <v>1</v>
      </c>
      <c r="N72" s="416">
        <v>1</v>
      </c>
    </row>
    <row r="73" spans="2:14" ht="45.5">
      <c r="B73" s="413" t="s">
        <v>40</v>
      </c>
      <c r="C73" s="416">
        <v>0.05</v>
      </c>
      <c r="D73" s="416">
        <v>7.0000000000000007E-2</v>
      </c>
      <c r="E73" s="416">
        <v>0.1</v>
      </c>
      <c r="F73" s="416">
        <v>0.3</v>
      </c>
      <c r="G73" s="416">
        <v>0.45</v>
      </c>
      <c r="H73" s="416">
        <v>0.6</v>
      </c>
      <c r="I73" s="416">
        <v>0.8</v>
      </c>
      <c r="J73" s="416">
        <v>0.9</v>
      </c>
      <c r="K73" s="416">
        <v>1</v>
      </c>
      <c r="L73" s="416">
        <v>1</v>
      </c>
      <c r="M73" s="416">
        <v>1</v>
      </c>
      <c r="N73" s="416">
        <v>1</v>
      </c>
    </row>
    <row r="74" spans="2:14" ht="19.5">
      <c r="B74" s="413" t="s">
        <v>28</v>
      </c>
      <c r="C74" s="416">
        <v>0</v>
      </c>
      <c r="D74" s="416">
        <v>0</v>
      </c>
      <c r="E74" s="416">
        <v>0</v>
      </c>
      <c r="F74" s="416">
        <v>0.05</v>
      </c>
      <c r="G74" s="416">
        <v>0.1</v>
      </c>
      <c r="H74" s="416">
        <v>0.15</v>
      </c>
      <c r="I74" s="417">
        <v>0.3</v>
      </c>
      <c r="J74" s="416">
        <v>0.45</v>
      </c>
      <c r="K74" s="417">
        <v>0.5</v>
      </c>
      <c r="L74" s="416">
        <v>0.8</v>
      </c>
      <c r="M74" s="416">
        <v>0.875</v>
      </c>
      <c r="N74" s="416">
        <v>1</v>
      </c>
    </row>
  </sheetData>
  <mergeCells count="11">
    <mergeCell ref="A24:L24"/>
    <mergeCell ref="A29:L29"/>
    <mergeCell ref="A32:L32"/>
    <mergeCell ref="C48:N48"/>
    <mergeCell ref="C68:N68"/>
    <mergeCell ref="A21:L21"/>
    <mergeCell ref="A2:L2"/>
    <mergeCell ref="A5:L5"/>
    <mergeCell ref="A10:L10"/>
    <mergeCell ref="A13:L13"/>
    <mergeCell ref="A17:L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FC16F-7E5E-4054-B23E-89D52AC45329}">
  <dimension ref="A1:O74"/>
  <sheetViews>
    <sheetView workbookViewId="0">
      <selection activeCell="A24" sqref="A24"/>
      <extLst>
        <ext xmlns:xlsdti="http://schemas.microsoft.com/office/spreadsheetml/2023/showDataTypeIcons" uri="{77bfe23e-c014-4d31-8a63-9c772dbf06b6}">
          <xlsdti:showDataTypeIcons visible="0"/>
        </ext>
      </extLst>
    </sheetView>
  </sheetViews>
  <sheetFormatPr defaultRowHeight="14.5"/>
  <cols>
    <col min="9" max="9" width="9" bestFit="1" customWidth="1"/>
  </cols>
  <sheetData>
    <row r="1" spans="1:12" ht="15" thickBot="1">
      <c r="A1" s="6" t="s">
        <v>0</v>
      </c>
    </row>
    <row r="2" spans="1:12">
      <c r="A2" s="803" t="s">
        <v>1</v>
      </c>
      <c r="B2" s="803"/>
      <c r="C2" s="803"/>
      <c r="D2" s="803"/>
      <c r="E2" s="803"/>
      <c r="F2" s="803"/>
      <c r="G2" s="803"/>
      <c r="H2" s="803"/>
      <c r="I2" s="803"/>
      <c r="J2" s="803"/>
      <c r="K2" s="803"/>
      <c r="L2" s="803"/>
    </row>
    <row r="3" spans="1:12">
      <c r="A3" s="178" t="s">
        <v>2</v>
      </c>
      <c r="B3" s="178" t="s">
        <v>3</v>
      </c>
      <c r="C3" s="178" t="s">
        <v>4</v>
      </c>
      <c r="D3" s="178" t="s">
        <v>5</v>
      </c>
      <c r="E3" s="178" t="s">
        <v>6</v>
      </c>
      <c r="F3" s="178" t="s">
        <v>7</v>
      </c>
      <c r="G3" s="178" t="s">
        <v>8</v>
      </c>
      <c r="H3" s="178" t="s">
        <v>9</v>
      </c>
      <c r="I3" s="178" t="s">
        <v>10</v>
      </c>
      <c r="J3" s="178" t="s">
        <v>11</v>
      </c>
      <c r="K3" s="178" t="s">
        <v>12</v>
      </c>
      <c r="L3" s="178" t="s">
        <v>13</v>
      </c>
    </row>
    <row r="4" spans="1:12" ht="15" thickBot="1">
      <c r="A4" s="120">
        <v>0.13500000000000001</v>
      </c>
      <c r="B4" s="120">
        <v>0.14000000000000001</v>
      </c>
      <c r="C4" s="120">
        <v>0.15</v>
      </c>
      <c r="D4" s="120">
        <v>0.2</v>
      </c>
      <c r="E4" s="120">
        <v>0.22500000000000001</v>
      </c>
      <c r="F4" s="120">
        <v>0.25</v>
      </c>
      <c r="G4" s="120">
        <v>0.26</v>
      </c>
      <c r="H4" s="98">
        <v>0.27</v>
      </c>
      <c r="I4" s="98">
        <v>0.28000000000000003</v>
      </c>
      <c r="J4" s="98">
        <v>0.28999999999999998</v>
      </c>
      <c r="K4" s="98">
        <v>0.29499999999999998</v>
      </c>
      <c r="L4" s="98">
        <v>0.3</v>
      </c>
    </row>
    <row r="5" spans="1:12" ht="14.9" customHeight="1">
      <c r="A5" s="803" t="s">
        <v>14</v>
      </c>
      <c r="B5" s="803"/>
      <c r="C5" s="803"/>
      <c r="D5" s="803"/>
      <c r="E5" s="803"/>
      <c r="F5" s="803"/>
      <c r="G5" s="803"/>
      <c r="H5" s="803"/>
      <c r="I5" s="803"/>
      <c r="J5" s="803"/>
      <c r="K5" s="803"/>
      <c r="L5" s="803"/>
    </row>
    <row r="6" spans="1:12">
      <c r="A6" s="178" t="s">
        <v>2</v>
      </c>
      <c r="B6" s="178" t="s">
        <v>3</v>
      </c>
      <c r="C6" s="178" t="s">
        <v>4</v>
      </c>
      <c r="D6" s="178" t="s">
        <v>5</v>
      </c>
      <c r="E6" s="178" t="s">
        <v>6</v>
      </c>
      <c r="F6" s="178" t="s">
        <v>7</v>
      </c>
      <c r="G6" s="178" t="s">
        <v>8</v>
      </c>
      <c r="H6" s="178" t="s">
        <v>9</v>
      </c>
      <c r="I6" s="178" t="s">
        <v>10</v>
      </c>
      <c r="J6" s="178" t="s">
        <v>11</v>
      </c>
      <c r="K6" s="178" t="s">
        <v>12</v>
      </c>
      <c r="L6" s="178" t="s">
        <v>13</v>
      </c>
    </row>
    <row r="7" spans="1:12">
      <c r="A7" s="120">
        <f t="shared" ref="A7:I7" si="0">A4/$L$4</f>
        <v>0.45000000000000007</v>
      </c>
      <c r="B7" s="120">
        <f t="shared" si="0"/>
        <v>0.46666666666666673</v>
      </c>
      <c r="C7" s="120">
        <f t="shared" si="0"/>
        <v>0.5</v>
      </c>
      <c r="D7" s="120">
        <f t="shared" si="0"/>
        <v>0.66666666666666674</v>
      </c>
      <c r="E7" s="120">
        <f t="shared" si="0"/>
        <v>0.75</v>
      </c>
      <c r="F7" s="120">
        <f t="shared" si="0"/>
        <v>0.83333333333333337</v>
      </c>
      <c r="G7" s="120">
        <f t="shared" si="0"/>
        <v>0.8666666666666667</v>
      </c>
      <c r="H7" s="120">
        <f>H4/$L$4</f>
        <v>0.90000000000000013</v>
      </c>
      <c r="I7" s="120">
        <f t="shared" si="0"/>
        <v>0.93333333333333346</v>
      </c>
      <c r="J7" s="120">
        <f>J4/$L$4</f>
        <v>0.96666666666666667</v>
      </c>
      <c r="K7" s="120">
        <f>K4/$L$4</f>
        <v>0.98333333333333328</v>
      </c>
      <c r="L7" s="120">
        <f>L4/$L$4</f>
        <v>1</v>
      </c>
    </row>
    <row r="10" spans="1:12" ht="15" thickBot="1">
      <c r="A10" s="6" t="s">
        <v>15</v>
      </c>
    </row>
    <row r="11" spans="1:12">
      <c r="A11" s="803" t="s">
        <v>16</v>
      </c>
      <c r="B11" s="803"/>
      <c r="C11" s="803"/>
      <c r="D11" s="803"/>
      <c r="E11" s="803"/>
      <c r="F11" s="803"/>
      <c r="G11" s="803"/>
      <c r="H11" s="803"/>
      <c r="I11" s="803"/>
      <c r="J11" s="803"/>
      <c r="K11" s="803"/>
      <c r="L11" s="803"/>
    </row>
    <row r="12" spans="1:12">
      <c r="A12" s="178" t="s">
        <v>2</v>
      </c>
      <c r="B12" s="178" t="s">
        <v>3</v>
      </c>
      <c r="C12" s="178" t="s">
        <v>4</v>
      </c>
      <c r="D12" s="178" t="s">
        <v>5</v>
      </c>
      <c r="E12" s="178" t="s">
        <v>6</v>
      </c>
      <c r="F12" s="178" t="s">
        <v>7</v>
      </c>
      <c r="G12" s="178" t="s">
        <v>8</v>
      </c>
      <c r="H12" s="178" t="s">
        <v>9</v>
      </c>
      <c r="I12" s="178" t="s">
        <v>10</v>
      </c>
      <c r="J12" s="178" t="s">
        <v>11</v>
      </c>
      <c r="K12" s="178" t="s">
        <v>12</v>
      </c>
      <c r="L12" s="178" t="s">
        <v>13</v>
      </c>
    </row>
    <row r="13" spans="1:12" ht="15" thickBot="1">
      <c r="A13" s="120">
        <v>0</v>
      </c>
      <c r="B13" s="120">
        <v>0</v>
      </c>
      <c r="C13" s="120">
        <v>0</v>
      </c>
      <c r="D13" s="120">
        <v>0</v>
      </c>
      <c r="E13" s="120">
        <v>0</v>
      </c>
      <c r="F13" s="120">
        <v>0</v>
      </c>
      <c r="G13" s="120">
        <v>0</v>
      </c>
      <c r="H13" s="120">
        <v>0</v>
      </c>
      <c r="I13" s="120">
        <v>0</v>
      </c>
      <c r="J13" s="120">
        <v>1.6E-2</v>
      </c>
      <c r="K13" s="120">
        <v>0.03</v>
      </c>
      <c r="L13" s="120">
        <v>4.4999999999999998E-2</v>
      </c>
    </row>
    <row r="14" spans="1:12">
      <c r="A14" s="803" t="s">
        <v>17</v>
      </c>
      <c r="B14" s="803"/>
      <c r="C14" s="803"/>
      <c r="D14" s="803"/>
      <c r="E14" s="803"/>
      <c r="F14" s="803"/>
      <c r="G14" s="803"/>
      <c r="H14" s="803"/>
      <c r="I14" s="803"/>
      <c r="J14" s="803"/>
      <c r="K14" s="803"/>
      <c r="L14" s="803"/>
    </row>
    <row r="15" spans="1:12">
      <c r="A15" s="178" t="s">
        <v>2</v>
      </c>
      <c r="B15" s="178" t="s">
        <v>3</v>
      </c>
      <c r="C15" s="178" t="s">
        <v>4</v>
      </c>
      <c r="D15" s="178" t="s">
        <v>5</v>
      </c>
      <c r="E15" s="178" t="s">
        <v>6</v>
      </c>
      <c r="F15" s="178" t="s">
        <v>7</v>
      </c>
      <c r="G15" s="178" t="s">
        <v>8</v>
      </c>
      <c r="H15" s="178" t="s">
        <v>9</v>
      </c>
      <c r="I15" s="178" t="s">
        <v>10</v>
      </c>
      <c r="J15" s="178" t="s">
        <v>11</v>
      </c>
      <c r="K15" s="178" t="s">
        <v>12</v>
      </c>
      <c r="L15" s="178" t="s">
        <v>13</v>
      </c>
    </row>
    <row r="16" spans="1:12">
      <c r="A16" s="120">
        <f>A13/$L$13</f>
        <v>0</v>
      </c>
      <c r="B16" s="120">
        <f>B13/$L$13</f>
        <v>0</v>
      </c>
      <c r="C16" s="120">
        <f t="shared" ref="C16:K16" si="1">C13/$L$13</f>
        <v>0</v>
      </c>
      <c r="D16" s="120">
        <f t="shared" si="1"/>
        <v>0</v>
      </c>
      <c r="E16" s="120">
        <f t="shared" si="1"/>
        <v>0</v>
      </c>
      <c r="F16" s="120">
        <f t="shared" si="1"/>
        <v>0</v>
      </c>
      <c r="G16" s="120">
        <f t="shared" si="1"/>
        <v>0</v>
      </c>
      <c r="H16" s="120">
        <f t="shared" si="1"/>
        <v>0</v>
      </c>
      <c r="I16" s="120">
        <f t="shared" si="1"/>
        <v>0</v>
      </c>
      <c r="J16" s="120">
        <f t="shared" si="1"/>
        <v>0.35555555555555557</v>
      </c>
      <c r="K16" s="120">
        <f t="shared" si="1"/>
        <v>0.66666666666666663</v>
      </c>
      <c r="L16" s="120">
        <f>L13/$L$13</f>
        <v>1</v>
      </c>
    </row>
    <row r="18" spans="1:15" ht="15" thickBot="1">
      <c r="A18" s="6" t="s">
        <v>15</v>
      </c>
    </row>
    <row r="19" spans="1:15" ht="39" customHeight="1">
      <c r="A19" s="804" t="s">
        <v>21</v>
      </c>
      <c r="B19" s="805"/>
      <c r="C19" s="805"/>
      <c r="D19" s="805"/>
      <c r="E19" s="805"/>
      <c r="F19" s="805"/>
      <c r="G19" s="805"/>
      <c r="H19" s="805"/>
      <c r="I19" s="805"/>
      <c r="J19" s="805"/>
      <c r="K19" s="805"/>
      <c r="L19" s="806"/>
    </row>
    <row r="20" spans="1:15">
      <c r="A20" s="178" t="s">
        <v>2</v>
      </c>
      <c r="B20" s="178" t="s">
        <v>3</v>
      </c>
      <c r="C20" s="178" t="s">
        <v>4</v>
      </c>
      <c r="D20" s="178" t="s">
        <v>5</v>
      </c>
      <c r="E20" s="178" t="s">
        <v>6</v>
      </c>
      <c r="F20" s="178" t="s">
        <v>7</v>
      </c>
      <c r="G20" s="178" t="s">
        <v>8</v>
      </c>
      <c r="H20" s="178" t="s">
        <v>9</v>
      </c>
      <c r="I20" s="178" t="s">
        <v>10</v>
      </c>
      <c r="J20" s="178" t="s">
        <v>11</v>
      </c>
      <c r="K20" s="178" t="s">
        <v>12</v>
      </c>
      <c r="L20" s="178" t="s">
        <v>13</v>
      </c>
      <c r="O20">
        <f>25/30</f>
        <v>0.83333333333333337</v>
      </c>
    </row>
    <row r="21" spans="1:15" ht="15" thickBot="1">
      <c r="A21" s="120">
        <v>0.08</v>
      </c>
      <c r="B21" s="120">
        <v>0.1</v>
      </c>
      <c r="C21" s="120">
        <v>0.15</v>
      </c>
      <c r="D21" s="120">
        <v>0.2</v>
      </c>
      <c r="E21" s="120">
        <v>0.21</v>
      </c>
      <c r="F21" s="120">
        <v>0.22</v>
      </c>
      <c r="G21" s="120">
        <v>0.23</v>
      </c>
      <c r="H21" s="98">
        <v>0.24</v>
      </c>
      <c r="I21" s="98">
        <v>0.25</v>
      </c>
      <c r="J21" s="98">
        <v>0.26</v>
      </c>
      <c r="K21" s="98">
        <v>0.27</v>
      </c>
      <c r="L21" s="98">
        <v>0.28000000000000003</v>
      </c>
      <c r="O21">
        <f>28/30</f>
        <v>0.93333333333333335</v>
      </c>
    </row>
    <row r="22" spans="1:15" ht="26.15" customHeight="1">
      <c r="A22" s="804" t="s">
        <v>22</v>
      </c>
      <c r="B22" s="805"/>
      <c r="C22" s="805"/>
      <c r="D22" s="805"/>
      <c r="E22" s="805"/>
      <c r="F22" s="805"/>
      <c r="G22" s="805"/>
      <c r="H22" s="805"/>
      <c r="I22" s="805"/>
      <c r="J22" s="805"/>
      <c r="K22" s="805"/>
      <c r="L22" s="806"/>
    </row>
    <row r="23" spans="1:15">
      <c r="A23" s="178" t="s">
        <v>2</v>
      </c>
      <c r="B23" s="178" t="s">
        <v>3</v>
      </c>
      <c r="C23" s="178" t="s">
        <v>4</v>
      </c>
      <c r="D23" s="178" t="s">
        <v>5</v>
      </c>
      <c r="E23" s="178" t="s">
        <v>6</v>
      </c>
      <c r="F23" s="178" t="s">
        <v>7</v>
      </c>
      <c r="G23" s="178" t="s">
        <v>8</v>
      </c>
      <c r="H23" s="178" t="s">
        <v>9</v>
      </c>
      <c r="I23" s="178" t="s">
        <v>10</v>
      </c>
      <c r="J23" s="178" t="s">
        <v>11</v>
      </c>
      <c r="K23" s="178" t="s">
        <v>12</v>
      </c>
      <c r="L23" s="178" t="s">
        <v>13</v>
      </c>
    </row>
    <row r="24" spans="1:15">
      <c r="A24" s="120">
        <f t="shared" ref="A24:L24" si="2">A21/$L$21</f>
        <v>0.2857142857142857</v>
      </c>
      <c r="B24" s="120">
        <f t="shared" si="2"/>
        <v>0.35714285714285715</v>
      </c>
      <c r="C24" s="120">
        <f t="shared" si="2"/>
        <v>0.5357142857142857</v>
      </c>
      <c r="D24" s="120">
        <f t="shared" si="2"/>
        <v>0.7142857142857143</v>
      </c>
      <c r="E24" s="120">
        <f t="shared" si="2"/>
        <v>0.74999999999999989</v>
      </c>
      <c r="F24" s="120">
        <f t="shared" si="2"/>
        <v>0.7857142857142857</v>
      </c>
      <c r="G24" s="120">
        <f t="shared" si="2"/>
        <v>0.8214285714285714</v>
      </c>
      <c r="H24" s="120">
        <f t="shared" si="2"/>
        <v>0.85714285714285698</v>
      </c>
      <c r="I24" s="120">
        <f t="shared" si="2"/>
        <v>0.89285714285714279</v>
      </c>
      <c r="J24" s="120">
        <f t="shared" si="2"/>
        <v>0.92857142857142849</v>
      </c>
      <c r="K24" s="120">
        <f t="shared" si="2"/>
        <v>0.9642857142857143</v>
      </c>
      <c r="L24" s="120">
        <f t="shared" si="2"/>
        <v>1</v>
      </c>
    </row>
    <row r="25" spans="1:15" ht="15" thickBot="1"/>
    <row r="26" spans="1:15">
      <c r="B26" s="804" t="s">
        <v>24</v>
      </c>
      <c r="C26" s="805"/>
      <c r="D26" s="805"/>
      <c r="E26" s="805"/>
      <c r="F26" s="805"/>
      <c r="G26" s="805"/>
      <c r="H26" s="805"/>
      <c r="I26" s="805"/>
      <c r="J26" s="805"/>
      <c r="K26" s="805"/>
      <c r="L26" s="805"/>
      <c r="M26" s="806"/>
    </row>
    <row r="28" spans="1:15">
      <c r="B28" s="178" t="s">
        <v>2</v>
      </c>
      <c r="C28" s="178" t="s">
        <v>3</v>
      </c>
      <c r="D28" s="178" t="s">
        <v>4</v>
      </c>
      <c r="E28" s="178" t="s">
        <v>5</v>
      </c>
      <c r="F28" s="178" t="s">
        <v>6</v>
      </c>
      <c r="G28" s="178" t="s">
        <v>7</v>
      </c>
      <c r="H28" s="178" t="s">
        <v>8</v>
      </c>
      <c r="I28" s="178" t="s">
        <v>9</v>
      </c>
      <c r="J28" s="178" t="s">
        <v>10</v>
      </c>
      <c r="K28" s="178" t="s">
        <v>11</v>
      </c>
      <c r="L28" s="178" t="s">
        <v>12</v>
      </c>
      <c r="M28" s="178" t="s">
        <v>13</v>
      </c>
    </row>
    <row r="29" spans="1:15">
      <c r="A29" s="469" t="s">
        <v>41</v>
      </c>
      <c r="B29" s="418">
        <f t="shared" ref="B29:M29" si="3">AVERAGE(B32:B35)</f>
        <v>0.05</v>
      </c>
      <c r="C29" s="418">
        <f t="shared" si="3"/>
        <v>0.13750000000000001</v>
      </c>
      <c r="D29" s="418">
        <f t="shared" si="3"/>
        <v>0.1825</v>
      </c>
      <c r="E29" s="418">
        <f t="shared" si="3"/>
        <v>0.23499999999999999</v>
      </c>
      <c r="F29" s="418">
        <f t="shared" si="3"/>
        <v>0.38750000000000001</v>
      </c>
      <c r="G29" s="418">
        <f t="shared" si="3"/>
        <v>0.46750000000000003</v>
      </c>
      <c r="H29" s="418">
        <f t="shared" si="3"/>
        <v>0.48749999999999999</v>
      </c>
      <c r="I29" s="418">
        <f t="shared" si="3"/>
        <v>0.505</v>
      </c>
      <c r="J29" s="418">
        <f t="shared" si="3"/>
        <v>0.51</v>
      </c>
      <c r="K29" s="418">
        <f t="shared" si="3"/>
        <v>0.52749999999999997</v>
      </c>
      <c r="L29" s="418">
        <f t="shared" si="3"/>
        <v>0.54500000000000004</v>
      </c>
      <c r="M29" s="418">
        <f t="shared" si="3"/>
        <v>0.5625</v>
      </c>
    </row>
    <row r="30" spans="1:15">
      <c r="A30" s="469">
        <v>2026</v>
      </c>
      <c r="B30" s="418">
        <f t="shared" ref="B30:M30" si="4">B29/$M$29</f>
        <v>8.8888888888888892E-2</v>
      </c>
      <c r="C30" s="418">
        <f t="shared" si="4"/>
        <v>0.24444444444444446</v>
      </c>
      <c r="D30" s="418">
        <f t="shared" si="4"/>
        <v>0.32444444444444442</v>
      </c>
      <c r="E30" s="418">
        <f t="shared" si="4"/>
        <v>0.41777777777777775</v>
      </c>
      <c r="F30" s="418">
        <f t="shared" si="4"/>
        <v>0.68888888888888888</v>
      </c>
      <c r="G30" s="418">
        <f t="shared" si="4"/>
        <v>0.83111111111111113</v>
      </c>
      <c r="H30" s="418">
        <f t="shared" si="4"/>
        <v>0.8666666666666667</v>
      </c>
      <c r="I30" s="418">
        <f t="shared" si="4"/>
        <v>0.89777777777777779</v>
      </c>
      <c r="J30" s="418">
        <f t="shared" si="4"/>
        <v>0.90666666666666673</v>
      </c>
      <c r="K30" s="418">
        <f t="shared" si="4"/>
        <v>0.93777777777777771</v>
      </c>
      <c r="L30" s="418">
        <f t="shared" si="4"/>
        <v>0.96888888888888891</v>
      </c>
      <c r="M30" s="418">
        <f t="shared" si="4"/>
        <v>1</v>
      </c>
    </row>
    <row r="31" spans="1:15" ht="26">
      <c r="A31" s="412" t="s">
        <v>29</v>
      </c>
      <c r="B31" s="416">
        <v>0</v>
      </c>
      <c r="C31" s="416">
        <v>0</v>
      </c>
      <c r="D31" s="416">
        <v>0</v>
      </c>
      <c r="E31" s="416">
        <v>0</v>
      </c>
      <c r="F31" s="416">
        <v>0</v>
      </c>
      <c r="G31" s="416">
        <v>0</v>
      </c>
      <c r="H31" s="416">
        <v>0</v>
      </c>
      <c r="I31" s="416">
        <v>0</v>
      </c>
      <c r="J31" s="416">
        <v>0</v>
      </c>
      <c r="K31" s="416">
        <v>0</v>
      </c>
      <c r="L31" s="416">
        <v>0</v>
      </c>
      <c r="M31" s="416">
        <v>0.03</v>
      </c>
    </row>
    <row r="32" spans="1:15" ht="19.5">
      <c r="A32" s="412" t="s">
        <v>31</v>
      </c>
      <c r="B32" s="416">
        <v>0.05</v>
      </c>
      <c r="C32" s="416">
        <v>0.1</v>
      </c>
      <c r="D32" s="416">
        <v>0.15</v>
      </c>
      <c r="E32" s="416">
        <v>0.2</v>
      </c>
      <c r="F32" s="416">
        <v>0.75</v>
      </c>
      <c r="G32" s="416">
        <v>1</v>
      </c>
      <c r="H32" s="416">
        <v>1</v>
      </c>
      <c r="I32" s="416">
        <v>1</v>
      </c>
      <c r="J32" s="416">
        <v>1</v>
      </c>
      <c r="K32" s="416">
        <v>1</v>
      </c>
      <c r="L32" s="416">
        <v>1</v>
      </c>
      <c r="M32" s="416">
        <v>1</v>
      </c>
    </row>
    <row r="33" spans="1:13" ht="26">
      <c r="A33" s="412" t="s">
        <v>32</v>
      </c>
      <c r="B33" s="416">
        <v>0</v>
      </c>
      <c r="C33" s="416">
        <v>0</v>
      </c>
      <c r="D33" s="416">
        <v>0</v>
      </c>
      <c r="E33" s="416">
        <v>0</v>
      </c>
      <c r="F33" s="416">
        <v>0</v>
      </c>
      <c r="G33" s="416">
        <v>0</v>
      </c>
      <c r="H33" s="416">
        <v>0</v>
      </c>
      <c r="I33" s="416">
        <v>0</v>
      </c>
      <c r="J33" s="416">
        <v>0</v>
      </c>
      <c r="K33" s="416">
        <v>0.05</v>
      </c>
      <c r="L33" s="416">
        <v>0.1</v>
      </c>
      <c r="M33" s="416">
        <v>0.15</v>
      </c>
    </row>
    <row r="34" spans="1:13" ht="32.5">
      <c r="A34" s="414" t="s">
        <v>35</v>
      </c>
      <c r="B34" s="416">
        <v>0.15</v>
      </c>
      <c r="C34" s="416">
        <v>0.45</v>
      </c>
      <c r="D34" s="416">
        <v>0.57999999999999996</v>
      </c>
      <c r="E34" s="416">
        <v>0.74</v>
      </c>
      <c r="F34" s="416">
        <v>0.8</v>
      </c>
      <c r="G34" s="416">
        <v>0.87</v>
      </c>
      <c r="H34" s="416">
        <v>0.95</v>
      </c>
      <c r="I34" s="416">
        <v>1</v>
      </c>
      <c r="J34" s="416">
        <v>1</v>
      </c>
      <c r="K34" s="416">
        <v>1</v>
      </c>
      <c r="L34" s="416">
        <v>1</v>
      </c>
      <c r="M34" s="416">
        <v>1</v>
      </c>
    </row>
    <row r="35" spans="1:13" ht="32.5">
      <c r="A35" s="415" t="s">
        <v>37</v>
      </c>
      <c r="B35" s="416">
        <v>0</v>
      </c>
      <c r="C35" s="416">
        <v>0</v>
      </c>
      <c r="D35" s="416">
        <v>0</v>
      </c>
      <c r="E35" s="416">
        <v>0</v>
      </c>
      <c r="F35" s="416">
        <v>0</v>
      </c>
      <c r="G35" s="416">
        <v>0</v>
      </c>
      <c r="H35" s="416">
        <v>0</v>
      </c>
      <c r="I35" s="416">
        <v>0.02</v>
      </c>
      <c r="J35" s="416">
        <v>0.04</v>
      </c>
      <c r="K35" s="416">
        <v>0.06</v>
      </c>
      <c r="L35" s="416">
        <v>0.08</v>
      </c>
      <c r="M35" s="416">
        <v>0.1</v>
      </c>
    </row>
    <row r="36" spans="1:13" ht="32.5">
      <c r="A36" s="467" t="s">
        <v>36</v>
      </c>
      <c r="B36" s="416">
        <v>1</v>
      </c>
      <c r="C36" s="416">
        <v>1</v>
      </c>
      <c r="D36" s="416">
        <v>1</v>
      </c>
      <c r="E36" s="416">
        <v>1</v>
      </c>
      <c r="F36" s="416">
        <v>1</v>
      </c>
      <c r="G36" s="416">
        <v>1</v>
      </c>
      <c r="H36" s="416">
        <v>1</v>
      </c>
      <c r="I36" s="416">
        <v>1</v>
      </c>
      <c r="J36" s="416">
        <v>1</v>
      </c>
      <c r="K36" s="416">
        <v>1</v>
      </c>
      <c r="L36" s="416">
        <v>1</v>
      </c>
      <c r="M36" s="416">
        <v>1</v>
      </c>
    </row>
    <row r="37" spans="1:13" ht="26">
      <c r="A37" s="468" t="s">
        <v>26</v>
      </c>
      <c r="B37" s="416">
        <v>1</v>
      </c>
      <c r="C37" s="416">
        <v>1</v>
      </c>
      <c r="D37" s="416">
        <v>1</v>
      </c>
      <c r="E37" s="416">
        <v>1</v>
      </c>
      <c r="F37" s="416">
        <v>1</v>
      </c>
      <c r="G37" s="416">
        <v>1</v>
      </c>
      <c r="H37" s="416">
        <v>1</v>
      </c>
      <c r="I37" s="416">
        <v>1</v>
      </c>
      <c r="J37" s="416">
        <v>1</v>
      </c>
      <c r="K37" s="416">
        <v>1</v>
      </c>
      <c r="L37" s="416">
        <v>1</v>
      </c>
      <c r="M37" s="416">
        <v>1</v>
      </c>
    </row>
    <row r="38" spans="1:13" ht="26">
      <c r="A38" s="468" t="s">
        <v>27</v>
      </c>
      <c r="B38" s="416">
        <v>1</v>
      </c>
      <c r="C38" s="416">
        <v>1</v>
      </c>
      <c r="D38" s="416">
        <v>1</v>
      </c>
      <c r="E38" s="416">
        <v>1</v>
      </c>
      <c r="F38" s="416">
        <v>1</v>
      </c>
      <c r="G38" s="416">
        <v>1</v>
      </c>
      <c r="H38" s="416">
        <v>1</v>
      </c>
      <c r="I38" s="416">
        <v>1</v>
      </c>
      <c r="J38" s="416">
        <v>1</v>
      </c>
      <c r="K38" s="416">
        <v>1</v>
      </c>
      <c r="L38" s="416">
        <v>1</v>
      </c>
      <c r="M38" s="416">
        <v>1</v>
      </c>
    </row>
    <row r="39" spans="1:13" ht="19.5">
      <c r="A39" s="468" t="s">
        <v>28</v>
      </c>
      <c r="B39" s="416">
        <v>1</v>
      </c>
      <c r="C39" s="416">
        <v>1</v>
      </c>
      <c r="D39" s="416">
        <v>1</v>
      </c>
      <c r="E39" s="416">
        <v>1</v>
      </c>
      <c r="F39" s="416">
        <v>1</v>
      </c>
      <c r="G39" s="416">
        <v>1</v>
      </c>
      <c r="H39" s="416">
        <v>1</v>
      </c>
      <c r="I39" s="416">
        <v>1</v>
      </c>
      <c r="J39" s="416">
        <v>1</v>
      </c>
      <c r="K39" s="416">
        <v>1</v>
      </c>
      <c r="L39" s="416">
        <v>1</v>
      </c>
      <c r="M39" s="416">
        <v>1</v>
      </c>
    </row>
    <row r="40" spans="1:13">
      <c r="A40" s="468" t="s">
        <v>30</v>
      </c>
      <c r="B40" s="416">
        <v>1</v>
      </c>
      <c r="C40" s="416">
        <v>1</v>
      </c>
      <c r="D40" s="416">
        <v>1</v>
      </c>
      <c r="E40" s="416">
        <v>1</v>
      </c>
      <c r="F40" s="416">
        <v>1</v>
      </c>
      <c r="G40" s="416">
        <v>1</v>
      </c>
      <c r="H40" s="416">
        <v>1</v>
      </c>
      <c r="I40" s="416">
        <v>1</v>
      </c>
      <c r="J40" s="416">
        <v>1</v>
      </c>
      <c r="K40" s="416">
        <v>1</v>
      </c>
      <c r="L40" s="416">
        <v>1</v>
      </c>
      <c r="M40" s="416">
        <v>1</v>
      </c>
    </row>
    <row r="41" spans="1:13" ht="19.5">
      <c r="A41" s="465" t="s">
        <v>33</v>
      </c>
      <c r="B41" s="416">
        <v>0</v>
      </c>
      <c r="C41" s="416">
        <v>0</v>
      </c>
      <c r="D41" s="416">
        <v>0</v>
      </c>
      <c r="E41" s="416">
        <v>0</v>
      </c>
      <c r="F41" s="416">
        <v>0</v>
      </c>
      <c r="G41" s="416">
        <v>0</v>
      </c>
      <c r="H41" s="416">
        <v>0</v>
      </c>
      <c r="I41" s="416">
        <v>0</v>
      </c>
      <c r="J41" s="416">
        <v>0</v>
      </c>
      <c r="K41" s="416">
        <v>0</v>
      </c>
      <c r="L41" s="416">
        <v>0</v>
      </c>
      <c r="M41" s="416">
        <v>0</v>
      </c>
    </row>
    <row r="42" spans="1:13">
      <c r="A42" s="465" t="s">
        <v>34</v>
      </c>
      <c r="B42" s="416">
        <v>0</v>
      </c>
      <c r="C42" s="416">
        <v>0</v>
      </c>
      <c r="D42" s="416">
        <v>0</v>
      </c>
      <c r="E42" s="416">
        <v>0</v>
      </c>
      <c r="F42" s="416">
        <v>0</v>
      </c>
      <c r="G42" s="416">
        <v>0</v>
      </c>
      <c r="H42" s="416">
        <v>0</v>
      </c>
      <c r="I42" s="416">
        <v>0</v>
      </c>
      <c r="J42" s="416">
        <v>0</v>
      </c>
      <c r="K42" s="416">
        <v>0</v>
      </c>
      <c r="L42" s="416">
        <v>0</v>
      </c>
      <c r="M42" s="416">
        <v>0</v>
      </c>
    </row>
    <row r="43" spans="1:13" ht="19.5">
      <c r="A43" s="466" t="s">
        <v>38</v>
      </c>
      <c r="B43" s="416">
        <v>0</v>
      </c>
      <c r="C43" s="416">
        <v>0</v>
      </c>
      <c r="D43" s="416">
        <v>0</v>
      </c>
      <c r="E43" s="416">
        <v>0</v>
      </c>
      <c r="F43" s="416">
        <v>0</v>
      </c>
      <c r="G43" s="416">
        <v>0</v>
      </c>
      <c r="H43" s="416">
        <v>0</v>
      </c>
      <c r="I43" s="416">
        <v>0</v>
      </c>
      <c r="J43" s="416">
        <v>0</v>
      </c>
      <c r="K43" s="416">
        <v>0</v>
      </c>
      <c r="L43" s="416">
        <v>0</v>
      </c>
      <c r="M43" s="416">
        <v>0</v>
      </c>
    </row>
    <row r="45" spans="1:13" ht="15" thickBot="1"/>
    <row r="46" spans="1:13" ht="39" customHeight="1">
      <c r="B46" s="804" t="s">
        <v>42</v>
      </c>
      <c r="C46" s="805"/>
      <c r="D46" s="805"/>
      <c r="E46" s="805"/>
      <c r="F46" s="805"/>
      <c r="G46" s="805"/>
      <c r="H46" s="805"/>
      <c r="I46" s="805"/>
      <c r="J46" s="805"/>
      <c r="K46" s="805"/>
      <c r="L46" s="805"/>
      <c r="M46" s="806"/>
    </row>
    <row r="47" spans="1:13">
      <c r="B47" s="178" t="s">
        <v>2</v>
      </c>
      <c r="C47" s="178" t="s">
        <v>3</v>
      </c>
      <c r="D47" s="178" t="s">
        <v>4</v>
      </c>
      <c r="E47" s="178" t="s">
        <v>5</v>
      </c>
      <c r="F47" s="178" t="s">
        <v>6</v>
      </c>
      <c r="G47" s="178" t="s">
        <v>7</v>
      </c>
      <c r="H47" s="178" t="s">
        <v>8</v>
      </c>
      <c r="I47" s="178" t="s">
        <v>9</v>
      </c>
      <c r="J47" s="178" t="s">
        <v>10</v>
      </c>
      <c r="K47" s="178" t="s">
        <v>11</v>
      </c>
      <c r="L47" s="178" t="s">
        <v>12</v>
      </c>
      <c r="M47" s="178" t="s">
        <v>13</v>
      </c>
    </row>
    <row r="48" spans="1:13">
      <c r="A48" s="469">
        <v>2025</v>
      </c>
      <c r="B48" s="470">
        <f t="shared" ref="B48:M48" si="5">AVERAGE(B50:B51)</f>
        <v>0.47499999999999998</v>
      </c>
      <c r="C48" s="470">
        <f t="shared" si="5"/>
        <v>0.5</v>
      </c>
      <c r="D48" s="470">
        <f t="shared" si="5"/>
        <v>0.52500000000000002</v>
      </c>
      <c r="E48" s="470">
        <f t="shared" si="5"/>
        <v>0.55000000000000004</v>
      </c>
      <c r="F48" s="470">
        <f t="shared" si="5"/>
        <v>0.57499999999999996</v>
      </c>
      <c r="G48" s="470">
        <f t="shared" si="5"/>
        <v>0.58750000000000002</v>
      </c>
      <c r="H48" s="470">
        <f t="shared" si="5"/>
        <v>0.625</v>
      </c>
      <c r="I48" s="470">
        <f t="shared" si="5"/>
        <v>0.63749999999999996</v>
      </c>
      <c r="J48" s="470">
        <f t="shared" si="5"/>
        <v>0.65</v>
      </c>
      <c r="K48" s="470">
        <f t="shared" si="5"/>
        <v>0.6875</v>
      </c>
      <c r="L48" s="470">
        <f t="shared" si="5"/>
        <v>0.72499999999999998</v>
      </c>
      <c r="M48" s="470">
        <f t="shared" si="5"/>
        <v>0.75</v>
      </c>
    </row>
    <row r="49" spans="1:13">
      <c r="A49" s="469">
        <v>2026</v>
      </c>
      <c r="B49" s="470">
        <f t="shared" ref="B49:M49" si="6">B48/$M$48</f>
        <v>0.6333333333333333</v>
      </c>
      <c r="C49" s="470">
        <f t="shared" si="6"/>
        <v>0.66666666666666663</v>
      </c>
      <c r="D49" s="470">
        <f t="shared" si="6"/>
        <v>0.70000000000000007</v>
      </c>
      <c r="E49" s="470">
        <f t="shared" si="6"/>
        <v>0.73333333333333339</v>
      </c>
      <c r="F49" s="470">
        <f t="shared" si="6"/>
        <v>0.76666666666666661</v>
      </c>
      <c r="G49" s="470">
        <f t="shared" si="6"/>
        <v>0.78333333333333333</v>
      </c>
      <c r="H49" s="470">
        <f t="shared" si="6"/>
        <v>0.83333333333333337</v>
      </c>
      <c r="I49" s="470">
        <f t="shared" si="6"/>
        <v>0.85</v>
      </c>
      <c r="J49" s="470">
        <f t="shared" si="6"/>
        <v>0.8666666666666667</v>
      </c>
      <c r="K49" s="470">
        <f t="shared" si="6"/>
        <v>0.91666666666666663</v>
      </c>
      <c r="L49" s="470">
        <f t="shared" si="6"/>
        <v>0.96666666666666667</v>
      </c>
      <c r="M49" s="470">
        <f t="shared" si="6"/>
        <v>1</v>
      </c>
    </row>
    <row r="50" spans="1:13">
      <c r="A50" t="s">
        <v>43</v>
      </c>
      <c r="B50" s="98">
        <v>0.65</v>
      </c>
      <c r="C50" s="98">
        <v>0.7</v>
      </c>
      <c r="D50" s="98">
        <v>0.75</v>
      </c>
      <c r="E50" s="98">
        <v>0.8</v>
      </c>
      <c r="F50" s="98">
        <v>0.85</v>
      </c>
      <c r="G50" s="98">
        <v>0.875</v>
      </c>
      <c r="H50" s="98">
        <v>0.95</v>
      </c>
      <c r="I50" s="98">
        <v>0.97499999999999998</v>
      </c>
      <c r="J50" s="98">
        <v>1</v>
      </c>
      <c r="K50" s="98">
        <v>1</v>
      </c>
      <c r="L50" s="98">
        <v>1</v>
      </c>
      <c r="M50" s="98">
        <v>1</v>
      </c>
    </row>
    <row r="51" spans="1:13">
      <c r="A51" t="s">
        <v>44</v>
      </c>
      <c r="B51" s="98">
        <v>0.3</v>
      </c>
      <c r="C51" s="98">
        <v>0.3</v>
      </c>
      <c r="D51" s="98">
        <v>0.3</v>
      </c>
      <c r="E51" s="98">
        <v>0.3</v>
      </c>
      <c r="F51" s="98">
        <v>0.3</v>
      </c>
      <c r="G51" s="98">
        <v>0.3</v>
      </c>
      <c r="H51" s="98">
        <v>0.3</v>
      </c>
      <c r="I51" s="98">
        <v>0.3</v>
      </c>
      <c r="J51" s="98">
        <v>0.3</v>
      </c>
      <c r="K51" s="98">
        <v>0.375</v>
      </c>
      <c r="L51" s="98">
        <v>0.45</v>
      </c>
      <c r="M51" s="98">
        <v>0.5</v>
      </c>
    </row>
    <row r="53" spans="1:13" ht="15" thickBot="1"/>
    <row r="54" spans="1:13">
      <c r="B54" s="804" t="s">
        <v>45</v>
      </c>
      <c r="C54" s="805"/>
      <c r="D54" s="805"/>
      <c r="E54" s="805"/>
      <c r="F54" s="805"/>
      <c r="G54" s="805"/>
      <c r="H54" s="805"/>
      <c r="I54" s="805"/>
      <c r="J54" s="805"/>
      <c r="K54" s="805"/>
      <c r="L54" s="805"/>
      <c r="M54" s="806"/>
    </row>
    <row r="55" spans="1:13" ht="26.15" customHeight="1">
      <c r="B55" s="178" t="s">
        <v>2</v>
      </c>
      <c r="C55" s="178" t="s">
        <v>3</v>
      </c>
      <c r="D55" s="178" t="s">
        <v>4</v>
      </c>
      <c r="E55" s="178" t="s">
        <v>5</v>
      </c>
      <c r="F55" s="178" t="s">
        <v>6</v>
      </c>
      <c r="G55" s="178" t="s">
        <v>7</v>
      </c>
      <c r="H55" s="178" t="s">
        <v>8</v>
      </c>
      <c r="I55" s="178" t="s">
        <v>9</v>
      </c>
      <c r="J55" s="178" t="s">
        <v>10</v>
      </c>
      <c r="K55" s="178" t="s">
        <v>11</v>
      </c>
      <c r="L55" s="178" t="s">
        <v>12</v>
      </c>
      <c r="M55" s="178" t="s">
        <v>13</v>
      </c>
    </row>
    <row r="56" spans="1:13" ht="26.15" customHeight="1">
      <c r="A56" s="469">
        <v>2025</v>
      </c>
      <c r="B56" s="459">
        <f t="shared" ref="B56:M56" si="7">AVERAGE(B58:B64)</f>
        <v>0.38714285714285718</v>
      </c>
      <c r="C56" s="459">
        <f t="shared" si="7"/>
        <v>0.43142857142857144</v>
      </c>
      <c r="D56" s="459">
        <f t="shared" si="7"/>
        <v>0.49714285714285716</v>
      </c>
      <c r="E56" s="459">
        <f t="shared" si="7"/>
        <v>0.55714285714285716</v>
      </c>
      <c r="F56" s="459">
        <f t="shared" si="7"/>
        <v>0.62857142857142845</v>
      </c>
      <c r="G56" s="459">
        <f t="shared" si="7"/>
        <v>0.66</v>
      </c>
      <c r="H56" s="459">
        <f t="shared" si="7"/>
        <v>0.69571428571428562</v>
      </c>
      <c r="I56" s="459">
        <f t="shared" si="7"/>
        <v>0.7400000000000001</v>
      </c>
      <c r="J56" s="459">
        <f t="shared" si="7"/>
        <v>0.78285714285714292</v>
      </c>
      <c r="K56" s="459">
        <f t="shared" si="7"/>
        <v>0.83571428571428574</v>
      </c>
      <c r="L56" s="459">
        <f t="shared" si="7"/>
        <v>0.89714285714285702</v>
      </c>
      <c r="M56" s="459">
        <f t="shared" si="7"/>
        <v>0.91428571428571437</v>
      </c>
    </row>
    <row r="57" spans="1:13">
      <c r="A57" s="469">
        <v>2026</v>
      </c>
      <c r="B57" s="459">
        <f t="shared" ref="B57:M57" si="8">B56/$M$56</f>
        <v>0.42343750000000002</v>
      </c>
      <c r="C57" s="459">
        <f t="shared" si="8"/>
        <v>0.47187499999999999</v>
      </c>
      <c r="D57" s="459">
        <f t="shared" si="8"/>
        <v>0.54374999999999996</v>
      </c>
      <c r="E57" s="459">
        <f t="shared" si="8"/>
        <v>0.609375</v>
      </c>
      <c r="F57" s="459">
        <f t="shared" si="8"/>
        <v>0.68749999999999978</v>
      </c>
      <c r="G57" s="459">
        <f t="shared" si="8"/>
        <v>0.72187499999999993</v>
      </c>
      <c r="H57" s="459">
        <f t="shared" si="8"/>
        <v>0.76093749999999982</v>
      </c>
      <c r="I57" s="459">
        <f t="shared" si="8"/>
        <v>0.80937500000000007</v>
      </c>
      <c r="J57" s="459">
        <f t="shared" si="8"/>
        <v>0.85624999999999996</v>
      </c>
      <c r="K57" s="459">
        <f t="shared" si="8"/>
        <v>0.9140625</v>
      </c>
      <c r="L57" s="459">
        <f t="shared" si="8"/>
        <v>0.98124999999999973</v>
      </c>
      <c r="M57" s="459">
        <f t="shared" si="8"/>
        <v>1</v>
      </c>
    </row>
    <row r="58" spans="1:13">
      <c r="A58" s="415" t="s">
        <v>46</v>
      </c>
      <c r="B58" s="471">
        <v>0.34</v>
      </c>
      <c r="C58" s="471">
        <v>0.38</v>
      </c>
      <c r="D58" s="471">
        <v>0.42</v>
      </c>
      <c r="E58" s="471">
        <v>0.45</v>
      </c>
      <c r="F58" s="471">
        <v>0.5</v>
      </c>
      <c r="G58" s="471">
        <v>0.54</v>
      </c>
      <c r="H58" s="471">
        <v>0.57999999999999996</v>
      </c>
      <c r="I58" s="471">
        <v>0.62</v>
      </c>
      <c r="J58" s="471">
        <v>0.68</v>
      </c>
      <c r="K58" s="471">
        <v>0.75</v>
      </c>
      <c r="L58" s="471">
        <v>0.82</v>
      </c>
      <c r="M58" s="471">
        <v>0.85</v>
      </c>
    </row>
    <row r="59" spans="1:13" ht="26.15" customHeight="1">
      <c r="A59" s="415" t="s">
        <v>47</v>
      </c>
      <c r="B59" s="471">
        <v>0.34</v>
      </c>
      <c r="C59" s="471">
        <v>0.38</v>
      </c>
      <c r="D59" s="471">
        <v>0.42</v>
      </c>
      <c r="E59" s="471">
        <v>0.45</v>
      </c>
      <c r="F59" s="471">
        <v>0.5</v>
      </c>
      <c r="G59" s="471">
        <v>0.54</v>
      </c>
      <c r="H59" s="471">
        <v>0.57999999999999996</v>
      </c>
      <c r="I59" s="471">
        <v>0.62</v>
      </c>
      <c r="J59" s="471">
        <v>0.68</v>
      </c>
      <c r="K59" s="471">
        <v>0.75</v>
      </c>
      <c r="L59" s="471">
        <v>0.82</v>
      </c>
      <c r="M59" s="471">
        <v>0.85</v>
      </c>
    </row>
    <row r="60" spans="1:13" ht="26.15" customHeight="1">
      <c r="A60" s="415" t="s">
        <v>48</v>
      </c>
      <c r="B60" s="471">
        <v>0.34</v>
      </c>
      <c r="C60" s="471">
        <v>0.38</v>
      </c>
      <c r="D60" s="471">
        <v>0.42</v>
      </c>
      <c r="E60" s="471">
        <v>0.45</v>
      </c>
      <c r="F60" s="471">
        <v>0.5</v>
      </c>
      <c r="G60" s="471">
        <v>0.54</v>
      </c>
      <c r="H60" s="471">
        <v>0.57999999999999996</v>
      </c>
      <c r="I60" s="471">
        <v>0.62</v>
      </c>
      <c r="J60" s="471">
        <v>0.68</v>
      </c>
      <c r="K60" s="471">
        <v>0.75</v>
      </c>
      <c r="L60" s="471">
        <v>0.82</v>
      </c>
      <c r="M60" s="471">
        <v>0.85</v>
      </c>
    </row>
    <row r="61" spans="1:13">
      <c r="A61" s="415" t="s">
        <v>49</v>
      </c>
      <c r="B61" s="471">
        <v>0.34</v>
      </c>
      <c r="C61" s="471">
        <v>0.38</v>
      </c>
      <c r="D61" s="471">
        <v>0.42</v>
      </c>
      <c r="E61" s="471">
        <v>0.45</v>
      </c>
      <c r="F61" s="471">
        <v>0.5</v>
      </c>
      <c r="G61" s="471">
        <v>0.54</v>
      </c>
      <c r="H61" s="471">
        <v>0.57999999999999996</v>
      </c>
      <c r="I61" s="471">
        <v>0.62</v>
      </c>
      <c r="J61" s="471">
        <v>0.68</v>
      </c>
      <c r="K61" s="471">
        <v>0.75</v>
      </c>
      <c r="L61" s="471">
        <v>0.82</v>
      </c>
      <c r="M61" s="471">
        <v>0.85</v>
      </c>
    </row>
    <row r="62" spans="1:13" ht="26.15" customHeight="1">
      <c r="A62" s="415" t="s">
        <v>50</v>
      </c>
      <c r="B62" s="471">
        <v>0.45</v>
      </c>
      <c r="C62" s="471">
        <v>0.5</v>
      </c>
      <c r="D62" s="471">
        <v>0.6</v>
      </c>
      <c r="E62" s="471">
        <v>0.7</v>
      </c>
      <c r="F62" s="471">
        <v>0.8</v>
      </c>
      <c r="G62" s="471">
        <v>0.82</v>
      </c>
      <c r="H62" s="471">
        <v>0.85</v>
      </c>
      <c r="I62" s="471">
        <v>0.9</v>
      </c>
      <c r="J62" s="471">
        <v>0.92</v>
      </c>
      <c r="K62" s="471">
        <v>0.95</v>
      </c>
      <c r="L62" s="471">
        <v>1</v>
      </c>
      <c r="M62" s="471">
        <v>1</v>
      </c>
    </row>
    <row r="63" spans="1:13" ht="26.15" customHeight="1">
      <c r="A63" s="415" t="s">
        <v>51</v>
      </c>
      <c r="B63" s="471">
        <v>0.45</v>
      </c>
      <c r="C63" s="471">
        <v>0.5</v>
      </c>
      <c r="D63" s="471">
        <v>0.6</v>
      </c>
      <c r="E63" s="471">
        <v>0.7</v>
      </c>
      <c r="F63" s="471">
        <v>0.8</v>
      </c>
      <c r="G63" s="471">
        <v>0.82</v>
      </c>
      <c r="H63" s="471">
        <v>0.85</v>
      </c>
      <c r="I63" s="471">
        <v>0.9</v>
      </c>
      <c r="J63" s="471">
        <v>0.92</v>
      </c>
      <c r="K63" s="471">
        <v>0.95</v>
      </c>
      <c r="L63" s="471">
        <v>1</v>
      </c>
      <c r="M63" s="471">
        <v>1</v>
      </c>
    </row>
    <row r="64" spans="1:13">
      <c r="A64" s="415" t="s">
        <v>52</v>
      </c>
      <c r="B64" s="471">
        <v>0.45</v>
      </c>
      <c r="C64" s="471">
        <v>0.5</v>
      </c>
      <c r="D64" s="471">
        <v>0.6</v>
      </c>
      <c r="E64" s="471">
        <v>0.7</v>
      </c>
      <c r="F64" s="471">
        <v>0.8</v>
      </c>
      <c r="G64" s="471">
        <v>0.82</v>
      </c>
      <c r="H64" s="471">
        <v>0.85</v>
      </c>
      <c r="I64" s="471">
        <v>0.9</v>
      </c>
      <c r="J64" s="471">
        <v>0.92</v>
      </c>
      <c r="K64" s="471">
        <v>0.95</v>
      </c>
      <c r="L64" s="471">
        <v>1</v>
      </c>
      <c r="M64" s="471">
        <v>1</v>
      </c>
    </row>
    <row r="65" spans="1:13" ht="15" thickBot="1"/>
    <row r="66" spans="1:13">
      <c r="B66" s="804" t="s">
        <v>53</v>
      </c>
      <c r="C66" s="805"/>
      <c r="D66" s="805"/>
      <c r="E66" s="805"/>
      <c r="F66" s="805"/>
      <c r="G66" s="805"/>
      <c r="H66" s="805"/>
      <c r="I66" s="805"/>
      <c r="J66" s="805"/>
      <c r="K66" s="805"/>
      <c r="L66" s="805"/>
      <c r="M66" s="806"/>
    </row>
    <row r="67" spans="1:13">
      <c r="B67" s="178" t="s">
        <v>2</v>
      </c>
      <c r="C67" s="178" t="s">
        <v>3</v>
      </c>
      <c r="D67" s="178" t="s">
        <v>4</v>
      </c>
      <c r="E67" s="178" t="s">
        <v>5</v>
      </c>
      <c r="F67" s="178" t="s">
        <v>6</v>
      </c>
      <c r="G67" s="178" t="s">
        <v>7</v>
      </c>
      <c r="H67" s="178" t="s">
        <v>8</v>
      </c>
      <c r="I67" s="178" t="s">
        <v>9</v>
      </c>
      <c r="J67" s="178" t="s">
        <v>10</v>
      </c>
      <c r="K67" s="178" t="s">
        <v>11</v>
      </c>
      <c r="L67" s="178" t="s">
        <v>12</v>
      </c>
      <c r="M67" s="178" t="s">
        <v>13</v>
      </c>
    </row>
    <row r="68" spans="1:13">
      <c r="A68" s="469" t="s">
        <v>41</v>
      </c>
      <c r="B68" s="459">
        <v>0.02</v>
      </c>
      <c r="C68" s="459">
        <v>0.03</v>
      </c>
      <c r="D68" s="459">
        <v>0.05</v>
      </c>
      <c r="E68" s="459">
        <v>7.0000000000000007E-2</v>
      </c>
      <c r="F68" s="459">
        <v>0.08</v>
      </c>
      <c r="G68" s="459">
        <v>0.1</v>
      </c>
      <c r="H68" s="459">
        <v>0.12</v>
      </c>
      <c r="I68" s="459">
        <v>0.13</v>
      </c>
      <c r="J68" s="459">
        <v>0.15</v>
      </c>
      <c r="K68" s="459">
        <v>0.2</v>
      </c>
      <c r="L68" s="459">
        <v>0.215</v>
      </c>
      <c r="M68" s="459">
        <v>0.23</v>
      </c>
    </row>
    <row r="69" spans="1:13">
      <c r="A69" s="469">
        <v>2026</v>
      </c>
      <c r="B69" s="459">
        <f>B68/$M$68</f>
        <v>8.6956521739130432E-2</v>
      </c>
      <c r="C69" s="459">
        <f t="shared" ref="C69:M69" si="9">C68/$M$68</f>
        <v>0.13043478260869565</v>
      </c>
      <c r="D69" s="459">
        <f t="shared" si="9"/>
        <v>0.21739130434782608</v>
      </c>
      <c r="E69" s="459">
        <f t="shared" si="9"/>
        <v>0.30434782608695654</v>
      </c>
      <c r="F69" s="459">
        <f t="shared" si="9"/>
        <v>0.34782608695652173</v>
      </c>
      <c r="G69" s="459">
        <f t="shared" si="9"/>
        <v>0.43478260869565216</v>
      </c>
      <c r="H69" s="459">
        <f t="shared" si="9"/>
        <v>0.52173913043478259</v>
      </c>
      <c r="I69" s="459">
        <f t="shared" si="9"/>
        <v>0.56521739130434778</v>
      </c>
      <c r="J69" s="459">
        <f t="shared" si="9"/>
        <v>0.65217391304347816</v>
      </c>
      <c r="K69" s="459">
        <f t="shared" si="9"/>
        <v>0.86956521739130432</v>
      </c>
      <c r="L69" s="459">
        <f t="shared" si="9"/>
        <v>0.93478260869565211</v>
      </c>
      <c r="M69" s="459">
        <f t="shared" si="9"/>
        <v>1</v>
      </c>
    </row>
    <row r="70" spans="1:13" ht="15" thickBot="1"/>
    <row r="71" spans="1:13">
      <c r="B71" s="804" t="s">
        <v>54</v>
      </c>
      <c r="C71" s="805"/>
      <c r="D71" s="805"/>
      <c r="E71" s="805"/>
      <c r="F71" s="805"/>
      <c r="G71" s="805"/>
      <c r="H71" s="805"/>
      <c r="I71" s="805"/>
      <c r="J71" s="805"/>
      <c r="K71" s="805"/>
      <c r="L71" s="805"/>
      <c r="M71" s="806"/>
    </row>
    <row r="72" spans="1:13">
      <c r="B72" s="178" t="s">
        <v>2</v>
      </c>
      <c r="C72" s="178" t="s">
        <v>3</v>
      </c>
      <c r="D72" s="178" t="s">
        <v>4</v>
      </c>
      <c r="E72" s="178" t="s">
        <v>5</v>
      </c>
      <c r="F72" s="178" t="s">
        <v>6</v>
      </c>
      <c r="G72" s="178" t="s">
        <v>7</v>
      </c>
      <c r="H72" s="178" t="s">
        <v>8</v>
      </c>
      <c r="I72" s="178" t="s">
        <v>9</v>
      </c>
      <c r="J72" s="178" t="s">
        <v>10</v>
      </c>
      <c r="K72" s="178" t="s">
        <v>11</v>
      </c>
      <c r="L72" s="178" t="s">
        <v>12</v>
      </c>
      <c r="M72" s="178" t="s">
        <v>13</v>
      </c>
    </row>
    <row r="73" spans="1:13">
      <c r="A73" s="469" t="s">
        <v>41</v>
      </c>
      <c r="B73" s="459">
        <v>0.02</v>
      </c>
      <c r="C73" s="459">
        <v>0.03</v>
      </c>
      <c r="D73" s="459">
        <v>0.05</v>
      </c>
      <c r="E73" s="459">
        <v>7.0000000000000007E-2</v>
      </c>
      <c r="F73" s="459">
        <v>0.08</v>
      </c>
      <c r="G73" s="459">
        <v>0.1</v>
      </c>
      <c r="H73" s="459">
        <v>0.12</v>
      </c>
      <c r="I73" s="459">
        <v>0.13</v>
      </c>
      <c r="J73" s="459">
        <v>0.15</v>
      </c>
      <c r="K73" s="459">
        <v>0.2</v>
      </c>
      <c r="L73" s="459">
        <v>0.215</v>
      </c>
      <c r="M73" s="459">
        <v>0.23</v>
      </c>
    </row>
    <row r="74" spans="1:13">
      <c r="A74" s="469">
        <v>2026</v>
      </c>
      <c r="B74" s="459">
        <f t="shared" ref="B74:M74" si="10">B73/$M$68</f>
        <v>8.6956521739130432E-2</v>
      </c>
      <c r="C74" s="459">
        <f t="shared" si="10"/>
        <v>0.13043478260869565</v>
      </c>
      <c r="D74" s="459">
        <f t="shared" si="10"/>
        <v>0.21739130434782608</v>
      </c>
      <c r="E74" s="459">
        <f t="shared" si="10"/>
        <v>0.30434782608695654</v>
      </c>
      <c r="F74" s="459">
        <f t="shared" si="10"/>
        <v>0.34782608695652173</v>
      </c>
      <c r="G74" s="459">
        <f t="shared" si="10"/>
        <v>0.43478260869565216</v>
      </c>
      <c r="H74" s="459">
        <f t="shared" si="10"/>
        <v>0.52173913043478259</v>
      </c>
      <c r="I74" s="459">
        <f t="shared" si="10"/>
        <v>0.56521739130434778</v>
      </c>
      <c r="J74" s="459">
        <f t="shared" si="10"/>
        <v>0.65217391304347816</v>
      </c>
      <c r="K74" s="459">
        <f t="shared" si="10"/>
        <v>0.86956521739130432</v>
      </c>
      <c r="L74" s="459">
        <f t="shared" si="10"/>
        <v>0.93478260869565211</v>
      </c>
      <c r="M74" s="459">
        <f t="shared" si="10"/>
        <v>1</v>
      </c>
    </row>
  </sheetData>
  <mergeCells count="11">
    <mergeCell ref="A22:L22"/>
    <mergeCell ref="A19:L19"/>
    <mergeCell ref="A2:L2"/>
    <mergeCell ref="A5:L5"/>
    <mergeCell ref="A11:L11"/>
    <mergeCell ref="A14:L14"/>
    <mergeCell ref="B71:M71"/>
    <mergeCell ref="B54:M54"/>
    <mergeCell ref="B66:M66"/>
    <mergeCell ref="B26:M26"/>
    <mergeCell ref="B46:M4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A00BC-EF23-4C82-97FC-3C1CE331EB78}">
  <dimension ref="A1:Y87"/>
  <sheetViews>
    <sheetView zoomScale="50" zoomScaleNormal="50" workbookViewId="0">
      <pane xSplit="5" ySplit="3" topLeftCell="O59" activePane="bottomRight" state="frozen"/>
      <selection pane="topRight" activeCell="E1" sqref="E1"/>
      <selection pane="bottomLeft" activeCell="A4" sqref="A4"/>
      <selection pane="bottomRight" activeCell="V88" sqref="V88"/>
    </sheetView>
  </sheetViews>
  <sheetFormatPr defaultRowHeight="16"/>
  <cols>
    <col min="1" max="1" width="13.81640625" style="669" customWidth="1"/>
    <col min="2" max="3" width="13.08984375" style="669" customWidth="1"/>
    <col min="4" max="4" width="43.453125" style="669" customWidth="1"/>
    <col min="5" max="5" width="54.7265625" style="669" customWidth="1"/>
    <col min="6" max="6" width="34.1796875" style="669" customWidth="1"/>
    <col min="7" max="7" width="24.1796875" style="669" customWidth="1"/>
    <col min="8" max="8" width="12.1796875" style="669" customWidth="1"/>
    <col min="9" max="10" width="0" style="669" hidden="1" customWidth="1"/>
    <col min="11" max="11" width="13.1796875" style="669" customWidth="1"/>
    <col min="12" max="12" width="14.453125" style="669" customWidth="1"/>
    <col min="13" max="13" width="14.54296875" style="669" customWidth="1"/>
    <col min="14" max="14" width="20.81640625" style="792" customWidth="1"/>
    <col min="15" max="15" width="27.90625" style="792" customWidth="1"/>
    <col min="16" max="16" width="22.08984375" style="792" customWidth="1"/>
    <col min="17" max="17" width="28.1796875" style="792" customWidth="1"/>
    <col min="18" max="18" width="12.54296875" style="792" customWidth="1"/>
    <col min="19" max="19" width="12" style="792" customWidth="1"/>
    <col min="20" max="20" width="12.54296875" style="792" customWidth="1"/>
    <col min="21" max="21" width="20.26953125" style="792" customWidth="1"/>
    <col min="22" max="22" width="19.54296875" style="779" customWidth="1"/>
    <col min="23" max="23" width="12.7265625" style="669" bestFit="1" customWidth="1"/>
    <col min="24" max="24" width="26.7265625" style="669" customWidth="1"/>
    <col min="25" max="25" width="18.54296875" style="669" customWidth="1"/>
    <col min="26" max="16384" width="8.7265625" style="669"/>
  </cols>
  <sheetData>
    <row r="1" spans="1:25">
      <c r="A1" s="634"/>
      <c r="B1" s="635" t="s">
        <v>1577</v>
      </c>
      <c r="C1" s="635"/>
      <c r="D1" s="636"/>
      <c r="E1" s="637"/>
      <c r="F1" s="635" t="s">
        <v>1578</v>
      </c>
      <c r="G1" s="638"/>
      <c r="H1" s="639"/>
      <c r="I1" s="640" t="s">
        <v>1378</v>
      </c>
      <c r="J1" s="638"/>
      <c r="K1" s="641" t="s">
        <v>1579</v>
      </c>
      <c r="L1" s="638"/>
      <c r="M1" s="638"/>
      <c r="N1" s="789"/>
      <c r="O1" s="789"/>
      <c r="P1" s="789"/>
      <c r="Q1" s="789"/>
      <c r="R1" s="789"/>
      <c r="S1" s="789"/>
      <c r="T1" s="789"/>
      <c r="U1" s="789"/>
      <c r="V1" s="642"/>
      <c r="W1" s="638"/>
      <c r="X1" s="638"/>
      <c r="Y1" s="638"/>
    </row>
    <row r="2" spans="1:25">
      <c r="A2" s="638"/>
      <c r="B2" s="638"/>
      <c r="C2" s="638"/>
      <c r="D2" s="638"/>
      <c r="E2" s="643"/>
      <c r="F2" s="643"/>
      <c r="G2" s="643"/>
      <c r="H2" s="643"/>
      <c r="I2" s="635" t="s">
        <v>1531</v>
      </c>
      <c r="J2" s="644"/>
      <c r="K2" s="635"/>
      <c r="L2" s="643"/>
      <c r="M2" s="643"/>
      <c r="N2" s="789"/>
      <c r="O2" s="789"/>
      <c r="P2" s="789"/>
      <c r="Q2" s="789"/>
      <c r="R2" s="789"/>
      <c r="S2" s="789"/>
      <c r="T2" s="793"/>
      <c r="U2" s="793"/>
      <c r="V2" s="643"/>
      <c r="W2" s="643"/>
      <c r="X2" s="643"/>
      <c r="Y2" s="645"/>
    </row>
    <row r="3" spans="1:25" ht="14.5" customHeight="1">
      <c r="A3" s="646" t="s">
        <v>58</v>
      </c>
      <c r="B3" s="647" t="s">
        <v>1379</v>
      </c>
      <c r="C3" s="647" t="s">
        <v>1096</v>
      </c>
      <c r="D3" s="648" t="s">
        <v>1638</v>
      </c>
      <c r="E3" s="648" t="s">
        <v>1380</v>
      </c>
      <c r="F3" s="648" t="s">
        <v>1381</v>
      </c>
      <c r="G3" s="648" t="s">
        <v>1382</v>
      </c>
      <c r="H3" s="648" t="s">
        <v>1383</v>
      </c>
      <c r="I3" s="648" t="s">
        <v>77</v>
      </c>
      <c r="J3" s="648" t="s">
        <v>1384</v>
      </c>
      <c r="K3" s="648" t="s">
        <v>1385</v>
      </c>
      <c r="L3" s="968" t="s">
        <v>1386</v>
      </c>
      <c r="M3" s="969"/>
      <c r="N3" s="968" t="s">
        <v>1387</v>
      </c>
      <c r="O3" s="969"/>
      <c r="P3" s="968" t="s">
        <v>1388</v>
      </c>
      <c r="Q3" s="969"/>
      <c r="R3" s="970" t="s">
        <v>1389</v>
      </c>
      <c r="S3" s="971"/>
      <c r="T3" s="970" t="s">
        <v>1390</v>
      </c>
      <c r="U3" s="971"/>
      <c r="V3" s="968" t="s">
        <v>1391</v>
      </c>
      <c r="W3" s="969"/>
      <c r="X3" s="648" t="s">
        <v>97</v>
      </c>
      <c r="Y3" s="648" t="s">
        <v>1392</v>
      </c>
    </row>
    <row r="4" spans="1:25" ht="62">
      <c r="A4" s="649">
        <v>1</v>
      </c>
      <c r="B4" s="826" t="s">
        <v>713</v>
      </c>
      <c r="C4" s="826" t="s">
        <v>310</v>
      </c>
      <c r="D4" s="972" t="s">
        <v>1393</v>
      </c>
      <c r="E4" s="650" t="s">
        <v>1532</v>
      </c>
      <c r="F4" s="651" t="s">
        <v>1394</v>
      </c>
      <c r="G4" s="652" t="s">
        <v>1395</v>
      </c>
      <c r="H4" s="653" t="s">
        <v>1396</v>
      </c>
      <c r="I4" s="654" t="s">
        <v>1397</v>
      </c>
      <c r="J4" s="655">
        <v>1</v>
      </c>
      <c r="K4" s="656" t="s">
        <v>1398</v>
      </c>
      <c r="L4" s="657"/>
      <c r="M4" s="657"/>
      <c r="N4" s="658">
        <v>45915</v>
      </c>
      <c r="O4" s="658">
        <v>45926</v>
      </c>
      <c r="P4" s="659">
        <v>45929</v>
      </c>
      <c r="Q4" s="660" t="s">
        <v>1399</v>
      </c>
      <c r="R4" s="660" t="s">
        <v>1400</v>
      </c>
      <c r="S4" s="659">
        <v>45968</v>
      </c>
      <c r="T4" s="659">
        <v>45971</v>
      </c>
      <c r="U4" s="659">
        <v>45982</v>
      </c>
      <c r="V4" s="659">
        <v>45985</v>
      </c>
      <c r="W4" s="660" t="s">
        <v>1397</v>
      </c>
      <c r="X4" s="650" t="s">
        <v>1533</v>
      </c>
      <c r="Y4" s="660" t="s">
        <v>1401</v>
      </c>
    </row>
    <row r="5" spans="1:25" ht="87" customHeight="1">
      <c r="A5" s="826">
        <v>2</v>
      </c>
      <c r="B5" s="827"/>
      <c r="C5" s="827"/>
      <c r="D5" s="973"/>
      <c r="E5" s="820" t="s">
        <v>1580</v>
      </c>
      <c r="F5" s="920" t="s">
        <v>1394</v>
      </c>
      <c r="G5" s="975"/>
      <c r="H5" s="923" t="s">
        <v>1396</v>
      </c>
      <c r="I5" s="965">
        <v>46094</v>
      </c>
      <c r="J5" s="917"/>
      <c r="K5" s="923" t="s">
        <v>1398</v>
      </c>
      <c r="L5" s="959"/>
      <c r="M5" s="959"/>
      <c r="N5" s="914">
        <v>46027</v>
      </c>
      <c r="O5" s="914">
        <v>46041</v>
      </c>
      <c r="P5" s="956">
        <v>46042</v>
      </c>
      <c r="Q5" s="956">
        <v>46055</v>
      </c>
      <c r="R5" s="956">
        <v>46056</v>
      </c>
      <c r="S5" s="956">
        <v>46066</v>
      </c>
      <c r="T5" s="956">
        <v>46071</v>
      </c>
      <c r="U5" s="956">
        <v>46085</v>
      </c>
      <c r="V5" s="956">
        <v>46086</v>
      </c>
      <c r="W5" s="956">
        <v>46094</v>
      </c>
      <c r="X5" s="923" t="s">
        <v>1534</v>
      </c>
      <c r="Y5" s="908" t="s">
        <v>1401</v>
      </c>
    </row>
    <row r="6" spans="1:25">
      <c r="A6" s="828"/>
      <c r="B6" s="827"/>
      <c r="C6" s="827"/>
      <c r="D6" s="973"/>
      <c r="E6" s="821"/>
      <c r="F6" s="922"/>
      <c r="G6" s="976"/>
      <c r="H6" s="925"/>
      <c r="I6" s="967"/>
      <c r="J6" s="919"/>
      <c r="K6" s="925"/>
      <c r="L6" s="961"/>
      <c r="M6" s="961"/>
      <c r="N6" s="916"/>
      <c r="O6" s="916"/>
      <c r="P6" s="958"/>
      <c r="Q6" s="958"/>
      <c r="R6" s="958"/>
      <c r="S6" s="958"/>
      <c r="T6" s="958"/>
      <c r="U6" s="958"/>
      <c r="V6" s="958"/>
      <c r="W6" s="958"/>
      <c r="X6" s="925"/>
      <c r="Y6" s="910"/>
    </row>
    <row r="7" spans="1:25">
      <c r="A7" s="826">
        <v>3</v>
      </c>
      <c r="B7" s="827"/>
      <c r="C7" s="827"/>
      <c r="D7" s="973"/>
      <c r="E7" s="822" t="s">
        <v>1581</v>
      </c>
      <c r="F7" s="920" t="s">
        <v>1394</v>
      </c>
      <c r="G7" s="962" t="s">
        <v>1535</v>
      </c>
      <c r="H7" s="923" t="s">
        <v>1396</v>
      </c>
      <c r="I7" s="965">
        <v>46136</v>
      </c>
      <c r="J7" s="917"/>
      <c r="K7" s="923" t="s">
        <v>1398</v>
      </c>
      <c r="L7" s="959"/>
      <c r="M7" s="959"/>
      <c r="N7" s="914">
        <v>46027</v>
      </c>
      <c r="O7" s="914">
        <v>46041</v>
      </c>
      <c r="P7" s="956">
        <v>46042</v>
      </c>
      <c r="Q7" s="956">
        <v>46080</v>
      </c>
      <c r="R7" s="956">
        <v>46083</v>
      </c>
      <c r="S7" s="956">
        <v>46094</v>
      </c>
      <c r="T7" s="956">
        <v>46111</v>
      </c>
      <c r="U7" s="956">
        <v>46122</v>
      </c>
      <c r="V7" s="956">
        <v>46125</v>
      </c>
      <c r="W7" s="956">
        <v>46136</v>
      </c>
      <c r="X7" s="923" t="s">
        <v>1536</v>
      </c>
      <c r="Y7" s="908" t="s">
        <v>1401</v>
      </c>
    </row>
    <row r="8" spans="1:25" ht="29" customHeight="1">
      <c r="A8" s="827"/>
      <c r="B8" s="827"/>
      <c r="C8" s="827"/>
      <c r="D8" s="973"/>
      <c r="E8" s="823"/>
      <c r="F8" s="921"/>
      <c r="G8" s="963"/>
      <c r="H8" s="924"/>
      <c r="I8" s="966"/>
      <c r="J8" s="918"/>
      <c r="K8" s="924"/>
      <c r="L8" s="960"/>
      <c r="M8" s="960"/>
      <c r="N8" s="915"/>
      <c r="O8" s="915"/>
      <c r="P8" s="957"/>
      <c r="Q8" s="957"/>
      <c r="R8" s="957"/>
      <c r="S8" s="957"/>
      <c r="T8" s="957"/>
      <c r="U8" s="957"/>
      <c r="V8" s="957"/>
      <c r="W8" s="957"/>
      <c r="X8" s="924"/>
      <c r="Y8" s="909"/>
    </row>
    <row r="9" spans="1:25" ht="54" customHeight="1">
      <c r="A9" s="828"/>
      <c r="B9" s="827"/>
      <c r="C9" s="827"/>
      <c r="D9" s="973"/>
      <c r="E9" s="824"/>
      <c r="F9" s="922"/>
      <c r="G9" s="964"/>
      <c r="H9" s="925"/>
      <c r="I9" s="967"/>
      <c r="J9" s="919"/>
      <c r="K9" s="925"/>
      <c r="L9" s="961"/>
      <c r="M9" s="961"/>
      <c r="N9" s="916"/>
      <c r="O9" s="916"/>
      <c r="P9" s="958"/>
      <c r="Q9" s="958"/>
      <c r="R9" s="958"/>
      <c r="S9" s="958"/>
      <c r="T9" s="958"/>
      <c r="U9" s="958"/>
      <c r="V9" s="958"/>
      <c r="W9" s="958"/>
      <c r="X9" s="925"/>
      <c r="Y9" s="910"/>
    </row>
    <row r="10" spans="1:25" ht="62">
      <c r="A10" s="649">
        <v>4</v>
      </c>
      <c r="B10" s="827"/>
      <c r="C10" s="827"/>
      <c r="D10" s="973"/>
      <c r="E10" s="650" t="s">
        <v>1537</v>
      </c>
      <c r="F10" s="653" t="s">
        <v>1402</v>
      </c>
      <c r="G10" s="652" t="s">
        <v>1395</v>
      </c>
      <c r="H10" s="653" t="s">
        <v>1396</v>
      </c>
      <c r="I10" s="654" t="s">
        <v>1403</v>
      </c>
      <c r="J10" s="661" t="s">
        <v>1538</v>
      </c>
      <c r="K10" s="656" t="s">
        <v>1398</v>
      </c>
      <c r="L10" s="662"/>
      <c r="M10" s="662"/>
      <c r="N10" s="658">
        <v>45901</v>
      </c>
      <c r="O10" s="658">
        <v>45919</v>
      </c>
      <c r="P10" s="659">
        <v>45922</v>
      </c>
      <c r="Q10" s="659">
        <v>45968</v>
      </c>
      <c r="R10" s="659">
        <v>45971</v>
      </c>
      <c r="S10" s="659">
        <v>45982</v>
      </c>
      <c r="T10" s="659">
        <v>45985</v>
      </c>
      <c r="U10" s="659">
        <v>46009</v>
      </c>
      <c r="V10" s="660" t="s">
        <v>1403</v>
      </c>
      <c r="W10" s="660" t="s">
        <v>1403</v>
      </c>
      <c r="X10" s="650" t="s">
        <v>1539</v>
      </c>
      <c r="Y10" s="660" t="s">
        <v>1401</v>
      </c>
    </row>
    <row r="11" spans="1:25" ht="74" customHeight="1">
      <c r="A11" s="826">
        <v>5</v>
      </c>
      <c r="B11" s="827"/>
      <c r="C11" s="827"/>
      <c r="D11" s="973"/>
      <c r="E11" s="663" t="s">
        <v>1540</v>
      </c>
      <c r="F11" s="923" t="s">
        <v>1402</v>
      </c>
      <c r="G11" s="935" t="s">
        <v>1395</v>
      </c>
      <c r="H11" s="923" t="s">
        <v>1396</v>
      </c>
      <c r="I11" s="938" t="s">
        <v>1399</v>
      </c>
      <c r="J11" s="941">
        <v>1</v>
      </c>
      <c r="K11" s="944" t="s">
        <v>1398</v>
      </c>
      <c r="L11" s="947"/>
      <c r="M11" s="947"/>
      <c r="N11" s="950">
        <v>45901</v>
      </c>
      <c r="O11" s="950">
        <v>45912</v>
      </c>
      <c r="P11" s="953">
        <v>45908</v>
      </c>
      <c r="Q11" s="953">
        <v>45930</v>
      </c>
      <c r="R11" s="953">
        <v>45931</v>
      </c>
      <c r="S11" s="929" t="s">
        <v>1542</v>
      </c>
      <c r="T11" s="929" t="s">
        <v>1543</v>
      </c>
      <c r="U11" s="664" t="s">
        <v>1544</v>
      </c>
      <c r="V11" s="664" t="s">
        <v>1546</v>
      </c>
      <c r="W11" s="664" t="s">
        <v>1549</v>
      </c>
      <c r="X11" s="932" t="s">
        <v>1551</v>
      </c>
      <c r="Y11" s="929" t="s">
        <v>1401</v>
      </c>
    </row>
    <row r="12" spans="1:25" ht="31">
      <c r="A12" s="827"/>
      <c r="B12" s="827"/>
      <c r="C12" s="827"/>
      <c r="D12" s="973"/>
      <c r="E12" s="665" t="s">
        <v>1541</v>
      </c>
      <c r="F12" s="924"/>
      <c r="G12" s="936"/>
      <c r="H12" s="924"/>
      <c r="I12" s="939"/>
      <c r="J12" s="942"/>
      <c r="K12" s="945"/>
      <c r="L12" s="948"/>
      <c r="M12" s="948"/>
      <c r="N12" s="951"/>
      <c r="O12" s="951"/>
      <c r="P12" s="954"/>
      <c r="Q12" s="954"/>
      <c r="R12" s="954"/>
      <c r="S12" s="930"/>
      <c r="T12" s="930"/>
      <c r="U12" s="666" t="s">
        <v>1545</v>
      </c>
      <c r="V12" s="666" t="s">
        <v>1547</v>
      </c>
      <c r="W12" s="666" t="s">
        <v>1550</v>
      </c>
      <c r="X12" s="933"/>
      <c r="Y12" s="930"/>
    </row>
    <row r="13" spans="1:25">
      <c r="A13" s="828"/>
      <c r="B13" s="827"/>
      <c r="C13" s="827"/>
      <c r="D13" s="973"/>
      <c r="E13" s="667"/>
      <c r="F13" s="925"/>
      <c r="G13" s="937"/>
      <c r="H13" s="925"/>
      <c r="I13" s="940"/>
      <c r="J13" s="943"/>
      <c r="K13" s="946"/>
      <c r="L13" s="949"/>
      <c r="M13" s="949"/>
      <c r="N13" s="952"/>
      <c r="O13" s="952"/>
      <c r="P13" s="955"/>
      <c r="Q13" s="955"/>
      <c r="R13" s="955"/>
      <c r="S13" s="931"/>
      <c r="T13" s="931"/>
      <c r="U13" s="668"/>
      <c r="V13" s="668" t="s">
        <v>1548</v>
      </c>
      <c r="W13" s="668"/>
      <c r="X13" s="934"/>
      <c r="Y13" s="931"/>
    </row>
    <row r="14" spans="1:25" ht="58" customHeight="1">
      <c r="A14" s="826">
        <v>6</v>
      </c>
      <c r="B14" s="827"/>
      <c r="C14" s="827"/>
      <c r="D14" s="973"/>
      <c r="E14" s="923" t="s">
        <v>1404</v>
      </c>
      <c r="F14" s="923" t="s">
        <v>1402</v>
      </c>
      <c r="G14" s="815" t="s">
        <v>1582</v>
      </c>
      <c r="H14" s="923" t="s">
        <v>1396</v>
      </c>
      <c r="I14" s="926">
        <v>46234</v>
      </c>
      <c r="J14" s="917"/>
      <c r="K14" s="923" t="s">
        <v>1398</v>
      </c>
      <c r="L14" s="917"/>
      <c r="M14" s="917"/>
      <c r="N14" s="914">
        <v>46055</v>
      </c>
      <c r="O14" s="914">
        <v>46112</v>
      </c>
      <c r="P14" s="914">
        <v>46113</v>
      </c>
      <c r="Q14" s="914">
        <v>46142</v>
      </c>
      <c r="R14" s="914">
        <v>46143</v>
      </c>
      <c r="S14" s="914">
        <v>46171</v>
      </c>
      <c r="T14" s="914">
        <v>46174</v>
      </c>
      <c r="U14" s="914">
        <v>46203</v>
      </c>
      <c r="V14" s="914">
        <v>46204</v>
      </c>
      <c r="W14" s="914">
        <v>46234</v>
      </c>
      <c r="X14" s="917"/>
      <c r="Y14" s="908" t="s">
        <v>1401</v>
      </c>
    </row>
    <row r="15" spans="1:25">
      <c r="A15" s="827"/>
      <c r="B15" s="827"/>
      <c r="C15" s="827"/>
      <c r="D15" s="973"/>
      <c r="E15" s="924"/>
      <c r="F15" s="924"/>
      <c r="G15" s="816"/>
      <c r="H15" s="924"/>
      <c r="I15" s="927"/>
      <c r="J15" s="918"/>
      <c r="K15" s="924"/>
      <c r="L15" s="918"/>
      <c r="M15" s="918"/>
      <c r="N15" s="915"/>
      <c r="O15" s="915"/>
      <c r="P15" s="915"/>
      <c r="Q15" s="915"/>
      <c r="R15" s="915"/>
      <c r="S15" s="915"/>
      <c r="T15" s="915"/>
      <c r="U15" s="915"/>
      <c r="V15" s="915"/>
      <c r="W15" s="915"/>
      <c r="X15" s="918"/>
      <c r="Y15" s="909"/>
    </row>
    <row r="16" spans="1:25">
      <c r="A16" s="827"/>
      <c r="B16" s="827"/>
      <c r="C16" s="827"/>
      <c r="D16" s="973"/>
      <c r="E16" s="924"/>
      <c r="F16" s="924"/>
      <c r="G16" s="816"/>
      <c r="H16" s="924"/>
      <c r="I16" s="927"/>
      <c r="J16" s="918"/>
      <c r="K16" s="924"/>
      <c r="L16" s="918"/>
      <c r="M16" s="918"/>
      <c r="N16" s="915"/>
      <c r="O16" s="915"/>
      <c r="P16" s="915"/>
      <c r="Q16" s="915"/>
      <c r="R16" s="915"/>
      <c r="S16" s="915"/>
      <c r="T16" s="915"/>
      <c r="U16" s="915"/>
      <c r="V16" s="915"/>
      <c r="W16" s="915"/>
      <c r="X16" s="918"/>
      <c r="Y16" s="909"/>
    </row>
    <row r="17" spans="1:25">
      <c r="A17" s="828"/>
      <c r="B17" s="827"/>
      <c r="C17" s="827"/>
      <c r="D17" s="973"/>
      <c r="E17" s="925"/>
      <c r="F17" s="925"/>
      <c r="G17" s="817"/>
      <c r="H17" s="925"/>
      <c r="I17" s="928"/>
      <c r="J17" s="919"/>
      <c r="K17" s="925"/>
      <c r="L17" s="919"/>
      <c r="M17" s="919"/>
      <c r="N17" s="916"/>
      <c r="O17" s="916"/>
      <c r="P17" s="916"/>
      <c r="Q17" s="916"/>
      <c r="R17" s="916"/>
      <c r="S17" s="916"/>
      <c r="T17" s="916"/>
      <c r="U17" s="916"/>
      <c r="V17" s="916"/>
      <c r="W17" s="916"/>
      <c r="X17" s="919"/>
      <c r="Y17" s="910"/>
    </row>
    <row r="18" spans="1:25" ht="35" customHeight="1">
      <c r="A18" s="826">
        <v>7</v>
      </c>
      <c r="B18" s="827"/>
      <c r="C18" s="827"/>
      <c r="D18" s="973"/>
      <c r="E18" s="820" t="s">
        <v>1405</v>
      </c>
      <c r="F18" s="923" t="s">
        <v>1402</v>
      </c>
      <c r="G18" s="815" t="s">
        <v>1582</v>
      </c>
      <c r="H18" s="923" t="s">
        <v>1396</v>
      </c>
      <c r="I18" s="926">
        <v>46234</v>
      </c>
      <c r="J18" s="917"/>
      <c r="K18" s="923" t="s">
        <v>1398</v>
      </c>
      <c r="L18" s="917"/>
      <c r="M18" s="917"/>
      <c r="N18" s="914">
        <v>46055</v>
      </c>
      <c r="O18" s="914">
        <v>46112</v>
      </c>
      <c r="P18" s="914">
        <v>46113</v>
      </c>
      <c r="Q18" s="914">
        <v>46142</v>
      </c>
      <c r="R18" s="914">
        <v>46143</v>
      </c>
      <c r="S18" s="914">
        <v>46171</v>
      </c>
      <c r="T18" s="914">
        <v>46174</v>
      </c>
      <c r="U18" s="914">
        <v>46203</v>
      </c>
      <c r="V18" s="914">
        <v>46204</v>
      </c>
      <c r="W18" s="914">
        <v>46234</v>
      </c>
      <c r="X18" s="917"/>
      <c r="Y18" s="908" t="s">
        <v>1401</v>
      </c>
    </row>
    <row r="19" spans="1:25">
      <c r="A19" s="827"/>
      <c r="B19" s="827"/>
      <c r="C19" s="827"/>
      <c r="D19" s="973"/>
      <c r="E19" s="825"/>
      <c r="F19" s="924"/>
      <c r="G19" s="816"/>
      <c r="H19" s="924"/>
      <c r="I19" s="927"/>
      <c r="J19" s="918"/>
      <c r="K19" s="924"/>
      <c r="L19" s="918"/>
      <c r="M19" s="918"/>
      <c r="N19" s="915"/>
      <c r="O19" s="915"/>
      <c r="P19" s="915"/>
      <c r="Q19" s="915"/>
      <c r="R19" s="915"/>
      <c r="S19" s="915"/>
      <c r="T19" s="915"/>
      <c r="U19" s="915"/>
      <c r="V19" s="915"/>
      <c r="W19" s="915"/>
      <c r="X19" s="918"/>
      <c r="Y19" s="909"/>
    </row>
    <row r="20" spans="1:25">
      <c r="A20" s="827"/>
      <c r="B20" s="827"/>
      <c r="C20" s="827"/>
      <c r="D20" s="973"/>
      <c r="E20" s="825"/>
      <c r="F20" s="924"/>
      <c r="G20" s="816"/>
      <c r="H20" s="924"/>
      <c r="I20" s="927"/>
      <c r="J20" s="918"/>
      <c r="K20" s="924"/>
      <c r="L20" s="918"/>
      <c r="M20" s="918"/>
      <c r="N20" s="915"/>
      <c r="O20" s="915"/>
      <c r="P20" s="915"/>
      <c r="Q20" s="915"/>
      <c r="R20" s="915"/>
      <c r="S20" s="915"/>
      <c r="T20" s="915"/>
      <c r="U20" s="915"/>
      <c r="V20" s="915"/>
      <c r="W20" s="915"/>
      <c r="X20" s="918"/>
      <c r="Y20" s="909"/>
    </row>
    <row r="21" spans="1:25">
      <c r="A21" s="828"/>
      <c r="B21" s="827"/>
      <c r="C21" s="827"/>
      <c r="D21" s="973"/>
      <c r="E21" s="821"/>
      <c r="F21" s="925"/>
      <c r="G21" s="817"/>
      <c r="H21" s="925"/>
      <c r="I21" s="928"/>
      <c r="J21" s="919"/>
      <c r="K21" s="925"/>
      <c r="L21" s="919"/>
      <c r="M21" s="919"/>
      <c r="N21" s="916"/>
      <c r="O21" s="916"/>
      <c r="P21" s="916"/>
      <c r="Q21" s="916"/>
      <c r="R21" s="916"/>
      <c r="S21" s="916"/>
      <c r="T21" s="916"/>
      <c r="U21" s="916"/>
      <c r="V21" s="916"/>
      <c r="W21" s="916"/>
      <c r="X21" s="919"/>
      <c r="Y21" s="910"/>
    </row>
    <row r="22" spans="1:25" ht="64" customHeight="1">
      <c r="A22" s="826">
        <v>8</v>
      </c>
      <c r="B22" s="827"/>
      <c r="C22" s="827"/>
      <c r="D22" s="973"/>
      <c r="E22" s="820" t="s">
        <v>1406</v>
      </c>
      <c r="F22" s="923" t="s">
        <v>1402</v>
      </c>
      <c r="G22" s="815" t="s">
        <v>1582</v>
      </c>
      <c r="H22" s="923" t="s">
        <v>1396</v>
      </c>
      <c r="I22" s="926">
        <v>46295</v>
      </c>
      <c r="J22" s="917"/>
      <c r="K22" s="923" t="s">
        <v>1398</v>
      </c>
      <c r="L22" s="917"/>
      <c r="M22" s="917"/>
      <c r="N22" s="914">
        <v>46113</v>
      </c>
      <c r="O22" s="914">
        <v>46142</v>
      </c>
      <c r="P22" s="914">
        <v>46132</v>
      </c>
      <c r="Q22" s="914">
        <v>46203</v>
      </c>
      <c r="R22" s="914">
        <v>46204</v>
      </c>
      <c r="S22" s="914">
        <v>46234</v>
      </c>
      <c r="T22" s="914">
        <v>46237</v>
      </c>
      <c r="U22" s="914">
        <v>46265</v>
      </c>
      <c r="V22" s="914">
        <v>46266</v>
      </c>
      <c r="W22" s="914">
        <v>46295</v>
      </c>
      <c r="X22" s="917"/>
      <c r="Y22" s="908" t="s">
        <v>1401</v>
      </c>
    </row>
    <row r="23" spans="1:25">
      <c r="A23" s="827"/>
      <c r="B23" s="827"/>
      <c r="C23" s="827"/>
      <c r="D23" s="973"/>
      <c r="E23" s="825"/>
      <c r="F23" s="924"/>
      <c r="G23" s="816"/>
      <c r="H23" s="924"/>
      <c r="I23" s="927"/>
      <c r="J23" s="918"/>
      <c r="K23" s="924"/>
      <c r="L23" s="918"/>
      <c r="M23" s="918"/>
      <c r="N23" s="915"/>
      <c r="O23" s="915"/>
      <c r="P23" s="915"/>
      <c r="Q23" s="915"/>
      <c r="R23" s="915"/>
      <c r="S23" s="915"/>
      <c r="T23" s="915"/>
      <c r="U23" s="915"/>
      <c r="V23" s="915"/>
      <c r="W23" s="915"/>
      <c r="X23" s="918"/>
      <c r="Y23" s="909"/>
    </row>
    <row r="24" spans="1:25">
      <c r="A24" s="827"/>
      <c r="B24" s="827"/>
      <c r="C24" s="827"/>
      <c r="D24" s="973"/>
      <c r="E24" s="825"/>
      <c r="F24" s="924"/>
      <c r="G24" s="816"/>
      <c r="H24" s="924"/>
      <c r="I24" s="927"/>
      <c r="J24" s="918"/>
      <c r="K24" s="924"/>
      <c r="L24" s="918"/>
      <c r="M24" s="918"/>
      <c r="N24" s="915"/>
      <c r="O24" s="915"/>
      <c r="P24" s="915"/>
      <c r="Q24" s="915"/>
      <c r="R24" s="915"/>
      <c r="S24" s="915"/>
      <c r="T24" s="915"/>
      <c r="U24" s="915"/>
      <c r="V24" s="915"/>
      <c r="W24" s="915"/>
      <c r="X24" s="918"/>
      <c r="Y24" s="909"/>
    </row>
    <row r="25" spans="1:25">
      <c r="A25" s="828"/>
      <c r="B25" s="827"/>
      <c r="C25" s="827"/>
      <c r="D25" s="973"/>
      <c r="E25" s="821"/>
      <c r="F25" s="925"/>
      <c r="G25" s="817"/>
      <c r="H25" s="925"/>
      <c r="I25" s="928"/>
      <c r="J25" s="919"/>
      <c r="K25" s="925"/>
      <c r="L25" s="919"/>
      <c r="M25" s="919"/>
      <c r="N25" s="916"/>
      <c r="O25" s="916"/>
      <c r="P25" s="916"/>
      <c r="Q25" s="916"/>
      <c r="R25" s="916"/>
      <c r="S25" s="916"/>
      <c r="T25" s="916"/>
      <c r="U25" s="916"/>
      <c r="V25" s="916"/>
      <c r="W25" s="916"/>
      <c r="X25" s="919"/>
      <c r="Y25" s="910"/>
    </row>
    <row r="26" spans="1:25" ht="58" customHeight="1">
      <c r="A26" s="826">
        <v>9</v>
      </c>
      <c r="B26" s="827"/>
      <c r="C26" s="827"/>
      <c r="D26" s="973"/>
      <c r="E26" s="920" t="s">
        <v>1407</v>
      </c>
      <c r="F26" s="923" t="s">
        <v>1402</v>
      </c>
      <c r="G26" s="815" t="s">
        <v>1582</v>
      </c>
      <c r="H26" s="923" t="s">
        <v>1396</v>
      </c>
      <c r="I26" s="926">
        <v>46295</v>
      </c>
      <c r="J26" s="917"/>
      <c r="K26" s="923" t="s">
        <v>1398</v>
      </c>
      <c r="L26" s="917"/>
      <c r="M26" s="917"/>
      <c r="N26" s="914">
        <v>46113</v>
      </c>
      <c r="O26" s="914">
        <v>46142</v>
      </c>
      <c r="P26" s="914">
        <v>46132</v>
      </c>
      <c r="Q26" s="914">
        <v>46203</v>
      </c>
      <c r="R26" s="914">
        <v>46204</v>
      </c>
      <c r="S26" s="914">
        <v>46234</v>
      </c>
      <c r="T26" s="914">
        <v>46237</v>
      </c>
      <c r="U26" s="914">
        <v>46265</v>
      </c>
      <c r="V26" s="914">
        <v>46266</v>
      </c>
      <c r="W26" s="914">
        <v>46295</v>
      </c>
      <c r="X26" s="917"/>
      <c r="Y26" s="908" t="s">
        <v>1401</v>
      </c>
    </row>
    <row r="27" spans="1:25">
      <c r="A27" s="827"/>
      <c r="B27" s="827"/>
      <c r="C27" s="827"/>
      <c r="D27" s="973"/>
      <c r="E27" s="921"/>
      <c r="F27" s="924"/>
      <c r="G27" s="816"/>
      <c r="H27" s="924"/>
      <c r="I27" s="927"/>
      <c r="J27" s="918"/>
      <c r="K27" s="924"/>
      <c r="L27" s="918"/>
      <c r="M27" s="918"/>
      <c r="N27" s="915"/>
      <c r="O27" s="915"/>
      <c r="P27" s="915"/>
      <c r="Q27" s="915"/>
      <c r="R27" s="915"/>
      <c r="S27" s="915"/>
      <c r="T27" s="915"/>
      <c r="U27" s="915"/>
      <c r="V27" s="915"/>
      <c r="W27" s="915"/>
      <c r="X27" s="918"/>
      <c r="Y27" s="909"/>
    </row>
    <row r="28" spans="1:25">
      <c r="A28" s="827"/>
      <c r="B28" s="827"/>
      <c r="C28" s="827"/>
      <c r="D28" s="973"/>
      <c r="E28" s="921"/>
      <c r="F28" s="924"/>
      <c r="G28" s="816"/>
      <c r="H28" s="924"/>
      <c r="I28" s="927"/>
      <c r="J28" s="918"/>
      <c r="K28" s="924"/>
      <c r="L28" s="918"/>
      <c r="M28" s="918"/>
      <c r="N28" s="915"/>
      <c r="O28" s="915"/>
      <c r="P28" s="915"/>
      <c r="Q28" s="915"/>
      <c r="R28" s="915"/>
      <c r="S28" s="915"/>
      <c r="T28" s="915"/>
      <c r="U28" s="915"/>
      <c r="V28" s="915"/>
      <c r="W28" s="915"/>
      <c r="X28" s="918"/>
      <c r="Y28" s="909"/>
    </row>
    <row r="29" spans="1:25">
      <c r="A29" s="828"/>
      <c r="B29" s="828"/>
      <c r="C29" s="828"/>
      <c r="D29" s="974"/>
      <c r="E29" s="922"/>
      <c r="F29" s="925"/>
      <c r="G29" s="817"/>
      <c r="H29" s="925"/>
      <c r="I29" s="928"/>
      <c r="J29" s="919"/>
      <c r="K29" s="925"/>
      <c r="L29" s="919"/>
      <c r="M29" s="919"/>
      <c r="N29" s="916"/>
      <c r="O29" s="916"/>
      <c r="P29" s="916"/>
      <c r="Q29" s="916"/>
      <c r="R29" s="916"/>
      <c r="S29" s="916"/>
      <c r="T29" s="916"/>
      <c r="U29" s="916"/>
      <c r="V29" s="916"/>
      <c r="W29" s="916"/>
      <c r="X29" s="919"/>
      <c r="Y29" s="910"/>
    </row>
    <row r="30" spans="1:25" ht="14.5" customHeight="1">
      <c r="A30" s="911"/>
      <c r="B30" s="912"/>
      <c r="C30" s="912"/>
      <c r="D30" s="912"/>
      <c r="E30" s="912"/>
      <c r="F30" s="912"/>
      <c r="G30" s="912"/>
      <c r="H30" s="912"/>
      <c r="I30" s="912"/>
      <c r="J30" s="912"/>
      <c r="K30" s="912"/>
      <c r="L30" s="912"/>
      <c r="M30" s="912"/>
      <c r="N30" s="912"/>
      <c r="O30" s="912"/>
      <c r="P30" s="912"/>
      <c r="Q30" s="912"/>
      <c r="R30" s="912"/>
      <c r="S30" s="912"/>
      <c r="T30" s="912"/>
      <c r="U30" s="912"/>
      <c r="V30" s="912"/>
      <c r="W30" s="912"/>
      <c r="X30" s="912"/>
      <c r="Y30" s="913"/>
    </row>
    <row r="31" spans="1:25" ht="14.5" customHeight="1">
      <c r="A31" s="829">
        <v>1</v>
      </c>
      <c r="B31" s="829" t="s">
        <v>713</v>
      </c>
      <c r="C31" s="829" t="s">
        <v>310</v>
      </c>
      <c r="D31" s="851" t="s">
        <v>1408</v>
      </c>
      <c r="E31" s="670" t="s">
        <v>1409</v>
      </c>
      <c r="F31" s="671" t="s">
        <v>1410</v>
      </c>
      <c r="G31" s="672" t="s">
        <v>1395</v>
      </c>
      <c r="H31" s="672" t="s">
        <v>1396</v>
      </c>
      <c r="I31" s="673">
        <v>45989</v>
      </c>
      <c r="J31" s="674">
        <v>1</v>
      </c>
      <c r="K31" s="675" t="s">
        <v>1398</v>
      </c>
      <c r="L31" s="676"/>
      <c r="M31" s="676"/>
      <c r="N31" s="677">
        <v>45901</v>
      </c>
      <c r="O31" s="678">
        <v>45912</v>
      </c>
      <c r="P31" s="678">
        <v>45915</v>
      </c>
      <c r="Q31" s="678">
        <v>45954</v>
      </c>
      <c r="R31" s="678">
        <v>45957</v>
      </c>
      <c r="S31" s="678">
        <v>45968</v>
      </c>
      <c r="T31" s="678">
        <v>45971</v>
      </c>
      <c r="U31" s="678">
        <v>45982</v>
      </c>
      <c r="V31" s="678">
        <v>45985</v>
      </c>
      <c r="W31" s="678">
        <v>45989</v>
      </c>
      <c r="X31" s="679" t="s">
        <v>1552</v>
      </c>
      <c r="Y31" s="680" t="s">
        <v>1411</v>
      </c>
    </row>
    <row r="32" spans="1:25" ht="14.5" customHeight="1">
      <c r="A32" s="830"/>
      <c r="B32" s="830"/>
      <c r="C32" s="830"/>
      <c r="D32" s="852"/>
      <c r="E32" s="670" t="s">
        <v>1412</v>
      </c>
      <c r="F32" s="671" t="s">
        <v>1413</v>
      </c>
      <c r="G32" s="672" t="s">
        <v>1395</v>
      </c>
      <c r="H32" s="672" t="s">
        <v>1396</v>
      </c>
      <c r="I32" s="681">
        <v>46003</v>
      </c>
      <c r="J32" s="674">
        <v>1</v>
      </c>
      <c r="K32" s="682" t="s">
        <v>1398</v>
      </c>
      <c r="L32" s="676"/>
      <c r="M32" s="676"/>
      <c r="N32" s="683">
        <v>45915</v>
      </c>
      <c r="O32" s="684">
        <v>45926</v>
      </c>
      <c r="P32" s="684">
        <v>45929</v>
      </c>
      <c r="Q32" s="684">
        <v>45968</v>
      </c>
      <c r="R32" s="684">
        <v>45971</v>
      </c>
      <c r="S32" s="684">
        <v>45982</v>
      </c>
      <c r="T32" s="684">
        <v>45985</v>
      </c>
      <c r="U32" s="684">
        <v>45996</v>
      </c>
      <c r="V32" s="684">
        <v>45999</v>
      </c>
      <c r="W32" s="684">
        <v>46003</v>
      </c>
      <c r="X32" s="685" t="s">
        <v>1553</v>
      </c>
      <c r="Y32" s="686" t="s">
        <v>1411</v>
      </c>
    </row>
    <row r="33" spans="1:25" ht="14.5" customHeight="1">
      <c r="A33" s="830"/>
      <c r="B33" s="830"/>
      <c r="C33" s="830"/>
      <c r="D33" s="852"/>
      <c r="E33" s="687" t="s">
        <v>1414</v>
      </c>
      <c r="F33" s="671" t="s">
        <v>1413</v>
      </c>
      <c r="G33" s="672" t="s">
        <v>1395</v>
      </c>
      <c r="H33" s="672" t="s">
        <v>1396</v>
      </c>
      <c r="I33" s="688">
        <v>46003</v>
      </c>
      <c r="J33" s="689">
        <v>1</v>
      </c>
      <c r="K33" s="682" t="s">
        <v>1398</v>
      </c>
      <c r="L33" s="676"/>
      <c r="M33" s="676"/>
      <c r="N33" s="683">
        <v>45908</v>
      </c>
      <c r="O33" s="684">
        <v>45919</v>
      </c>
      <c r="P33" s="684">
        <v>45922</v>
      </c>
      <c r="Q33" s="684">
        <v>45968</v>
      </c>
      <c r="R33" s="684">
        <v>45971</v>
      </c>
      <c r="S33" s="684">
        <v>45982</v>
      </c>
      <c r="T33" s="684">
        <v>45985</v>
      </c>
      <c r="U33" s="684">
        <v>45996</v>
      </c>
      <c r="V33" s="684">
        <v>45999</v>
      </c>
      <c r="W33" s="684">
        <v>46003</v>
      </c>
      <c r="X33" s="685" t="s">
        <v>1553</v>
      </c>
      <c r="Y33" s="690" t="s">
        <v>1411</v>
      </c>
    </row>
    <row r="34" spans="1:25" ht="14.5" customHeight="1">
      <c r="A34" s="830"/>
      <c r="B34" s="830"/>
      <c r="C34" s="830"/>
      <c r="D34" s="852"/>
      <c r="E34" s="670" t="s">
        <v>1415</v>
      </c>
      <c r="F34" s="671" t="s">
        <v>1413</v>
      </c>
      <c r="G34" s="672" t="s">
        <v>1395</v>
      </c>
      <c r="H34" s="672" t="s">
        <v>1396</v>
      </c>
      <c r="I34" s="691">
        <v>45996</v>
      </c>
      <c r="J34" s="692">
        <v>1</v>
      </c>
      <c r="K34" s="675" t="s">
        <v>1398</v>
      </c>
      <c r="L34" s="676"/>
      <c r="M34" s="676"/>
      <c r="N34" s="683">
        <v>45929</v>
      </c>
      <c r="O34" s="684">
        <v>45940</v>
      </c>
      <c r="P34" s="684">
        <v>45943</v>
      </c>
      <c r="Q34" s="684">
        <v>45989</v>
      </c>
      <c r="R34" s="684">
        <v>45992</v>
      </c>
      <c r="S34" s="684">
        <v>46001</v>
      </c>
      <c r="T34" s="684">
        <v>46002</v>
      </c>
      <c r="U34" s="684">
        <v>46010</v>
      </c>
      <c r="V34" s="684">
        <v>46013</v>
      </c>
      <c r="W34" s="684">
        <v>46022</v>
      </c>
      <c r="X34" s="693" t="s">
        <v>1554</v>
      </c>
      <c r="Y34" s="686" t="s">
        <v>1411</v>
      </c>
    </row>
    <row r="35" spans="1:25" ht="14.5" customHeight="1">
      <c r="A35" s="831"/>
      <c r="B35" s="831"/>
      <c r="C35" s="831"/>
      <c r="D35" s="853"/>
      <c r="E35" s="694" t="s">
        <v>1416</v>
      </c>
      <c r="F35" s="671" t="s">
        <v>1417</v>
      </c>
      <c r="G35" s="672" t="s">
        <v>1395</v>
      </c>
      <c r="H35" s="672" t="s">
        <v>1396</v>
      </c>
      <c r="I35" s="695">
        <v>45989</v>
      </c>
      <c r="J35" s="689">
        <v>1</v>
      </c>
      <c r="K35" s="675" t="s">
        <v>1398</v>
      </c>
      <c r="L35" s="676"/>
      <c r="M35" s="676"/>
      <c r="N35" s="683">
        <v>45915</v>
      </c>
      <c r="O35" s="684">
        <v>45926</v>
      </c>
      <c r="P35" s="684">
        <v>45929</v>
      </c>
      <c r="Q35" s="678">
        <v>45954</v>
      </c>
      <c r="R35" s="678">
        <v>45957</v>
      </c>
      <c r="S35" s="678">
        <v>45968</v>
      </c>
      <c r="T35" s="678">
        <v>45971</v>
      </c>
      <c r="U35" s="678">
        <v>45982</v>
      </c>
      <c r="V35" s="678">
        <v>45985</v>
      </c>
      <c r="W35" s="696">
        <v>45989</v>
      </c>
      <c r="X35" s="679" t="s">
        <v>1555</v>
      </c>
      <c r="Y35" s="697" t="s">
        <v>1411</v>
      </c>
    </row>
    <row r="36" spans="1:25" ht="14.5" customHeight="1">
      <c r="A36" s="813">
        <v>2</v>
      </c>
      <c r="B36" s="813" t="s">
        <v>713</v>
      </c>
      <c r="C36" s="813" t="s">
        <v>310</v>
      </c>
      <c r="D36" s="905" t="s">
        <v>1556</v>
      </c>
      <c r="E36" s="687" t="s">
        <v>1557</v>
      </c>
      <c r="F36" s="863" t="s">
        <v>1418</v>
      </c>
      <c r="G36" s="863" t="s">
        <v>1395</v>
      </c>
      <c r="H36" s="863" t="s">
        <v>1396</v>
      </c>
      <c r="I36" s="897" t="s">
        <v>1419</v>
      </c>
      <c r="J36" s="899">
        <v>1</v>
      </c>
      <c r="K36" s="901" t="s">
        <v>1398</v>
      </c>
      <c r="L36" s="903"/>
      <c r="M36" s="903"/>
      <c r="N36" s="893">
        <v>45901</v>
      </c>
      <c r="O36" s="893">
        <v>45905</v>
      </c>
      <c r="P36" s="893">
        <v>45908</v>
      </c>
      <c r="Q36" s="893">
        <v>45961</v>
      </c>
      <c r="R36" s="893">
        <v>45964</v>
      </c>
      <c r="S36" s="893">
        <v>45975</v>
      </c>
      <c r="T36" s="893">
        <v>45978</v>
      </c>
      <c r="U36" s="893">
        <v>45989</v>
      </c>
      <c r="V36" s="895" t="s">
        <v>1420</v>
      </c>
      <c r="W36" s="895" t="s">
        <v>1419</v>
      </c>
      <c r="X36" s="879" t="s">
        <v>1559</v>
      </c>
      <c r="Y36" s="848" t="s">
        <v>1421</v>
      </c>
    </row>
    <row r="37" spans="1:25" ht="14.5" customHeight="1">
      <c r="A37" s="832"/>
      <c r="B37" s="832"/>
      <c r="C37" s="832"/>
      <c r="D37" s="906"/>
      <c r="E37" s="694" t="s">
        <v>1558</v>
      </c>
      <c r="F37" s="865"/>
      <c r="G37" s="865"/>
      <c r="H37" s="865"/>
      <c r="I37" s="898"/>
      <c r="J37" s="900"/>
      <c r="K37" s="902"/>
      <c r="L37" s="904"/>
      <c r="M37" s="904"/>
      <c r="N37" s="894"/>
      <c r="O37" s="894"/>
      <c r="P37" s="894"/>
      <c r="Q37" s="894"/>
      <c r="R37" s="894"/>
      <c r="S37" s="894"/>
      <c r="T37" s="894"/>
      <c r="U37" s="894"/>
      <c r="V37" s="896"/>
      <c r="W37" s="896"/>
      <c r="X37" s="880"/>
      <c r="Y37" s="849"/>
    </row>
    <row r="38" spans="1:25" ht="14.5" customHeight="1">
      <c r="A38" s="832"/>
      <c r="B38" s="832"/>
      <c r="C38" s="832"/>
      <c r="D38" s="906"/>
      <c r="E38" s="670" t="s">
        <v>1422</v>
      </c>
      <c r="F38" s="705" t="s">
        <v>1418</v>
      </c>
      <c r="G38" s="706" t="s">
        <v>1395</v>
      </c>
      <c r="H38" s="703" t="s">
        <v>1396</v>
      </c>
      <c r="I38" s="707">
        <v>45954</v>
      </c>
      <c r="J38" s="708">
        <v>1</v>
      </c>
      <c r="K38" s="709" t="s">
        <v>1398</v>
      </c>
      <c r="L38" s="710"/>
      <c r="M38" s="710"/>
      <c r="N38" s="683">
        <v>45901</v>
      </c>
      <c r="O38" s="684">
        <v>45905</v>
      </c>
      <c r="P38" s="678">
        <v>45908</v>
      </c>
      <c r="Q38" s="711">
        <v>45936</v>
      </c>
      <c r="R38" s="712">
        <v>45938</v>
      </c>
      <c r="S38" s="712">
        <v>45944</v>
      </c>
      <c r="T38" s="712">
        <v>45944</v>
      </c>
      <c r="U38" s="712">
        <v>45947</v>
      </c>
      <c r="V38" s="712">
        <v>45950</v>
      </c>
      <c r="W38" s="712">
        <v>45954</v>
      </c>
      <c r="X38" s="679" t="s">
        <v>1560</v>
      </c>
      <c r="Y38" s="713" t="s">
        <v>1421</v>
      </c>
    </row>
    <row r="39" spans="1:25" ht="14.5" customHeight="1">
      <c r="A39" s="814"/>
      <c r="B39" s="814"/>
      <c r="C39" s="814"/>
      <c r="D39" s="907"/>
      <c r="E39" s="670" t="s">
        <v>1423</v>
      </c>
      <c r="F39" s="705" t="s">
        <v>1418</v>
      </c>
      <c r="G39" s="706" t="s">
        <v>1395</v>
      </c>
      <c r="H39" s="706" t="s">
        <v>1396</v>
      </c>
      <c r="I39" s="695">
        <v>45996</v>
      </c>
      <c r="J39" s="714">
        <v>1</v>
      </c>
      <c r="K39" s="699" t="s">
        <v>1398</v>
      </c>
      <c r="L39" s="700"/>
      <c r="M39" s="700"/>
      <c r="N39" s="701">
        <v>45901</v>
      </c>
      <c r="O39" s="715">
        <v>45905</v>
      </c>
      <c r="P39" s="696">
        <v>45908</v>
      </c>
      <c r="Q39" s="716">
        <v>45961</v>
      </c>
      <c r="R39" s="678">
        <v>45964</v>
      </c>
      <c r="S39" s="678">
        <v>45975</v>
      </c>
      <c r="T39" s="678">
        <v>45978</v>
      </c>
      <c r="U39" s="678">
        <v>45989</v>
      </c>
      <c r="V39" s="678">
        <v>45992</v>
      </c>
      <c r="W39" s="678">
        <v>45996</v>
      </c>
      <c r="X39" s="685" t="s">
        <v>1561</v>
      </c>
      <c r="Y39" s="713" t="s">
        <v>1421</v>
      </c>
    </row>
    <row r="40" spans="1:25" ht="14.5" customHeight="1">
      <c r="A40" s="813">
        <v>3</v>
      </c>
      <c r="B40" s="813" t="s">
        <v>799</v>
      </c>
      <c r="C40" s="813" t="s">
        <v>803</v>
      </c>
      <c r="D40" s="807" t="s">
        <v>1424</v>
      </c>
      <c r="E40" s="881" t="s">
        <v>1425</v>
      </c>
      <c r="F40" s="863" t="s">
        <v>1418</v>
      </c>
      <c r="G40" s="863" t="s">
        <v>1395</v>
      </c>
      <c r="H40" s="863" t="s">
        <v>1396</v>
      </c>
      <c r="I40" s="883">
        <v>45996</v>
      </c>
      <c r="J40" s="885">
        <v>1</v>
      </c>
      <c r="K40" s="887" t="s">
        <v>1398</v>
      </c>
      <c r="L40" s="889"/>
      <c r="M40" s="889"/>
      <c r="N40" s="891">
        <v>45901</v>
      </c>
      <c r="O40" s="891">
        <v>45912</v>
      </c>
      <c r="P40" s="875">
        <v>45908</v>
      </c>
      <c r="Q40" s="702" t="s">
        <v>1562</v>
      </c>
      <c r="R40" s="702" t="s">
        <v>1564</v>
      </c>
      <c r="S40" s="702" t="s">
        <v>1566</v>
      </c>
      <c r="T40" s="702" t="s">
        <v>1568</v>
      </c>
      <c r="U40" s="877">
        <v>45989</v>
      </c>
      <c r="V40" s="877">
        <v>45992</v>
      </c>
      <c r="W40" s="877">
        <v>45996</v>
      </c>
      <c r="X40" s="879" t="s">
        <v>1569</v>
      </c>
      <c r="Y40" s="848" t="s">
        <v>1421</v>
      </c>
    </row>
    <row r="41" spans="1:25" ht="14.5" customHeight="1">
      <c r="A41" s="814"/>
      <c r="B41" s="814"/>
      <c r="C41" s="814"/>
      <c r="D41" s="808"/>
      <c r="E41" s="882"/>
      <c r="F41" s="865"/>
      <c r="G41" s="865"/>
      <c r="H41" s="865"/>
      <c r="I41" s="884"/>
      <c r="J41" s="886"/>
      <c r="K41" s="888"/>
      <c r="L41" s="890"/>
      <c r="M41" s="890"/>
      <c r="N41" s="892"/>
      <c r="O41" s="892"/>
      <c r="P41" s="876"/>
      <c r="Q41" s="704" t="s">
        <v>1563</v>
      </c>
      <c r="R41" s="704" t="s">
        <v>1565</v>
      </c>
      <c r="S41" s="704" t="s">
        <v>1567</v>
      </c>
      <c r="T41" s="704" t="s">
        <v>1567</v>
      </c>
      <c r="U41" s="878"/>
      <c r="V41" s="878"/>
      <c r="W41" s="878"/>
      <c r="X41" s="880"/>
      <c r="Y41" s="849"/>
    </row>
    <row r="42" spans="1:25" ht="14.5" customHeight="1">
      <c r="A42" s="850"/>
      <c r="B42" s="850"/>
      <c r="C42" s="718"/>
      <c r="D42" s="717"/>
      <c r="E42" s="718"/>
      <c r="F42" s="718"/>
      <c r="G42" s="718"/>
      <c r="H42" s="718"/>
      <c r="I42" s="718"/>
      <c r="J42" s="718"/>
      <c r="K42" s="718"/>
      <c r="L42" s="718"/>
      <c r="M42" s="718"/>
      <c r="N42" s="790"/>
      <c r="O42" s="790"/>
      <c r="P42" s="790"/>
      <c r="Q42" s="790"/>
      <c r="R42" s="790"/>
      <c r="S42" s="790"/>
      <c r="T42" s="790"/>
      <c r="U42" s="790"/>
      <c r="V42" s="718"/>
      <c r="W42" s="718"/>
      <c r="X42" s="718"/>
      <c r="Y42" s="719"/>
    </row>
    <row r="43" spans="1:25" ht="14.5" customHeight="1">
      <c r="A43" s="829">
        <v>1</v>
      </c>
      <c r="B43" s="829" t="s">
        <v>713</v>
      </c>
      <c r="C43" s="829" t="s">
        <v>310</v>
      </c>
      <c r="D43" s="851" t="s">
        <v>1426</v>
      </c>
      <c r="E43" s="854" t="s">
        <v>1427</v>
      </c>
      <c r="F43" s="857" t="s">
        <v>1413</v>
      </c>
      <c r="G43" s="860" t="s">
        <v>1535</v>
      </c>
      <c r="H43" s="863" t="s">
        <v>1396</v>
      </c>
      <c r="I43" s="866">
        <v>46129</v>
      </c>
      <c r="J43" s="869"/>
      <c r="K43" s="872" t="s">
        <v>1398</v>
      </c>
      <c r="L43" s="869"/>
      <c r="M43" s="869"/>
      <c r="N43" s="845">
        <v>45931</v>
      </c>
      <c r="O43" s="845">
        <v>45989</v>
      </c>
      <c r="P43" s="845">
        <v>45992</v>
      </c>
      <c r="Q43" s="845">
        <v>46073</v>
      </c>
      <c r="R43" s="839">
        <v>46076</v>
      </c>
      <c r="S43" s="839">
        <v>46087</v>
      </c>
      <c r="T43" s="839">
        <v>46090</v>
      </c>
      <c r="U43" s="839">
        <v>46114</v>
      </c>
      <c r="V43" s="839">
        <v>46118</v>
      </c>
      <c r="W43" s="839">
        <v>46129</v>
      </c>
      <c r="X43" s="722" t="s">
        <v>1570</v>
      </c>
      <c r="Y43" s="841" t="s">
        <v>1411</v>
      </c>
    </row>
    <row r="44" spans="1:25" ht="14.5" customHeight="1">
      <c r="A44" s="830"/>
      <c r="B44" s="830"/>
      <c r="C44" s="830"/>
      <c r="D44" s="852"/>
      <c r="E44" s="855"/>
      <c r="F44" s="858"/>
      <c r="G44" s="861"/>
      <c r="H44" s="864"/>
      <c r="I44" s="867"/>
      <c r="J44" s="870"/>
      <c r="K44" s="873"/>
      <c r="L44" s="870"/>
      <c r="M44" s="870"/>
      <c r="N44" s="846"/>
      <c r="O44" s="846"/>
      <c r="P44" s="846"/>
      <c r="Q44" s="846"/>
      <c r="R44" s="839"/>
      <c r="S44" s="839"/>
      <c r="T44" s="839"/>
      <c r="U44" s="839"/>
      <c r="V44" s="839"/>
      <c r="W44" s="839"/>
      <c r="X44" s="724" t="s">
        <v>1571</v>
      </c>
      <c r="Y44" s="842"/>
    </row>
    <row r="45" spans="1:25" ht="14.5" customHeight="1">
      <c r="A45" s="830"/>
      <c r="B45" s="830"/>
      <c r="C45" s="830"/>
      <c r="D45" s="852"/>
      <c r="E45" s="855"/>
      <c r="F45" s="858"/>
      <c r="G45" s="861"/>
      <c r="H45" s="864"/>
      <c r="I45" s="867"/>
      <c r="J45" s="870"/>
      <c r="K45" s="873"/>
      <c r="L45" s="870"/>
      <c r="M45" s="870"/>
      <c r="N45" s="846"/>
      <c r="O45" s="846"/>
      <c r="P45" s="846"/>
      <c r="Q45" s="846"/>
      <c r="R45" s="839"/>
      <c r="S45" s="839"/>
      <c r="T45" s="839"/>
      <c r="U45" s="839"/>
      <c r="V45" s="839"/>
      <c r="W45" s="839"/>
      <c r="X45" s="724" t="s">
        <v>1572</v>
      </c>
      <c r="Y45" s="842"/>
    </row>
    <row r="46" spans="1:25" ht="14.5" customHeight="1">
      <c r="A46" s="830"/>
      <c r="B46" s="830"/>
      <c r="C46" s="830"/>
      <c r="D46" s="852"/>
      <c r="E46" s="855"/>
      <c r="F46" s="858"/>
      <c r="G46" s="861"/>
      <c r="H46" s="864"/>
      <c r="I46" s="867"/>
      <c r="J46" s="870"/>
      <c r="K46" s="873"/>
      <c r="L46" s="870"/>
      <c r="M46" s="870"/>
      <c r="N46" s="846"/>
      <c r="O46" s="846"/>
      <c r="P46" s="846"/>
      <c r="Q46" s="846"/>
      <c r="R46" s="839"/>
      <c r="S46" s="839"/>
      <c r="T46" s="839"/>
      <c r="U46" s="839"/>
      <c r="V46" s="839"/>
      <c r="W46" s="839"/>
      <c r="X46" s="724" t="s">
        <v>1573</v>
      </c>
      <c r="Y46" s="842"/>
    </row>
    <row r="47" spans="1:25" ht="14.5" customHeight="1">
      <c r="A47" s="830"/>
      <c r="B47" s="830"/>
      <c r="C47" s="830"/>
      <c r="D47" s="852"/>
      <c r="E47" s="855"/>
      <c r="F47" s="858"/>
      <c r="G47" s="861"/>
      <c r="H47" s="864"/>
      <c r="I47" s="867"/>
      <c r="J47" s="870"/>
      <c r="K47" s="873"/>
      <c r="L47" s="870"/>
      <c r="M47" s="870"/>
      <c r="N47" s="846"/>
      <c r="O47" s="846"/>
      <c r="P47" s="846"/>
      <c r="Q47" s="846"/>
      <c r="R47" s="839"/>
      <c r="S47" s="839"/>
      <c r="T47" s="839"/>
      <c r="U47" s="839"/>
      <c r="V47" s="839"/>
      <c r="W47" s="839"/>
      <c r="X47" s="724" t="s">
        <v>1574</v>
      </c>
      <c r="Y47" s="842"/>
    </row>
    <row r="48" spans="1:25" ht="14.5" customHeight="1">
      <c r="A48" s="830"/>
      <c r="B48" s="830"/>
      <c r="C48" s="830"/>
      <c r="D48" s="852"/>
      <c r="E48" s="856"/>
      <c r="F48" s="859"/>
      <c r="G48" s="862"/>
      <c r="H48" s="865"/>
      <c r="I48" s="868"/>
      <c r="J48" s="871"/>
      <c r="K48" s="874"/>
      <c r="L48" s="871"/>
      <c r="M48" s="871"/>
      <c r="N48" s="847"/>
      <c r="O48" s="847"/>
      <c r="P48" s="847"/>
      <c r="Q48" s="847"/>
      <c r="R48" s="840"/>
      <c r="S48" s="840"/>
      <c r="T48" s="840"/>
      <c r="U48" s="840"/>
      <c r="V48" s="840"/>
      <c r="W48" s="840"/>
      <c r="X48" s="727"/>
      <c r="Y48" s="843"/>
    </row>
    <row r="49" spans="1:25" ht="14.5" customHeight="1">
      <c r="A49" s="830"/>
      <c r="B49" s="830"/>
      <c r="C49" s="830"/>
      <c r="D49" s="852"/>
      <c r="E49" s="728" t="s">
        <v>1429</v>
      </c>
      <c r="F49" s="672" t="s">
        <v>1413</v>
      </c>
      <c r="G49" s="729" t="s">
        <v>1535</v>
      </c>
      <c r="H49" s="706" t="s">
        <v>1396</v>
      </c>
      <c r="I49" s="730">
        <v>46129</v>
      </c>
      <c r="J49" s="731"/>
      <c r="K49" s="725" t="s">
        <v>1398</v>
      </c>
      <c r="L49" s="731"/>
      <c r="M49" s="731"/>
      <c r="N49" s="732">
        <v>46027</v>
      </c>
      <c r="O49" s="733">
        <v>46037</v>
      </c>
      <c r="P49" s="734">
        <v>46041</v>
      </c>
      <c r="Q49" s="734">
        <v>46073</v>
      </c>
      <c r="R49" s="734">
        <v>46076</v>
      </c>
      <c r="S49" s="734">
        <v>46087</v>
      </c>
      <c r="T49" s="734">
        <v>46090</v>
      </c>
      <c r="U49" s="734">
        <v>46114</v>
      </c>
      <c r="V49" s="734">
        <v>46118</v>
      </c>
      <c r="W49" s="734">
        <v>46129</v>
      </c>
      <c r="X49" s="731"/>
      <c r="Y49" s="735" t="s">
        <v>1411</v>
      </c>
    </row>
    <row r="50" spans="1:25" ht="14.5" customHeight="1">
      <c r="A50" s="830"/>
      <c r="B50" s="830"/>
      <c r="C50" s="830"/>
      <c r="D50" s="852"/>
      <c r="E50" s="736" t="s">
        <v>1430</v>
      </c>
      <c r="F50" s="672" t="s">
        <v>1413</v>
      </c>
      <c r="G50" s="729" t="s">
        <v>1535</v>
      </c>
      <c r="H50" s="706" t="s">
        <v>1396</v>
      </c>
      <c r="I50" s="737">
        <v>46122</v>
      </c>
      <c r="J50" s="731"/>
      <c r="K50" s="738" t="s">
        <v>1398</v>
      </c>
      <c r="L50" s="731"/>
      <c r="M50" s="731"/>
      <c r="N50" s="732">
        <v>46006</v>
      </c>
      <c r="O50" s="733">
        <v>46031</v>
      </c>
      <c r="P50" s="733">
        <v>46034</v>
      </c>
      <c r="Q50" s="733">
        <v>46066</v>
      </c>
      <c r="R50" s="733">
        <v>46069</v>
      </c>
      <c r="S50" s="733">
        <v>46080</v>
      </c>
      <c r="T50" s="733">
        <v>46083</v>
      </c>
      <c r="U50" s="733">
        <v>46108</v>
      </c>
      <c r="V50" s="733">
        <v>46111</v>
      </c>
      <c r="W50" s="733">
        <v>46122</v>
      </c>
      <c r="X50" s="731"/>
      <c r="Y50" s="735" t="s">
        <v>1411</v>
      </c>
    </row>
    <row r="51" spans="1:25" ht="14.5" customHeight="1">
      <c r="A51" s="830"/>
      <c r="B51" s="830"/>
      <c r="C51" s="830"/>
      <c r="D51" s="852"/>
      <c r="E51" s="736" t="s">
        <v>1431</v>
      </c>
      <c r="F51" s="672" t="s">
        <v>1413</v>
      </c>
      <c r="G51" s="729" t="s">
        <v>1535</v>
      </c>
      <c r="H51" s="706" t="s">
        <v>1396</v>
      </c>
      <c r="I51" s="737">
        <v>46129</v>
      </c>
      <c r="J51" s="731"/>
      <c r="K51" s="738" t="s">
        <v>1398</v>
      </c>
      <c r="L51" s="731"/>
      <c r="M51" s="731"/>
      <c r="N51" s="732">
        <v>46027</v>
      </c>
      <c r="O51" s="733">
        <v>46037</v>
      </c>
      <c r="P51" s="733">
        <v>46041</v>
      </c>
      <c r="Q51" s="733">
        <v>46073</v>
      </c>
      <c r="R51" s="733">
        <v>46076</v>
      </c>
      <c r="S51" s="733">
        <v>46087</v>
      </c>
      <c r="T51" s="733">
        <v>46090</v>
      </c>
      <c r="U51" s="733">
        <v>46114</v>
      </c>
      <c r="V51" s="733">
        <v>46118</v>
      </c>
      <c r="W51" s="733">
        <v>46129</v>
      </c>
      <c r="X51" s="731"/>
      <c r="Y51" s="735" t="s">
        <v>1411</v>
      </c>
    </row>
    <row r="52" spans="1:25" ht="14.5" customHeight="1">
      <c r="A52" s="831"/>
      <c r="B52" s="831"/>
      <c r="C52" s="831"/>
      <c r="D52" s="853"/>
      <c r="E52" s="739" t="s">
        <v>1432</v>
      </c>
      <c r="F52" s="632" t="s">
        <v>1413</v>
      </c>
      <c r="G52" s="729" t="s">
        <v>1535</v>
      </c>
      <c r="H52" s="698" t="s">
        <v>1396</v>
      </c>
      <c r="I52" s="740">
        <v>46122</v>
      </c>
      <c r="J52" s="720"/>
      <c r="K52" s="738" t="s">
        <v>1398</v>
      </c>
      <c r="L52" s="720"/>
      <c r="M52" s="720"/>
      <c r="N52" s="741">
        <v>46006</v>
      </c>
      <c r="O52" s="742">
        <v>46031</v>
      </c>
      <c r="P52" s="742">
        <v>46034</v>
      </c>
      <c r="Q52" s="742">
        <v>46066</v>
      </c>
      <c r="R52" s="742">
        <v>46069</v>
      </c>
      <c r="S52" s="742">
        <v>46080</v>
      </c>
      <c r="T52" s="742">
        <v>46083</v>
      </c>
      <c r="U52" s="742">
        <v>46108</v>
      </c>
      <c r="V52" s="742">
        <v>46111</v>
      </c>
      <c r="W52" s="742">
        <v>46122</v>
      </c>
      <c r="X52" s="720"/>
      <c r="Y52" s="723" t="s">
        <v>1411</v>
      </c>
    </row>
    <row r="53" spans="1:25" ht="14.5" customHeight="1">
      <c r="A53" s="829">
        <v>2</v>
      </c>
      <c r="B53" s="829" t="s">
        <v>713</v>
      </c>
      <c r="C53" s="829" t="s">
        <v>310</v>
      </c>
      <c r="D53" s="837" t="s">
        <v>1433</v>
      </c>
      <c r="E53" s="743" t="s">
        <v>1434</v>
      </c>
      <c r="F53" s="632" t="s">
        <v>1413</v>
      </c>
      <c r="G53" s="672" t="s">
        <v>1428</v>
      </c>
      <c r="H53" s="698" t="s">
        <v>1396</v>
      </c>
      <c r="I53" s="744">
        <v>46241</v>
      </c>
      <c r="J53" s="731"/>
      <c r="K53" s="738" t="s">
        <v>1398</v>
      </c>
      <c r="L53" s="731"/>
      <c r="M53" s="731"/>
      <c r="N53" s="745">
        <v>46125</v>
      </c>
      <c r="O53" s="746">
        <v>46136</v>
      </c>
      <c r="P53" s="746">
        <v>46139</v>
      </c>
      <c r="Q53" s="746">
        <v>46206</v>
      </c>
      <c r="R53" s="746">
        <v>46209</v>
      </c>
      <c r="S53" s="746">
        <v>46220</v>
      </c>
      <c r="T53" s="746">
        <v>46223</v>
      </c>
      <c r="U53" s="746">
        <v>46234</v>
      </c>
      <c r="V53" s="746">
        <v>46237</v>
      </c>
      <c r="W53" s="746">
        <v>46241</v>
      </c>
      <c r="X53" s="731"/>
      <c r="Y53" s="723" t="s">
        <v>1411</v>
      </c>
    </row>
    <row r="54" spans="1:25" ht="14.5" customHeight="1">
      <c r="A54" s="830"/>
      <c r="B54" s="830"/>
      <c r="C54" s="830"/>
      <c r="D54" s="838"/>
      <c r="E54" s="743" t="s">
        <v>1435</v>
      </c>
      <c r="F54" s="632" t="s">
        <v>1413</v>
      </c>
      <c r="G54" s="672" t="s">
        <v>1428</v>
      </c>
      <c r="H54" s="698" t="s">
        <v>1396</v>
      </c>
      <c r="I54" s="747">
        <v>46290</v>
      </c>
      <c r="J54" s="731"/>
      <c r="K54" s="738" t="s">
        <v>1398</v>
      </c>
      <c r="L54" s="731"/>
      <c r="M54" s="731"/>
      <c r="N54" s="748">
        <v>46153</v>
      </c>
      <c r="O54" s="749">
        <v>46171</v>
      </c>
      <c r="P54" s="749">
        <v>46175</v>
      </c>
      <c r="Q54" s="749">
        <v>46248</v>
      </c>
      <c r="R54" s="749">
        <v>46252</v>
      </c>
      <c r="S54" s="749">
        <v>46262</v>
      </c>
      <c r="T54" s="749">
        <v>46265</v>
      </c>
      <c r="U54" s="749">
        <v>46283</v>
      </c>
      <c r="V54" s="749">
        <v>46286</v>
      </c>
      <c r="W54" s="749">
        <v>46290</v>
      </c>
      <c r="X54" s="731"/>
      <c r="Y54" s="723" t="s">
        <v>1411</v>
      </c>
    </row>
    <row r="55" spans="1:25" ht="14.5" customHeight="1">
      <c r="A55" s="830"/>
      <c r="B55" s="830"/>
      <c r="C55" s="830"/>
      <c r="D55" s="838"/>
      <c r="E55" s="750" t="s">
        <v>1436</v>
      </c>
      <c r="F55" s="632" t="s">
        <v>1413</v>
      </c>
      <c r="G55" s="672" t="s">
        <v>1428</v>
      </c>
      <c r="H55" s="698" t="s">
        <v>1396</v>
      </c>
      <c r="I55" s="747">
        <v>46241</v>
      </c>
      <c r="J55" s="731"/>
      <c r="K55" s="738" t="s">
        <v>1398</v>
      </c>
      <c r="L55" s="731"/>
      <c r="M55" s="731"/>
      <c r="N55" s="748">
        <v>46125</v>
      </c>
      <c r="O55" s="749">
        <v>46136</v>
      </c>
      <c r="P55" s="749">
        <v>46139</v>
      </c>
      <c r="Q55" s="749">
        <v>46206</v>
      </c>
      <c r="R55" s="749">
        <v>46209</v>
      </c>
      <c r="S55" s="749">
        <v>46220</v>
      </c>
      <c r="T55" s="749">
        <v>46223</v>
      </c>
      <c r="U55" s="749">
        <v>46234</v>
      </c>
      <c r="V55" s="749">
        <v>46237</v>
      </c>
      <c r="W55" s="749">
        <v>46241</v>
      </c>
      <c r="X55" s="731"/>
      <c r="Y55" s="723" t="s">
        <v>1411</v>
      </c>
    </row>
    <row r="56" spans="1:25" ht="14.5" customHeight="1">
      <c r="A56" s="830"/>
      <c r="B56" s="830"/>
      <c r="C56" s="830"/>
      <c r="D56" s="838"/>
      <c r="E56" s="750" t="s">
        <v>1437</v>
      </c>
      <c r="F56" s="632" t="s">
        <v>1413</v>
      </c>
      <c r="G56" s="672" t="s">
        <v>1428</v>
      </c>
      <c r="H56" s="698" t="s">
        <v>1396</v>
      </c>
      <c r="I56" s="747">
        <v>46255</v>
      </c>
      <c r="J56" s="731"/>
      <c r="K56" s="738" t="s">
        <v>1398</v>
      </c>
      <c r="L56" s="731"/>
      <c r="M56" s="731"/>
      <c r="N56" s="748">
        <v>46139</v>
      </c>
      <c r="O56" s="749">
        <v>46150</v>
      </c>
      <c r="P56" s="749">
        <v>46153</v>
      </c>
      <c r="Q56" s="749">
        <v>46220</v>
      </c>
      <c r="R56" s="749">
        <v>46223</v>
      </c>
      <c r="S56" s="749">
        <v>46234</v>
      </c>
      <c r="T56" s="749">
        <v>46237</v>
      </c>
      <c r="U56" s="749">
        <v>46248</v>
      </c>
      <c r="V56" s="749">
        <v>46252</v>
      </c>
      <c r="W56" s="749">
        <v>46255</v>
      </c>
      <c r="X56" s="731"/>
      <c r="Y56" s="723" t="s">
        <v>1411</v>
      </c>
    </row>
    <row r="57" spans="1:25" ht="14.5" customHeight="1">
      <c r="A57" s="830"/>
      <c r="B57" s="830"/>
      <c r="C57" s="830"/>
      <c r="D57" s="838"/>
      <c r="E57" s="743" t="s">
        <v>1438</v>
      </c>
      <c r="F57" s="632" t="s">
        <v>1413</v>
      </c>
      <c r="G57" s="672" t="s">
        <v>1428</v>
      </c>
      <c r="H57" s="698" t="s">
        <v>1396</v>
      </c>
      <c r="I57" s="747">
        <v>46290</v>
      </c>
      <c r="J57" s="731"/>
      <c r="K57" s="738" t="s">
        <v>1398</v>
      </c>
      <c r="L57" s="731"/>
      <c r="M57" s="731"/>
      <c r="N57" s="748">
        <v>46153</v>
      </c>
      <c r="O57" s="749">
        <v>46171</v>
      </c>
      <c r="P57" s="749">
        <v>46175</v>
      </c>
      <c r="Q57" s="749">
        <v>46248</v>
      </c>
      <c r="R57" s="749">
        <v>46252</v>
      </c>
      <c r="S57" s="749">
        <v>46262</v>
      </c>
      <c r="T57" s="749">
        <v>46265</v>
      </c>
      <c r="U57" s="749">
        <v>46283</v>
      </c>
      <c r="V57" s="749">
        <v>46286</v>
      </c>
      <c r="W57" s="749">
        <v>46290</v>
      </c>
      <c r="X57" s="731"/>
      <c r="Y57" s="723" t="s">
        <v>1411</v>
      </c>
    </row>
    <row r="58" spans="1:25" ht="14.5" customHeight="1">
      <c r="A58" s="830"/>
      <c r="B58" s="830"/>
      <c r="C58" s="830"/>
      <c r="D58" s="838"/>
      <c r="E58" s="743" t="s">
        <v>1439</v>
      </c>
      <c r="F58" s="632" t="s">
        <v>1413</v>
      </c>
      <c r="G58" s="672" t="s">
        <v>1428</v>
      </c>
      <c r="H58" s="698" t="s">
        <v>1396</v>
      </c>
      <c r="I58" s="747">
        <v>46290</v>
      </c>
      <c r="J58" s="731"/>
      <c r="K58" s="738" t="s">
        <v>1398</v>
      </c>
      <c r="L58" s="731"/>
      <c r="M58" s="731"/>
      <c r="N58" s="748">
        <v>46153</v>
      </c>
      <c r="O58" s="749">
        <v>46171</v>
      </c>
      <c r="P58" s="749">
        <v>46175</v>
      </c>
      <c r="Q58" s="749">
        <v>46248</v>
      </c>
      <c r="R58" s="749">
        <v>46252</v>
      </c>
      <c r="S58" s="749">
        <v>46262</v>
      </c>
      <c r="T58" s="749">
        <v>46265</v>
      </c>
      <c r="U58" s="749">
        <v>46283</v>
      </c>
      <c r="V58" s="749">
        <v>46286</v>
      </c>
      <c r="W58" s="749">
        <v>46290</v>
      </c>
      <c r="X58" s="731"/>
      <c r="Y58" s="723" t="s">
        <v>1411</v>
      </c>
    </row>
    <row r="59" spans="1:25" ht="14.5" customHeight="1">
      <c r="A59" s="830"/>
      <c r="B59" s="830"/>
      <c r="C59" s="830"/>
      <c r="D59" s="838"/>
      <c r="E59" s="743" t="s">
        <v>1440</v>
      </c>
      <c r="F59" s="632" t="s">
        <v>1413</v>
      </c>
      <c r="G59" s="672" t="s">
        <v>1428</v>
      </c>
      <c r="H59" s="698" t="s">
        <v>1396</v>
      </c>
      <c r="I59" s="751">
        <v>46255</v>
      </c>
      <c r="J59" s="731"/>
      <c r="K59" s="738" t="s">
        <v>1398</v>
      </c>
      <c r="L59" s="731"/>
      <c r="M59" s="731"/>
      <c r="N59" s="752">
        <v>46139</v>
      </c>
      <c r="O59" s="753">
        <v>46150</v>
      </c>
      <c r="P59" s="753">
        <v>46153</v>
      </c>
      <c r="Q59" s="753">
        <v>46220</v>
      </c>
      <c r="R59" s="753">
        <v>46223</v>
      </c>
      <c r="S59" s="753">
        <v>46234</v>
      </c>
      <c r="T59" s="753">
        <v>46237</v>
      </c>
      <c r="U59" s="753">
        <v>46248</v>
      </c>
      <c r="V59" s="753">
        <v>46252</v>
      </c>
      <c r="W59" s="753">
        <v>46255</v>
      </c>
      <c r="X59" s="731"/>
      <c r="Y59" s="723" t="s">
        <v>1411</v>
      </c>
    </row>
    <row r="60" spans="1:25" ht="14.5" customHeight="1">
      <c r="A60" s="830"/>
      <c r="B60" s="830"/>
      <c r="C60" s="830"/>
      <c r="D60" s="838"/>
      <c r="E60" s="754" t="s">
        <v>1441</v>
      </c>
      <c r="F60" s="672" t="s">
        <v>1413</v>
      </c>
      <c r="G60" s="672" t="s">
        <v>1428</v>
      </c>
      <c r="H60" s="698" t="s">
        <v>1396</v>
      </c>
      <c r="I60" s="744">
        <v>46269</v>
      </c>
      <c r="J60" s="731"/>
      <c r="K60" s="738" t="s">
        <v>1398</v>
      </c>
      <c r="L60" s="731"/>
      <c r="M60" s="731"/>
      <c r="N60" s="745">
        <v>46146</v>
      </c>
      <c r="O60" s="746">
        <v>46164</v>
      </c>
      <c r="P60" s="746">
        <v>46167</v>
      </c>
      <c r="Q60" s="746">
        <v>46234</v>
      </c>
      <c r="R60" s="746">
        <v>46237</v>
      </c>
      <c r="S60" s="746">
        <v>46248</v>
      </c>
      <c r="T60" s="746">
        <v>46252</v>
      </c>
      <c r="U60" s="746">
        <v>46262</v>
      </c>
      <c r="V60" s="746">
        <v>46265</v>
      </c>
      <c r="W60" s="746">
        <v>46269</v>
      </c>
      <c r="X60" s="731"/>
      <c r="Y60" s="723" t="s">
        <v>1411</v>
      </c>
    </row>
    <row r="61" spans="1:25" ht="14.5" customHeight="1">
      <c r="A61" s="831"/>
      <c r="B61" s="831"/>
      <c r="C61" s="831"/>
      <c r="D61" s="844"/>
      <c r="E61" s="755" t="s">
        <v>1442</v>
      </c>
      <c r="F61" s="633" t="s">
        <v>1413</v>
      </c>
      <c r="G61" s="672" t="s">
        <v>1428</v>
      </c>
      <c r="H61" s="698" t="s">
        <v>1396</v>
      </c>
      <c r="I61" s="751">
        <v>46269</v>
      </c>
      <c r="J61" s="720"/>
      <c r="K61" s="721" t="s">
        <v>1398</v>
      </c>
      <c r="L61" s="720"/>
      <c r="M61" s="720"/>
      <c r="N61" s="752">
        <v>46146</v>
      </c>
      <c r="O61" s="753">
        <v>46164</v>
      </c>
      <c r="P61" s="753">
        <v>46167</v>
      </c>
      <c r="Q61" s="753">
        <v>46234</v>
      </c>
      <c r="R61" s="753">
        <v>46237</v>
      </c>
      <c r="S61" s="753">
        <v>46248</v>
      </c>
      <c r="T61" s="753">
        <v>46252</v>
      </c>
      <c r="U61" s="753">
        <v>46262</v>
      </c>
      <c r="V61" s="753">
        <v>46265</v>
      </c>
      <c r="W61" s="753">
        <v>46269</v>
      </c>
      <c r="X61" s="756"/>
      <c r="Y61" s="723" t="s">
        <v>1411</v>
      </c>
    </row>
    <row r="62" spans="1:25" ht="14.5" customHeight="1">
      <c r="A62" s="829">
        <v>3</v>
      </c>
      <c r="B62" s="829" t="s">
        <v>713</v>
      </c>
      <c r="C62" s="829" t="s">
        <v>310</v>
      </c>
      <c r="D62" s="834" t="s">
        <v>1575</v>
      </c>
      <c r="E62" s="757" t="s">
        <v>1443</v>
      </c>
      <c r="F62" s="758" t="s">
        <v>1418</v>
      </c>
      <c r="G62" s="729" t="s">
        <v>1535</v>
      </c>
      <c r="H62" s="698" t="s">
        <v>1396</v>
      </c>
      <c r="I62" s="759">
        <v>46087</v>
      </c>
      <c r="J62" s="731"/>
      <c r="K62" s="721" t="s">
        <v>1398</v>
      </c>
      <c r="L62" s="731"/>
      <c r="M62" s="760"/>
      <c r="N62" s="761">
        <v>45992</v>
      </c>
      <c r="O62" s="761">
        <v>46003</v>
      </c>
      <c r="P62" s="761">
        <v>45999</v>
      </c>
      <c r="Q62" s="761">
        <v>46052</v>
      </c>
      <c r="R62" s="761">
        <v>46055</v>
      </c>
      <c r="S62" s="761">
        <v>46066</v>
      </c>
      <c r="T62" s="761">
        <v>46069</v>
      </c>
      <c r="U62" s="761">
        <v>46080</v>
      </c>
      <c r="V62" s="761">
        <v>46083</v>
      </c>
      <c r="W62" s="761">
        <v>46087</v>
      </c>
      <c r="X62" s="762"/>
      <c r="Y62" s="763" t="s">
        <v>1421</v>
      </c>
    </row>
    <row r="63" spans="1:25" ht="14.5" customHeight="1">
      <c r="A63" s="830"/>
      <c r="B63" s="830"/>
      <c r="C63" s="830"/>
      <c r="D63" s="835"/>
      <c r="E63" s="764" t="s">
        <v>1444</v>
      </c>
      <c r="F63" s="758" t="s">
        <v>1418</v>
      </c>
      <c r="G63" s="729" t="s">
        <v>1535</v>
      </c>
      <c r="H63" s="698" t="s">
        <v>1396</v>
      </c>
      <c r="I63" s="737">
        <v>46087</v>
      </c>
      <c r="J63" s="731"/>
      <c r="K63" s="721" t="s">
        <v>1398</v>
      </c>
      <c r="L63" s="731"/>
      <c r="M63" s="731"/>
      <c r="N63" s="732">
        <v>46028</v>
      </c>
      <c r="O63" s="733">
        <v>46038</v>
      </c>
      <c r="P63" s="733">
        <v>46028</v>
      </c>
      <c r="Q63" s="733">
        <v>46052</v>
      </c>
      <c r="R63" s="733">
        <v>46055</v>
      </c>
      <c r="S63" s="733">
        <v>46066</v>
      </c>
      <c r="T63" s="733">
        <v>46069</v>
      </c>
      <c r="U63" s="733">
        <v>46080</v>
      </c>
      <c r="V63" s="733">
        <v>46084</v>
      </c>
      <c r="W63" s="733">
        <v>46087</v>
      </c>
      <c r="X63" s="765"/>
      <c r="Y63" s="735" t="s">
        <v>1421</v>
      </c>
    </row>
    <row r="64" spans="1:25" ht="14.5" customHeight="1">
      <c r="A64" s="830"/>
      <c r="B64" s="830"/>
      <c r="C64" s="830"/>
      <c r="D64" s="835"/>
      <c r="E64" s="757" t="s">
        <v>1445</v>
      </c>
      <c r="F64" s="758" t="s">
        <v>1418</v>
      </c>
      <c r="G64" s="729" t="s">
        <v>1535</v>
      </c>
      <c r="H64" s="698" t="s">
        <v>1396</v>
      </c>
      <c r="I64" s="730">
        <v>46122</v>
      </c>
      <c r="J64" s="731"/>
      <c r="K64" s="721" t="s">
        <v>1398</v>
      </c>
      <c r="L64" s="731"/>
      <c r="M64" s="731"/>
      <c r="N64" s="766">
        <v>45931</v>
      </c>
      <c r="O64" s="766">
        <v>45989</v>
      </c>
      <c r="P64" s="767">
        <v>46041</v>
      </c>
      <c r="Q64" s="767">
        <v>46073</v>
      </c>
      <c r="R64" s="726">
        <v>46076</v>
      </c>
      <c r="S64" s="768">
        <v>46087</v>
      </c>
      <c r="T64" s="768">
        <v>46090</v>
      </c>
      <c r="U64" s="767">
        <v>46114</v>
      </c>
      <c r="V64" s="767">
        <v>46118</v>
      </c>
      <c r="W64" s="767">
        <v>46122</v>
      </c>
      <c r="X64" s="769"/>
      <c r="Y64" s="770" t="s">
        <v>1421</v>
      </c>
    </row>
    <row r="65" spans="1:25" ht="14.5" customHeight="1">
      <c r="A65" s="830"/>
      <c r="B65" s="830"/>
      <c r="C65" s="830"/>
      <c r="D65" s="835"/>
      <c r="E65" s="771" t="s">
        <v>1446</v>
      </c>
      <c r="F65" s="758" t="s">
        <v>1418</v>
      </c>
      <c r="G65" s="729" t="s">
        <v>1535</v>
      </c>
      <c r="H65" s="698" t="s">
        <v>1396</v>
      </c>
      <c r="I65" s="730">
        <v>46073</v>
      </c>
      <c r="J65" s="731"/>
      <c r="K65" s="721" t="s">
        <v>1398</v>
      </c>
      <c r="L65" s="731"/>
      <c r="M65" s="731"/>
      <c r="N65" s="761">
        <v>46023</v>
      </c>
      <c r="O65" s="734">
        <v>46031</v>
      </c>
      <c r="P65" s="734">
        <v>46027</v>
      </c>
      <c r="Q65" s="734">
        <v>46052</v>
      </c>
      <c r="R65" s="734">
        <v>46055</v>
      </c>
      <c r="S65" s="734">
        <v>46059</v>
      </c>
      <c r="T65" s="734">
        <v>46062</v>
      </c>
      <c r="U65" s="734">
        <v>46066</v>
      </c>
      <c r="V65" s="734">
        <v>46069</v>
      </c>
      <c r="W65" s="734">
        <v>46073</v>
      </c>
      <c r="X65" s="772"/>
      <c r="Y65" s="735" t="s">
        <v>1421</v>
      </c>
    </row>
    <row r="66" spans="1:25" ht="14.5" customHeight="1">
      <c r="A66" s="830"/>
      <c r="B66" s="830"/>
      <c r="C66" s="830"/>
      <c r="D66" s="835"/>
      <c r="E66" s="771" t="s">
        <v>1447</v>
      </c>
      <c r="F66" s="773" t="s">
        <v>1418</v>
      </c>
      <c r="G66" s="729" t="s">
        <v>1535</v>
      </c>
      <c r="H66" s="706" t="s">
        <v>1396</v>
      </c>
      <c r="I66" s="730">
        <v>46112</v>
      </c>
      <c r="J66" s="760"/>
      <c r="K66" s="738" t="s">
        <v>1398</v>
      </c>
      <c r="L66" s="762"/>
      <c r="M66" s="731"/>
      <c r="N66" s="761">
        <v>46069</v>
      </c>
      <c r="O66" s="734">
        <v>46073</v>
      </c>
      <c r="P66" s="734">
        <v>46076</v>
      </c>
      <c r="Q66" s="734">
        <v>46087</v>
      </c>
      <c r="R66" s="734">
        <v>46090</v>
      </c>
      <c r="S66" s="734">
        <v>46098</v>
      </c>
      <c r="T66" s="734">
        <v>46111</v>
      </c>
      <c r="U66" s="734">
        <v>46122</v>
      </c>
      <c r="V66" s="734">
        <v>46125</v>
      </c>
      <c r="W66" s="734">
        <v>46127</v>
      </c>
      <c r="X66" s="772"/>
      <c r="Y66" s="735" t="s">
        <v>1421</v>
      </c>
    </row>
    <row r="67" spans="1:25" ht="14.5" customHeight="1">
      <c r="A67" s="836"/>
      <c r="B67" s="836"/>
      <c r="C67" s="718"/>
      <c r="D67" s="717"/>
      <c r="E67" s="718"/>
      <c r="F67" s="718"/>
      <c r="G67" s="718"/>
      <c r="H67" s="718"/>
      <c r="I67" s="718"/>
      <c r="J67" s="718"/>
      <c r="K67" s="718"/>
      <c r="L67" s="718"/>
      <c r="M67" s="718"/>
      <c r="N67" s="790"/>
      <c r="O67" s="790"/>
      <c r="P67" s="790"/>
      <c r="Q67" s="790"/>
      <c r="R67" s="790"/>
      <c r="S67" s="790"/>
      <c r="T67" s="790"/>
      <c r="U67" s="790"/>
      <c r="V67" s="718"/>
      <c r="W67" s="718"/>
      <c r="X67" s="718"/>
      <c r="Y67" s="719"/>
    </row>
    <row r="68" spans="1:25" ht="14.5" customHeight="1">
      <c r="A68" s="829">
        <v>1</v>
      </c>
      <c r="B68" s="829" t="s">
        <v>713</v>
      </c>
      <c r="C68" s="829" t="s">
        <v>310</v>
      </c>
      <c r="D68" s="837" t="s">
        <v>1448</v>
      </c>
      <c r="E68" s="743" t="s">
        <v>1449</v>
      </c>
      <c r="F68" s="672" t="s">
        <v>1413</v>
      </c>
      <c r="G68" s="672" t="s">
        <v>203</v>
      </c>
      <c r="H68" s="706" t="s">
        <v>1396</v>
      </c>
      <c r="I68" s="759">
        <v>46535</v>
      </c>
      <c r="J68" s="731"/>
      <c r="K68" s="738" t="s">
        <v>1398</v>
      </c>
      <c r="L68" s="731"/>
      <c r="M68" s="760"/>
      <c r="N68" s="761">
        <v>46300</v>
      </c>
      <c r="O68" s="761">
        <v>46325</v>
      </c>
      <c r="P68" s="761">
        <v>46328</v>
      </c>
      <c r="Q68" s="761">
        <v>46444</v>
      </c>
      <c r="R68" s="761">
        <v>46447</v>
      </c>
      <c r="S68" s="761">
        <v>46479</v>
      </c>
      <c r="T68" s="761">
        <v>46482</v>
      </c>
      <c r="U68" s="761">
        <v>46507</v>
      </c>
      <c r="V68" s="761">
        <v>46510</v>
      </c>
      <c r="W68" s="761">
        <v>46535</v>
      </c>
      <c r="X68" s="731"/>
      <c r="Y68" s="735" t="s">
        <v>1411</v>
      </c>
    </row>
    <row r="69" spans="1:25" ht="14.5" customHeight="1">
      <c r="A69" s="830"/>
      <c r="B69" s="830"/>
      <c r="C69" s="830"/>
      <c r="D69" s="838"/>
      <c r="E69" s="743" t="s">
        <v>1450</v>
      </c>
      <c r="F69" s="672" t="s">
        <v>1413</v>
      </c>
      <c r="G69" s="672" t="s">
        <v>203</v>
      </c>
      <c r="H69" s="706" t="s">
        <v>1396</v>
      </c>
      <c r="I69" s="759">
        <v>46535</v>
      </c>
      <c r="J69" s="731"/>
      <c r="K69" s="738" t="s">
        <v>1398</v>
      </c>
      <c r="L69" s="731"/>
      <c r="M69" s="760"/>
      <c r="N69" s="761">
        <v>46300</v>
      </c>
      <c r="O69" s="761">
        <v>46325</v>
      </c>
      <c r="P69" s="761">
        <v>46328</v>
      </c>
      <c r="Q69" s="761">
        <v>46444</v>
      </c>
      <c r="R69" s="761">
        <v>46447</v>
      </c>
      <c r="S69" s="761">
        <v>46479</v>
      </c>
      <c r="T69" s="761">
        <v>46482</v>
      </c>
      <c r="U69" s="761">
        <v>46507</v>
      </c>
      <c r="V69" s="761">
        <v>46510</v>
      </c>
      <c r="W69" s="761">
        <v>46535</v>
      </c>
      <c r="X69" s="731"/>
      <c r="Y69" s="735" t="s">
        <v>1411</v>
      </c>
    </row>
    <row r="70" spans="1:25" ht="14.5" customHeight="1">
      <c r="A70" s="830"/>
      <c r="B70" s="830"/>
      <c r="C70" s="830"/>
      <c r="D70" s="838"/>
      <c r="E70" s="743" t="s">
        <v>1451</v>
      </c>
      <c r="F70" s="672" t="s">
        <v>1413</v>
      </c>
      <c r="G70" s="672" t="s">
        <v>203</v>
      </c>
      <c r="H70" s="706" t="s">
        <v>1396</v>
      </c>
      <c r="I70" s="759">
        <v>46535</v>
      </c>
      <c r="J70" s="731"/>
      <c r="K70" s="738" t="s">
        <v>1398</v>
      </c>
      <c r="L70" s="731"/>
      <c r="M70" s="760"/>
      <c r="N70" s="761">
        <v>46300</v>
      </c>
      <c r="O70" s="761">
        <v>46325</v>
      </c>
      <c r="P70" s="761">
        <v>46328</v>
      </c>
      <c r="Q70" s="761">
        <v>46444</v>
      </c>
      <c r="R70" s="761">
        <v>46447</v>
      </c>
      <c r="S70" s="761">
        <v>46479</v>
      </c>
      <c r="T70" s="761">
        <v>46482</v>
      </c>
      <c r="U70" s="761">
        <v>46507</v>
      </c>
      <c r="V70" s="761">
        <v>46510</v>
      </c>
      <c r="W70" s="761">
        <v>46535</v>
      </c>
      <c r="X70" s="731"/>
      <c r="Y70" s="735" t="s">
        <v>1411</v>
      </c>
    </row>
    <row r="71" spans="1:25" ht="14.5" customHeight="1">
      <c r="A71" s="830"/>
      <c r="B71" s="830"/>
      <c r="C71" s="830"/>
      <c r="D71" s="838"/>
      <c r="E71" s="743" t="s">
        <v>1452</v>
      </c>
      <c r="F71" s="672" t="s">
        <v>1413</v>
      </c>
      <c r="G71" s="672" t="s">
        <v>203</v>
      </c>
      <c r="H71" s="706" t="s">
        <v>1396</v>
      </c>
      <c r="I71" s="759">
        <v>46535</v>
      </c>
      <c r="J71" s="731"/>
      <c r="K71" s="738" t="s">
        <v>1398</v>
      </c>
      <c r="L71" s="731"/>
      <c r="M71" s="760"/>
      <c r="N71" s="761">
        <v>46300</v>
      </c>
      <c r="O71" s="761">
        <v>46325</v>
      </c>
      <c r="P71" s="761">
        <v>46328</v>
      </c>
      <c r="Q71" s="761">
        <v>46444</v>
      </c>
      <c r="R71" s="761">
        <v>46447</v>
      </c>
      <c r="S71" s="761">
        <v>46479</v>
      </c>
      <c r="T71" s="761">
        <v>46482</v>
      </c>
      <c r="U71" s="761">
        <v>46507</v>
      </c>
      <c r="V71" s="761">
        <v>46510</v>
      </c>
      <c r="W71" s="761">
        <v>46535</v>
      </c>
      <c r="X71" s="731"/>
      <c r="Y71" s="735" t="s">
        <v>1411</v>
      </c>
    </row>
    <row r="72" spans="1:25" ht="14.5" customHeight="1">
      <c r="A72" s="830"/>
      <c r="B72" s="830"/>
      <c r="C72" s="830"/>
      <c r="D72" s="838"/>
      <c r="E72" s="743" t="s">
        <v>1453</v>
      </c>
      <c r="F72" s="672" t="s">
        <v>1413</v>
      </c>
      <c r="G72" s="672" t="s">
        <v>203</v>
      </c>
      <c r="H72" s="706" t="s">
        <v>1396</v>
      </c>
      <c r="I72" s="759">
        <v>46535</v>
      </c>
      <c r="J72" s="731"/>
      <c r="K72" s="738" t="s">
        <v>1398</v>
      </c>
      <c r="L72" s="731"/>
      <c r="M72" s="760"/>
      <c r="N72" s="761">
        <v>46300</v>
      </c>
      <c r="O72" s="761">
        <v>46325</v>
      </c>
      <c r="P72" s="761">
        <v>46328</v>
      </c>
      <c r="Q72" s="761">
        <v>46444</v>
      </c>
      <c r="R72" s="761">
        <v>46447</v>
      </c>
      <c r="S72" s="761">
        <v>46479</v>
      </c>
      <c r="T72" s="761">
        <v>46482</v>
      </c>
      <c r="U72" s="761">
        <v>46507</v>
      </c>
      <c r="V72" s="761">
        <v>46510</v>
      </c>
      <c r="W72" s="761">
        <v>46535</v>
      </c>
      <c r="X72" s="731"/>
      <c r="Y72" s="735" t="s">
        <v>1411</v>
      </c>
    </row>
    <row r="73" spans="1:25" ht="14.5" customHeight="1">
      <c r="A73" s="830"/>
      <c r="B73" s="830"/>
      <c r="C73" s="830"/>
      <c r="D73" s="838"/>
      <c r="E73" s="743" t="s">
        <v>1454</v>
      </c>
      <c r="F73" s="672" t="s">
        <v>1413</v>
      </c>
      <c r="G73" s="672" t="s">
        <v>203</v>
      </c>
      <c r="H73" s="706" t="s">
        <v>1396</v>
      </c>
      <c r="I73" s="759">
        <v>46535</v>
      </c>
      <c r="J73" s="731"/>
      <c r="K73" s="738" t="s">
        <v>1398</v>
      </c>
      <c r="L73" s="731"/>
      <c r="M73" s="760"/>
      <c r="N73" s="761">
        <v>46300</v>
      </c>
      <c r="O73" s="761">
        <v>46325</v>
      </c>
      <c r="P73" s="761">
        <v>46328</v>
      </c>
      <c r="Q73" s="761">
        <v>46444</v>
      </c>
      <c r="R73" s="761">
        <v>46447</v>
      </c>
      <c r="S73" s="761">
        <v>46479</v>
      </c>
      <c r="T73" s="761">
        <v>46482</v>
      </c>
      <c r="U73" s="761">
        <v>46507</v>
      </c>
      <c r="V73" s="761">
        <v>46510</v>
      </c>
      <c r="W73" s="761">
        <v>46535</v>
      </c>
      <c r="X73" s="731"/>
      <c r="Y73" s="735" t="s">
        <v>1411</v>
      </c>
    </row>
    <row r="74" spans="1:25" ht="14.5" customHeight="1">
      <c r="A74" s="830"/>
      <c r="B74" s="830"/>
      <c r="C74" s="830"/>
      <c r="D74" s="838"/>
      <c r="E74" s="743" t="s">
        <v>1455</v>
      </c>
      <c r="F74" s="672" t="s">
        <v>1413</v>
      </c>
      <c r="G74" s="672" t="s">
        <v>203</v>
      </c>
      <c r="H74" s="706" t="s">
        <v>1396</v>
      </c>
      <c r="I74" s="759">
        <v>46535</v>
      </c>
      <c r="J74" s="731"/>
      <c r="K74" s="738" t="s">
        <v>1398</v>
      </c>
      <c r="L74" s="731"/>
      <c r="M74" s="760"/>
      <c r="N74" s="761">
        <v>46300</v>
      </c>
      <c r="O74" s="761">
        <v>46325</v>
      </c>
      <c r="P74" s="761">
        <v>46328</v>
      </c>
      <c r="Q74" s="761">
        <v>46444</v>
      </c>
      <c r="R74" s="761">
        <v>46447</v>
      </c>
      <c r="S74" s="761">
        <v>46479</v>
      </c>
      <c r="T74" s="761">
        <v>46482</v>
      </c>
      <c r="U74" s="761">
        <v>46507</v>
      </c>
      <c r="V74" s="761">
        <v>46510</v>
      </c>
      <c r="W74" s="761">
        <v>46535</v>
      </c>
      <c r="X74" s="731"/>
      <c r="Y74" s="735" t="s">
        <v>1411</v>
      </c>
    </row>
    <row r="75" spans="1:25" ht="14.5" customHeight="1">
      <c r="A75" s="830"/>
      <c r="B75" s="830"/>
      <c r="C75" s="830"/>
      <c r="D75" s="838"/>
      <c r="E75" s="743" t="s">
        <v>1456</v>
      </c>
      <c r="F75" s="672" t="s">
        <v>1413</v>
      </c>
      <c r="G75" s="672" t="s">
        <v>203</v>
      </c>
      <c r="H75" s="706" t="s">
        <v>1396</v>
      </c>
      <c r="I75" s="759">
        <v>46535</v>
      </c>
      <c r="J75" s="731"/>
      <c r="K75" s="738" t="s">
        <v>1398</v>
      </c>
      <c r="L75" s="731"/>
      <c r="M75" s="760"/>
      <c r="N75" s="761">
        <v>46300</v>
      </c>
      <c r="O75" s="761">
        <v>46325</v>
      </c>
      <c r="P75" s="761">
        <v>46328</v>
      </c>
      <c r="Q75" s="761">
        <v>46444</v>
      </c>
      <c r="R75" s="761">
        <v>46447</v>
      </c>
      <c r="S75" s="761">
        <v>46479</v>
      </c>
      <c r="T75" s="761">
        <v>46482</v>
      </c>
      <c r="U75" s="761">
        <v>46507</v>
      </c>
      <c r="V75" s="761">
        <v>46510</v>
      </c>
      <c r="W75" s="761">
        <v>46535</v>
      </c>
      <c r="X75" s="731"/>
      <c r="Y75" s="735" t="s">
        <v>1411</v>
      </c>
    </row>
    <row r="76" spans="1:25" ht="14.5" customHeight="1">
      <c r="A76" s="830"/>
      <c r="B76" s="830"/>
      <c r="C76" s="833"/>
      <c r="D76" s="838"/>
      <c r="E76" s="774" t="s">
        <v>1457</v>
      </c>
      <c r="F76" s="632" t="s">
        <v>1413</v>
      </c>
      <c r="G76" s="672" t="s">
        <v>203</v>
      </c>
      <c r="H76" s="698" t="s">
        <v>1396</v>
      </c>
      <c r="I76" s="775">
        <v>46387</v>
      </c>
      <c r="J76" s="720"/>
      <c r="K76" s="721" t="s">
        <v>1398</v>
      </c>
      <c r="L76" s="720"/>
      <c r="M76" s="756"/>
      <c r="N76" s="776">
        <v>46143</v>
      </c>
      <c r="O76" s="776">
        <v>46171</v>
      </c>
      <c r="P76" s="776">
        <v>46174</v>
      </c>
      <c r="Q76" s="776">
        <v>46295</v>
      </c>
      <c r="R76" s="776">
        <v>46296</v>
      </c>
      <c r="S76" s="776">
        <v>46325</v>
      </c>
      <c r="T76" s="776">
        <v>46328</v>
      </c>
      <c r="U76" s="776">
        <v>46356</v>
      </c>
      <c r="V76" s="776">
        <v>46357</v>
      </c>
      <c r="W76" s="776">
        <v>46387</v>
      </c>
      <c r="X76" s="720"/>
      <c r="Y76" s="723" t="s">
        <v>1411</v>
      </c>
    </row>
    <row r="77" spans="1:25" ht="14.5" customHeight="1">
      <c r="A77" s="818">
        <v>2</v>
      </c>
      <c r="B77" s="818" t="s">
        <v>713</v>
      </c>
      <c r="C77" s="809" t="s">
        <v>310</v>
      </c>
      <c r="D77" s="819" t="s">
        <v>1576</v>
      </c>
      <c r="E77" s="777" t="s">
        <v>1458</v>
      </c>
      <c r="F77" s="773" t="s">
        <v>1418</v>
      </c>
      <c r="G77" s="672" t="s">
        <v>203</v>
      </c>
      <c r="H77" s="698" t="s">
        <v>1396</v>
      </c>
      <c r="I77" s="744">
        <v>46213</v>
      </c>
      <c r="J77" s="731"/>
      <c r="K77" s="721" t="s">
        <v>1398</v>
      </c>
      <c r="L77" s="731"/>
      <c r="M77" s="731"/>
      <c r="N77" s="745">
        <v>46113</v>
      </c>
      <c r="O77" s="746">
        <v>46129</v>
      </c>
      <c r="P77" s="746">
        <v>46125</v>
      </c>
      <c r="Q77" s="746">
        <v>46178</v>
      </c>
      <c r="R77" s="746">
        <v>46181</v>
      </c>
      <c r="S77" s="746">
        <v>46192</v>
      </c>
      <c r="T77" s="746">
        <v>46195</v>
      </c>
      <c r="U77" s="746">
        <v>46206</v>
      </c>
      <c r="V77" s="746">
        <v>46209</v>
      </c>
      <c r="W77" s="746">
        <v>46213</v>
      </c>
      <c r="X77" s="731"/>
      <c r="Y77" s="735" t="s">
        <v>1421</v>
      </c>
    </row>
    <row r="78" spans="1:25" ht="14.5" customHeight="1">
      <c r="A78" s="818"/>
      <c r="B78" s="818"/>
      <c r="C78" s="810"/>
      <c r="D78" s="819"/>
      <c r="E78" s="778" t="s">
        <v>1459</v>
      </c>
      <c r="F78" s="773" t="s">
        <v>1418</v>
      </c>
      <c r="G78" s="672" t="s">
        <v>203</v>
      </c>
      <c r="H78" s="698" t="s">
        <v>1396</v>
      </c>
      <c r="I78" s="747">
        <v>46157</v>
      </c>
      <c r="J78" s="731"/>
      <c r="K78" s="721" t="s">
        <v>1398</v>
      </c>
      <c r="L78" s="731"/>
      <c r="M78" s="731"/>
      <c r="N78" s="748">
        <v>46113</v>
      </c>
      <c r="O78" s="749">
        <v>46122</v>
      </c>
      <c r="P78" s="749">
        <v>46125</v>
      </c>
      <c r="Q78" s="749">
        <v>46136</v>
      </c>
      <c r="R78" s="749">
        <v>46139</v>
      </c>
      <c r="S78" s="749">
        <v>46142</v>
      </c>
      <c r="T78" s="749">
        <v>46146</v>
      </c>
      <c r="U78" s="749">
        <v>46150</v>
      </c>
      <c r="V78" s="749">
        <v>46153</v>
      </c>
      <c r="W78" s="749">
        <v>46157</v>
      </c>
      <c r="X78" s="731"/>
      <c r="Y78" s="735" t="s">
        <v>1421</v>
      </c>
    </row>
    <row r="79" spans="1:25" ht="14.5" customHeight="1">
      <c r="A79" s="818"/>
      <c r="B79" s="818"/>
      <c r="C79" s="810"/>
      <c r="D79" s="819"/>
      <c r="E79" s="777" t="s">
        <v>1460</v>
      </c>
      <c r="F79" s="773" t="s">
        <v>1418</v>
      </c>
      <c r="G79" s="672" t="s">
        <v>203</v>
      </c>
      <c r="H79" s="698" t="s">
        <v>1396</v>
      </c>
      <c r="I79" s="747">
        <v>46234</v>
      </c>
      <c r="J79" s="731"/>
      <c r="K79" s="721" t="s">
        <v>1398</v>
      </c>
      <c r="L79" s="731"/>
      <c r="M79" s="731"/>
      <c r="N79" s="748">
        <v>46167</v>
      </c>
      <c r="O79" s="749">
        <v>46178</v>
      </c>
      <c r="P79" s="749">
        <v>46175</v>
      </c>
      <c r="Q79" s="749">
        <v>46199</v>
      </c>
      <c r="R79" s="749">
        <v>46202</v>
      </c>
      <c r="S79" s="749">
        <v>46213</v>
      </c>
      <c r="T79" s="749">
        <v>46216</v>
      </c>
      <c r="U79" s="749">
        <v>46227</v>
      </c>
      <c r="V79" s="749">
        <v>46230</v>
      </c>
      <c r="W79" s="749">
        <v>46234</v>
      </c>
      <c r="X79" s="731"/>
      <c r="Y79" s="735" t="s">
        <v>1421</v>
      </c>
    </row>
    <row r="80" spans="1:25" ht="14.5" customHeight="1">
      <c r="A80" s="818"/>
      <c r="B80" s="818"/>
      <c r="C80" s="810"/>
      <c r="D80" s="819"/>
      <c r="E80" s="777" t="s">
        <v>1461</v>
      </c>
      <c r="F80" s="773" t="s">
        <v>1418</v>
      </c>
      <c r="G80" s="672" t="s">
        <v>203</v>
      </c>
      <c r="H80" s="698" t="s">
        <v>1396</v>
      </c>
      <c r="I80" s="747">
        <v>46265</v>
      </c>
      <c r="J80" s="731"/>
      <c r="K80" s="721" t="s">
        <v>1398</v>
      </c>
      <c r="L80" s="731"/>
      <c r="M80" s="731"/>
      <c r="N80" s="748">
        <v>46188</v>
      </c>
      <c r="O80" s="749">
        <v>46199</v>
      </c>
      <c r="P80" s="749">
        <v>45830</v>
      </c>
      <c r="Q80" s="749">
        <v>46227</v>
      </c>
      <c r="R80" s="749">
        <v>46230</v>
      </c>
      <c r="S80" s="749">
        <v>46241</v>
      </c>
      <c r="T80" s="749">
        <v>46244</v>
      </c>
      <c r="U80" s="749">
        <v>46255</v>
      </c>
      <c r="V80" s="749">
        <v>46258</v>
      </c>
      <c r="W80" s="749">
        <v>46265</v>
      </c>
      <c r="X80" s="731"/>
      <c r="Y80" s="735" t="s">
        <v>1421</v>
      </c>
    </row>
    <row r="81" spans="1:25" ht="14.5" customHeight="1">
      <c r="A81" s="818"/>
      <c r="B81" s="818"/>
      <c r="C81" s="810"/>
      <c r="D81" s="819"/>
      <c r="E81" s="777" t="s">
        <v>1462</v>
      </c>
      <c r="F81" s="773" t="s">
        <v>1418</v>
      </c>
      <c r="G81" s="672" t="s">
        <v>203</v>
      </c>
      <c r="H81" s="698" t="s">
        <v>1396</v>
      </c>
      <c r="I81" s="747">
        <v>46171</v>
      </c>
      <c r="J81" s="731"/>
      <c r="K81" s="721" t="s">
        <v>1398</v>
      </c>
      <c r="L81" s="731"/>
      <c r="M81" s="731"/>
      <c r="N81" s="748">
        <v>46118</v>
      </c>
      <c r="O81" s="749">
        <v>46129</v>
      </c>
      <c r="P81" s="749">
        <v>46125</v>
      </c>
      <c r="Q81" s="749">
        <v>46150</v>
      </c>
      <c r="R81" s="749">
        <v>46153</v>
      </c>
      <c r="S81" s="749">
        <v>46157</v>
      </c>
      <c r="T81" s="749">
        <v>46160</v>
      </c>
      <c r="U81" s="749">
        <v>46164</v>
      </c>
      <c r="V81" s="749">
        <v>46167</v>
      </c>
      <c r="W81" s="749">
        <v>46171</v>
      </c>
      <c r="X81" s="731"/>
      <c r="Y81" s="735" t="s">
        <v>1421</v>
      </c>
    </row>
    <row r="82" spans="1:25" ht="14.5" customHeight="1">
      <c r="A82" s="818"/>
      <c r="B82" s="818"/>
      <c r="C82" s="810"/>
      <c r="D82" s="819"/>
      <c r="E82" s="777" t="s">
        <v>1463</v>
      </c>
      <c r="F82" s="773" t="s">
        <v>1418</v>
      </c>
      <c r="G82" s="672" t="s">
        <v>203</v>
      </c>
      <c r="H82" s="698" t="s">
        <v>1396</v>
      </c>
      <c r="I82" s="747">
        <v>46164</v>
      </c>
      <c r="J82" s="731"/>
      <c r="K82" s="721" t="s">
        <v>1398</v>
      </c>
      <c r="L82" s="731"/>
      <c r="M82" s="731"/>
      <c r="N82" s="748">
        <v>46113</v>
      </c>
      <c r="O82" s="749">
        <v>46122</v>
      </c>
      <c r="P82" s="749">
        <v>46118</v>
      </c>
      <c r="Q82" s="749">
        <v>46143</v>
      </c>
      <c r="R82" s="749">
        <v>46146</v>
      </c>
      <c r="S82" s="749">
        <v>46150</v>
      </c>
      <c r="T82" s="749">
        <v>46153</v>
      </c>
      <c r="U82" s="749">
        <v>46157</v>
      </c>
      <c r="V82" s="749">
        <v>46160</v>
      </c>
      <c r="W82" s="749">
        <v>46164</v>
      </c>
      <c r="X82" s="731"/>
      <c r="Y82" s="735" t="s">
        <v>1421</v>
      </c>
    </row>
    <row r="83" spans="1:25" ht="14.5" customHeight="1">
      <c r="A83" s="818"/>
      <c r="B83" s="818"/>
      <c r="C83" s="810"/>
      <c r="D83" s="819"/>
      <c r="E83" s="777" t="s">
        <v>1464</v>
      </c>
      <c r="F83" s="773" t="s">
        <v>1418</v>
      </c>
      <c r="G83" s="672" t="s">
        <v>203</v>
      </c>
      <c r="H83" s="698" t="s">
        <v>1396</v>
      </c>
      <c r="I83" s="747">
        <v>46192</v>
      </c>
      <c r="J83" s="731"/>
      <c r="K83" s="721" t="s">
        <v>1398</v>
      </c>
      <c r="L83" s="731"/>
      <c r="M83" s="731"/>
      <c r="N83" s="748">
        <v>46146</v>
      </c>
      <c r="O83" s="749">
        <v>46150</v>
      </c>
      <c r="P83" s="749">
        <v>46153</v>
      </c>
      <c r="Q83" s="749">
        <v>46171</v>
      </c>
      <c r="R83" s="749">
        <v>46175</v>
      </c>
      <c r="S83" s="749">
        <v>46178</v>
      </c>
      <c r="T83" s="749">
        <v>46181</v>
      </c>
      <c r="U83" s="749">
        <v>46185</v>
      </c>
      <c r="V83" s="749">
        <v>46188</v>
      </c>
      <c r="W83" s="749">
        <v>46192</v>
      </c>
      <c r="X83" s="731"/>
      <c r="Y83" s="735" t="s">
        <v>1421</v>
      </c>
    </row>
    <row r="84" spans="1:25" ht="14.5" customHeight="1">
      <c r="A84" s="818"/>
      <c r="B84" s="818"/>
      <c r="C84" s="811"/>
      <c r="D84" s="819"/>
      <c r="E84" s="777" t="s">
        <v>1465</v>
      </c>
      <c r="F84" s="773" t="s">
        <v>1418</v>
      </c>
      <c r="G84" s="672" t="s">
        <v>203</v>
      </c>
      <c r="H84" s="706" t="s">
        <v>1396</v>
      </c>
      <c r="I84" s="747">
        <v>46269</v>
      </c>
      <c r="J84" s="760"/>
      <c r="K84" s="738" t="s">
        <v>1398</v>
      </c>
      <c r="L84" s="762"/>
      <c r="M84" s="731"/>
      <c r="N84" s="748">
        <v>46230</v>
      </c>
      <c r="O84" s="749">
        <v>46234</v>
      </c>
      <c r="P84" s="749">
        <v>46237</v>
      </c>
      <c r="Q84" s="749">
        <v>46248</v>
      </c>
      <c r="R84" s="749">
        <v>46252</v>
      </c>
      <c r="S84" s="749">
        <v>46255</v>
      </c>
      <c r="T84" s="749">
        <v>46258</v>
      </c>
      <c r="U84" s="749">
        <v>46262</v>
      </c>
      <c r="V84" s="749">
        <v>46234</v>
      </c>
      <c r="W84" s="749">
        <v>46269</v>
      </c>
      <c r="X84" s="731"/>
      <c r="Y84" s="735" t="s">
        <v>1421</v>
      </c>
    </row>
    <row r="85" spans="1:25" ht="14.5" customHeight="1">
      <c r="A85" s="812"/>
      <c r="B85" s="812"/>
      <c r="C85" s="718"/>
      <c r="D85" s="717"/>
      <c r="E85" s="718"/>
      <c r="F85" s="718"/>
      <c r="G85" s="718"/>
      <c r="H85" s="718"/>
      <c r="I85" s="718"/>
      <c r="J85" s="718"/>
      <c r="K85" s="718"/>
      <c r="L85" s="718"/>
      <c r="M85" s="718"/>
      <c r="N85" s="790"/>
      <c r="O85" s="790"/>
      <c r="P85" s="790"/>
      <c r="Q85" s="790"/>
      <c r="R85" s="790"/>
      <c r="S85" s="790"/>
      <c r="T85" s="790"/>
      <c r="U85" s="790"/>
      <c r="V85" s="718"/>
      <c r="W85" s="718"/>
      <c r="X85" s="718"/>
      <c r="Y85" s="719"/>
    </row>
    <row r="86" spans="1:25">
      <c r="A86" s="813">
        <v>1</v>
      </c>
      <c r="B86" s="813" t="s">
        <v>583</v>
      </c>
      <c r="C86" s="813" t="s">
        <v>584</v>
      </c>
      <c r="D86" s="807" t="s">
        <v>1635</v>
      </c>
      <c r="E86" s="787" t="s">
        <v>1639</v>
      </c>
      <c r="F86" s="787"/>
      <c r="G86" s="787"/>
      <c r="H86" s="787"/>
      <c r="I86" s="787"/>
      <c r="J86" s="787"/>
      <c r="K86" s="787"/>
      <c r="L86" s="787"/>
      <c r="M86" s="787"/>
      <c r="N86" s="791">
        <v>46044</v>
      </c>
      <c r="O86" s="791">
        <v>46050</v>
      </c>
      <c r="P86" s="791">
        <v>46051</v>
      </c>
      <c r="Q86" s="791">
        <v>46066</v>
      </c>
      <c r="R86" s="791">
        <v>46071</v>
      </c>
      <c r="S86" s="791">
        <v>46077</v>
      </c>
      <c r="T86" s="791">
        <v>46072</v>
      </c>
      <c r="U86" s="791">
        <v>46078</v>
      </c>
      <c r="V86" s="794">
        <v>46079</v>
      </c>
      <c r="W86" s="788">
        <v>46080</v>
      </c>
      <c r="X86" s="787"/>
      <c r="Y86" s="787"/>
    </row>
    <row r="87" spans="1:25">
      <c r="A87" s="814"/>
      <c r="B87" s="814"/>
      <c r="C87" s="814"/>
      <c r="D87" s="808"/>
      <c r="E87" s="787" t="s">
        <v>1640</v>
      </c>
      <c r="F87" s="787"/>
      <c r="G87" s="787"/>
      <c r="H87" s="787"/>
      <c r="I87" s="787"/>
      <c r="J87" s="787"/>
      <c r="K87" s="787"/>
      <c r="L87" s="787"/>
      <c r="M87" s="787"/>
      <c r="N87" s="791">
        <v>46044</v>
      </c>
      <c r="O87" s="791">
        <v>46050</v>
      </c>
      <c r="P87" s="791">
        <v>46083</v>
      </c>
      <c r="Q87" s="791">
        <v>46112</v>
      </c>
      <c r="R87" s="791">
        <v>46113</v>
      </c>
      <c r="S87" s="791">
        <v>46120</v>
      </c>
      <c r="T87" s="791">
        <v>46121</v>
      </c>
      <c r="U87" s="791">
        <v>46127</v>
      </c>
      <c r="V87" s="794">
        <v>46128</v>
      </c>
      <c r="W87" s="788">
        <v>46129</v>
      </c>
      <c r="X87" s="787"/>
      <c r="Y87" s="787"/>
    </row>
  </sheetData>
  <autoFilter ref="A1:Y29" xr:uid="{2B7A00BC-EF23-4C82-97FC-3C1CE331EB78}"/>
  <mergeCells count="256">
    <mergeCell ref="T3:U3"/>
    <mergeCell ref="V3:W3"/>
    <mergeCell ref="B4:B29"/>
    <mergeCell ref="D4:D29"/>
    <mergeCell ref="A5:A6"/>
    <mergeCell ref="F5:F6"/>
    <mergeCell ref="G5:G6"/>
    <mergeCell ref="H5:H6"/>
    <mergeCell ref="I5:I6"/>
    <mergeCell ref="J5:J6"/>
    <mergeCell ref="K5:K6"/>
    <mergeCell ref="L5:L6"/>
    <mergeCell ref="M5:M6"/>
    <mergeCell ref="N5:N6"/>
    <mergeCell ref="O5:O6"/>
    <mergeCell ref="L3:M3"/>
    <mergeCell ref="N3:O3"/>
    <mergeCell ref="P3:Q3"/>
    <mergeCell ref="R3:S3"/>
    <mergeCell ref="U5:U6"/>
    <mergeCell ref="V5:V6"/>
    <mergeCell ref="W5:W6"/>
    <mergeCell ref="X5:X6"/>
    <mergeCell ref="Y5:Y6"/>
    <mergeCell ref="P5:P6"/>
    <mergeCell ref="Q5:Q6"/>
    <mergeCell ref="R5:R6"/>
    <mergeCell ref="S5:S6"/>
    <mergeCell ref="T5:T6"/>
    <mergeCell ref="R7:R9"/>
    <mergeCell ref="S7:S9"/>
    <mergeCell ref="J7:J9"/>
    <mergeCell ref="K7:K9"/>
    <mergeCell ref="L7:L9"/>
    <mergeCell ref="M7:M9"/>
    <mergeCell ref="N7:N9"/>
    <mergeCell ref="A7:A9"/>
    <mergeCell ref="F7:F9"/>
    <mergeCell ref="G7:G9"/>
    <mergeCell ref="H7:H9"/>
    <mergeCell ref="I7:I9"/>
    <mergeCell ref="Y7:Y9"/>
    <mergeCell ref="A11:A13"/>
    <mergeCell ref="F11:F13"/>
    <mergeCell ref="G11:G13"/>
    <mergeCell ref="H11:H13"/>
    <mergeCell ref="I11:I13"/>
    <mergeCell ref="J11:J13"/>
    <mergeCell ref="K11:K13"/>
    <mergeCell ref="L11:L13"/>
    <mergeCell ref="M11:M13"/>
    <mergeCell ref="N11:N13"/>
    <mergeCell ref="O11:O13"/>
    <mergeCell ref="P11:P13"/>
    <mergeCell ref="Q11:Q13"/>
    <mergeCell ref="R11:R13"/>
    <mergeCell ref="S11:S13"/>
    <mergeCell ref="T7:T9"/>
    <mergeCell ref="U7:U9"/>
    <mergeCell ref="V7:V9"/>
    <mergeCell ref="W7:W9"/>
    <mergeCell ref="X7:X9"/>
    <mergeCell ref="O7:O9"/>
    <mergeCell ref="P7:P9"/>
    <mergeCell ref="Q7:Q9"/>
    <mergeCell ref="T11:T13"/>
    <mergeCell ref="X11:X13"/>
    <mergeCell ref="Y11:Y13"/>
    <mergeCell ref="A14:A17"/>
    <mergeCell ref="E14:E17"/>
    <mergeCell ref="F14:F17"/>
    <mergeCell ref="H14:H17"/>
    <mergeCell ref="I14:I17"/>
    <mergeCell ref="J14:J17"/>
    <mergeCell ref="K14:K17"/>
    <mergeCell ref="L14:L17"/>
    <mergeCell ref="M14:M17"/>
    <mergeCell ref="N14:N17"/>
    <mergeCell ref="O14:O17"/>
    <mergeCell ref="P14:P17"/>
    <mergeCell ref="Q14:Q17"/>
    <mergeCell ref="W14:W17"/>
    <mergeCell ref="X14:X17"/>
    <mergeCell ref="Y14:Y17"/>
    <mergeCell ref="A18:A21"/>
    <mergeCell ref="F18:F21"/>
    <mergeCell ref="H18:H21"/>
    <mergeCell ref="I18:I21"/>
    <mergeCell ref="J18:J21"/>
    <mergeCell ref="K18:K21"/>
    <mergeCell ref="L18:L21"/>
    <mergeCell ref="M18:M21"/>
    <mergeCell ref="N18:N21"/>
    <mergeCell ref="O18:O21"/>
    <mergeCell ref="P18:P21"/>
    <mergeCell ref="Q18:Q21"/>
    <mergeCell ref="R18:R21"/>
    <mergeCell ref="R14:R17"/>
    <mergeCell ref="S14:S17"/>
    <mergeCell ref="T14:T17"/>
    <mergeCell ref="U14:U17"/>
    <mergeCell ref="V14:V17"/>
    <mergeCell ref="X18:X21"/>
    <mergeCell ref="Y18:Y21"/>
    <mergeCell ref="A22:A25"/>
    <mergeCell ref="F22:F25"/>
    <mergeCell ref="H22:H25"/>
    <mergeCell ref="I22:I25"/>
    <mergeCell ref="J22:J25"/>
    <mergeCell ref="K22:K25"/>
    <mergeCell ref="L22:L25"/>
    <mergeCell ref="M22:M25"/>
    <mergeCell ref="N22:N25"/>
    <mergeCell ref="O22:O25"/>
    <mergeCell ref="P22:P25"/>
    <mergeCell ref="Q22:Q25"/>
    <mergeCell ref="R22:R25"/>
    <mergeCell ref="S22:S25"/>
    <mergeCell ref="S18:S21"/>
    <mergeCell ref="T18:T21"/>
    <mergeCell ref="U18:U21"/>
    <mergeCell ref="V18:V21"/>
    <mergeCell ref="W18:W21"/>
    <mergeCell ref="Y22:Y25"/>
    <mergeCell ref="A26:A29"/>
    <mergeCell ref="E26:E29"/>
    <mergeCell ref="F26:F29"/>
    <mergeCell ref="H26:H29"/>
    <mergeCell ref="I26:I29"/>
    <mergeCell ref="J26:J29"/>
    <mergeCell ref="K26:K29"/>
    <mergeCell ref="L26:L29"/>
    <mergeCell ref="M26:M29"/>
    <mergeCell ref="N26:N29"/>
    <mergeCell ref="O26:O29"/>
    <mergeCell ref="P26:P29"/>
    <mergeCell ref="Q26:Q29"/>
    <mergeCell ref="R26:R29"/>
    <mergeCell ref="S26:S29"/>
    <mergeCell ref="T22:T25"/>
    <mergeCell ref="U22:U25"/>
    <mergeCell ref="V22:V25"/>
    <mergeCell ref="W22:W25"/>
    <mergeCell ref="X22:X25"/>
    <mergeCell ref="Y26:Y29"/>
    <mergeCell ref="A30:Y30"/>
    <mergeCell ref="A31:A35"/>
    <mergeCell ref="B31:B35"/>
    <mergeCell ref="D31:D35"/>
    <mergeCell ref="G26:G29"/>
    <mergeCell ref="T26:T29"/>
    <mergeCell ref="U26:U29"/>
    <mergeCell ref="V26:V29"/>
    <mergeCell ref="W26:W29"/>
    <mergeCell ref="X26:X29"/>
    <mergeCell ref="Q36:Q37"/>
    <mergeCell ref="R36:R37"/>
    <mergeCell ref="I36:I37"/>
    <mergeCell ref="J36:J37"/>
    <mergeCell ref="K36:K37"/>
    <mergeCell ref="L36:L37"/>
    <mergeCell ref="M36:M37"/>
    <mergeCell ref="B36:B39"/>
    <mergeCell ref="D36:D39"/>
    <mergeCell ref="F36:F37"/>
    <mergeCell ref="G36:G37"/>
    <mergeCell ref="H36:H37"/>
    <mergeCell ref="X36:X37"/>
    <mergeCell ref="Y36:Y37"/>
    <mergeCell ref="A40:A41"/>
    <mergeCell ref="B40:B41"/>
    <mergeCell ref="D40:D41"/>
    <mergeCell ref="E40:E41"/>
    <mergeCell ref="F40:F41"/>
    <mergeCell ref="G40:G41"/>
    <mergeCell ref="H40:H41"/>
    <mergeCell ref="I40:I41"/>
    <mergeCell ref="J40:J41"/>
    <mergeCell ref="K40:K41"/>
    <mergeCell ref="L40:L41"/>
    <mergeCell ref="M40:M41"/>
    <mergeCell ref="N40:N41"/>
    <mergeCell ref="O40:O41"/>
    <mergeCell ref="S36:S37"/>
    <mergeCell ref="T36:T37"/>
    <mergeCell ref="U36:U37"/>
    <mergeCell ref="V36:V37"/>
    <mergeCell ref="W36:W37"/>
    <mergeCell ref="N36:N37"/>
    <mergeCell ref="O36:O37"/>
    <mergeCell ref="P36:P37"/>
    <mergeCell ref="Y40:Y41"/>
    <mergeCell ref="A42:B42"/>
    <mergeCell ref="A43:A52"/>
    <mergeCell ref="B43:B52"/>
    <mergeCell ref="D43:D52"/>
    <mergeCell ref="E43:E48"/>
    <mergeCell ref="F43:F48"/>
    <mergeCell ref="G43:G48"/>
    <mergeCell ref="H43:H48"/>
    <mergeCell ref="I43:I48"/>
    <mergeCell ref="J43:J48"/>
    <mergeCell ref="K43:K48"/>
    <mergeCell ref="L43:L48"/>
    <mergeCell ref="M43:M48"/>
    <mergeCell ref="N43:N48"/>
    <mergeCell ref="O43:O48"/>
    <mergeCell ref="P40:P41"/>
    <mergeCell ref="U40:U41"/>
    <mergeCell ref="V40:V41"/>
    <mergeCell ref="W40:W41"/>
    <mergeCell ref="X40:X41"/>
    <mergeCell ref="U43:U48"/>
    <mergeCell ref="V43:V48"/>
    <mergeCell ref="W43:W48"/>
    <mergeCell ref="Y43:Y48"/>
    <mergeCell ref="A53:A61"/>
    <mergeCell ref="B53:B61"/>
    <mergeCell ref="D53:D61"/>
    <mergeCell ref="P43:P48"/>
    <mergeCell ref="Q43:Q48"/>
    <mergeCell ref="R43:R48"/>
    <mergeCell ref="S43:S48"/>
    <mergeCell ref="T43:T48"/>
    <mergeCell ref="E5:E6"/>
    <mergeCell ref="E7:E9"/>
    <mergeCell ref="E18:E21"/>
    <mergeCell ref="E22:E25"/>
    <mergeCell ref="C4:C29"/>
    <mergeCell ref="C31:C35"/>
    <mergeCell ref="C36:C39"/>
    <mergeCell ref="C40:C41"/>
    <mergeCell ref="C43:C52"/>
    <mergeCell ref="D86:D87"/>
    <mergeCell ref="C77:C84"/>
    <mergeCell ref="A85:B85"/>
    <mergeCell ref="A86:A87"/>
    <mergeCell ref="B86:B87"/>
    <mergeCell ref="C86:C87"/>
    <mergeCell ref="G14:G17"/>
    <mergeCell ref="G18:G21"/>
    <mergeCell ref="G22:G25"/>
    <mergeCell ref="A77:A84"/>
    <mergeCell ref="B77:B84"/>
    <mergeCell ref="D77:D84"/>
    <mergeCell ref="C53:C61"/>
    <mergeCell ref="C62:C66"/>
    <mergeCell ref="C68:C76"/>
    <mergeCell ref="A62:A66"/>
    <mergeCell ref="B62:B66"/>
    <mergeCell ref="D62:D66"/>
    <mergeCell ref="A67:B67"/>
    <mergeCell ref="A68:A76"/>
    <mergeCell ref="B68:B76"/>
    <mergeCell ref="D68:D76"/>
    <mergeCell ref="A36:A39"/>
  </mergeCell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54D58-4A68-4CF4-BEAC-E31FDC31E263}">
  <dimension ref="A1:B16"/>
  <sheetViews>
    <sheetView workbookViewId="0"/>
  </sheetViews>
  <sheetFormatPr defaultRowHeight="14.5"/>
  <cols>
    <col min="1" max="1" width="14.1796875" bestFit="1" customWidth="1"/>
    <col min="2" max="2" width="30.453125" bestFit="1" customWidth="1"/>
  </cols>
  <sheetData>
    <row r="1" spans="1:2">
      <c r="A1" s="127" t="s">
        <v>63</v>
      </c>
      <c r="B1" t="s">
        <v>1469</v>
      </c>
    </row>
    <row r="2" spans="1:2">
      <c r="A2" s="127" t="s">
        <v>64</v>
      </c>
      <c r="B2" t="s">
        <v>1469</v>
      </c>
    </row>
    <row r="4" spans="1:2">
      <c r="A4" s="127" t="s">
        <v>1470</v>
      </c>
      <c r="B4" t="s">
        <v>1587</v>
      </c>
    </row>
    <row r="5" spans="1:2">
      <c r="A5" s="12" t="s">
        <v>199</v>
      </c>
      <c r="B5">
        <v>16</v>
      </c>
    </row>
    <row r="6" spans="1:2">
      <c r="A6" s="12" t="s">
        <v>1010</v>
      </c>
      <c r="B6">
        <v>1</v>
      </c>
    </row>
    <row r="7" spans="1:2">
      <c r="A7" s="12" t="s">
        <v>389</v>
      </c>
      <c r="B7">
        <v>1</v>
      </c>
    </row>
    <row r="8" spans="1:2">
      <c r="A8" s="12" t="s">
        <v>558</v>
      </c>
      <c r="B8">
        <v>2</v>
      </c>
    </row>
    <row r="9" spans="1:2">
      <c r="A9" s="12" t="s">
        <v>297</v>
      </c>
      <c r="B9">
        <v>28</v>
      </c>
    </row>
    <row r="10" spans="1:2">
      <c r="A10" s="12" t="s">
        <v>176</v>
      </c>
      <c r="B10">
        <v>1</v>
      </c>
    </row>
    <row r="11" spans="1:2">
      <c r="A11" s="12" t="s">
        <v>213</v>
      </c>
      <c r="B11">
        <v>14</v>
      </c>
    </row>
    <row r="12" spans="1:2">
      <c r="A12" s="12" t="s">
        <v>228</v>
      </c>
      <c r="B12">
        <v>3</v>
      </c>
    </row>
    <row r="13" spans="1:2">
      <c r="A13" s="12" t="s">
        <v>698</v>
      </c>
      <c r="B13">
        <v>1</v>
      </c>
    </row>
    <row r="14" spans="1:2">
      <c r="A14" s="12" t="s">
        <v>189</v>
      </c>
      <c r="B14">
        <v>8</v>
      </c>
    </row>
    <row r="15" spans="1:2">
      <c r="A15" s="12" t="s">
        <v>673</v>
      </c>
      <c r="B15">
        <v>11</v>
      </c>
    </row>
    <row r="16" spans="1:2">
      <c r="A16" s="12" t="s">
        <v>1473</v>
      </c>
      <c r="B16">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8C329-C6EC-4E89-962D-67ADF4EFECC6}">
  <sheetPr>
    <tabColor rgb="FFFFC000"/>
  </sheetPr>
  <dimension ref="A1:FU157"/>
  <sheetViews>
    <sheetView showGridLines="0" tabSelected="1" zoomScale="81" zoomScaleNormal="85" workbookViewId="0">
      <pane xSplit="9" ySplit="2" topLeftCell="J3" activePane="bottomRight" state="frozen"/>
      <selection pane="topRight" activeCell="J1" sqref="J1"/>
      <selection pane="bottomLeft" activeCell="A3" sqref="A3"/>
      <selection pane="bottomRight" activeCell="FT12" sqref="FT12"/>
    </sheetView>
  </sheetViews>
  <sheetFormatPr defaultColWidth="9.36328125" defaultRowHeight="14.5"/>
  <cols>
    <col min="1" max="2" width="9.36328125" style="1"/>
    <col min="3" max="6" width="9.36328125" style="2"/>
    <col min="7" max="8" width="9.36328125" style="5"/>
    <col min="9" max="9" width="13.26953125" style="3" customWidth="1"/>
    <col min="10" max="11" width="9.453125" style="3" bestFit="1" customWidth="1"/>
    <col min="12" max="14" width="9.36328125" style="1"/>
    <col min="15" max="15" width="9.36328125" style="4"/>
    <col min="16" max="20" width="9.36328125" style="1"/>
    <col min="21" max="22" width="9.453125" style="1" bestFit="1" customWidth="1"/>
    <col min="23" max="23" width="9.36328125" style="1"/>
    <col min="24" max="24" width="14.36328125" style="1" customWidth="1"/>
    <col min="25" max="25" width="9.453125" style="3" bestFit="1" customWidth="1"/>
    <col min="26" max="26" width="9.36328125" style="3"/>
    <col min="27" max="27" width="11.7265625" style="1" customWidth="1"/>
    <col min="28" max="30" width="10.81640625" style="1" bestFit="1" customWidth="1"/>
    <col min="31" max="32" width="10.54296875" style="1" bestFit="1" customWidth="1"/>
    <col min="33" max="33" width="10.453125" style="1" bestFit="1" customWidth="1"/>
    <col min="34" max="34" width="10.81640625" style="1" bestFit="1" customWidth="1"/>
    <col min="35" max="35" width="11.1796875" style="1" customWidth="1"/>
    <col min="36" max="36" width="10.81640625" style="1" bestFit="1" customWidth="1"/>
    <col min="37" max="38" width="10.81640625" style="4" bestFit="1" customWidth="1"/>
    <col min="39" max="42" width="10.453125" style="4" bestFit="1" customWidth="1"/>
    <col min="43" max="44" width="10.1796875" style="4" bestFit="1" customWidth="1"/>
    <col min="45" max="49" width="9.36328125" style="4"/>
    <col min="50" max="59" width="9.36328125" style="1"/>
    <col min="60" max="65" width="9.36328125" style="3"/>
    <col min="66" max="66" width="9.36328125" style="1"/>
    <col min="67" max="68" width="9.36328125" style="3"/>
    <col min="72" max="72" width="9.36328125" style="3"/>
    <col min="81" max="82" width="9.36328125" style="1"/>
    <col min="84" max="84" width="9.36328125" style="3"/>
    <col min="96" max="96" width="9.36328125" style="3"/>
    <col min="105" max="105" width="9.36328125" style="2"/>
    <col min="108" max="108" width="9.36328125" style="3"/>
    <col min="117" max="117" width="0" style="2" hidden="1" customWidth="1"/>
    <col min="118" max="119" width="0" hidden="1" customWidth="1"/>
    <col min="120" max="120" width="0" style="3" hidden="1" customWidth="1"/>
    <col min="121" max="128" width="0" hidden="1" customWidth="1"/>
    <col min="129" max="135" width="9.36328125" style="3"/>
    <col min="136" max="137" width="9.36328125" style="1"/>
    <col min="138" max="138" width="71.81640625" style="5" customWidth="1"/>
    <col min="139" max="139" width="14.453125" style="5" customWidth="1"/>
    <col min="140" max="143" width="9.36328125" style="4"/>
    <col min="144" max="145" width="9.36328125" style="5"/>
    <col min="146" max="146" width="9.36328125" style="3"/>
    <col min="147" max="147" width="9.36328125" style="5"/>
    <col min="148" max="148" width="9.36328125" style="11"/>
    <col min="149" max="149" width="9.36328125" style="3"/>
    <col min="150" max="151" width="9.36328125" style="15"/>
    <col min="157" max="157" width="9.36328125" style="15"/>
    <col min="159" max="159" width="9.36328125" style="15"/>
    <col min="160" max="160" width="9.36328125" style="3"/>
    <col min="162" max="163" width="9.36328125" style="15"/>
    <col min="169" max="169" width="9.36328125" style="11"/>
    <col min="170" max="170" width="9.36328125" style="1"/>
    <col min="171" max="171" width="9.36328125" style="11"/>
    <col min="172" max="173" width="9.36328125" style="21"/>
    <col min="174" max="176" width="9.36328125" style="11"/>
    <col min="177" max="177" width="9.36328125" style="1"/>
    <col min="178" max="16384" width="9.36328125" style="3"/>
  </cols>
  <sheetData>
    <row r="1" spans="1:177" s="211" customFormat="1" ht="43.5">
      <c r="A1" s="206" t="s">
        <v>55</v>
      </c>
      <c r="B1" s="206" t="s">
        <v>1642</v>
      </c>
      <c r="C1" s="206" t="s">
        <v>56</v>
      </c>
      <c r="D1" s="206" t="s">
        <v>57</v>
      </c>
      <c r="E1" s="206" t="s">
        <v>58</v>
      </c>
      <c r="F1" s="206" t="s">
        <v>59</v>
      </c>
      <c r="G1" s="206" t="s">
        <v>60</v>
      </c>
      <c r="H1" s="206" t="s">
        <v>61</v>
      </c>
      <c r="I1" s="206" t="s">
        <v>62</v>
      </c>
      <c r="J1" s="206" t="s">
        <v>63</v>
      </c>
      <c r="K1" s="206" t="s">
        <v>64</v>
      </c>
      <c r="L1" s="206" t="s">
        <v>65</v>
      </c>
      <c r="M1" s="206" t="s">
        <v>66</v>
      </c>
      <c r="N1" s="206" t="s">
        <v>67</v>
      </c>
      <c r="O1" s="206" t="s">
        <v>68</v>
      </c>
      <c r="P1" s="206" t="s">
        <v>69</v>
      </c>
      <c r="Q1" s="206" t="s">
        <v>70</v>
      </c>
      <c r="R1" s="206" t="s">
        <v>71</v>
      </c>
      <c r="S1" s="206" t="s">
        <v>72</v>
      </c>
      <c r="T1" s="206" t="s">
        <v>73</v>
      </c>
      <c r="U1" s="206" t="s">
        <v>74</v>
      </c>
      <c r="V1" s="206" t="s">
        <v>75</v>
      </c>
      <c r="W1" s="206" t="s">
        <v>76</v>
      </c>
      <c r="X1" s="206" t="s">
        <v>77</v>
      </c>
      <c r="Y1" s="206" t="s">
        <v>78</v>
      </c>
      <c r="Z1" s="206" t="s">
        <v>79</v>
      </c>
      <c r="AA1" s="796" t="s">
        <v>80</v>
      </c>
      <c r="AB1" s="796"/>
      <c r="AC1" s="796" t="s">
        <v>81</v>
      </c>
      <c r="AD1" s="796"/>
      <c r="AE1" s="796" t="s">
        <v>82</v>
      </c>
      <c r="AF1" s="796"/>
      <c r="AG1" s="796" t="s">
        <v>83</v>
      </c>
      <c r="AH1" s="796"/>
      <c r="AI1" s="796" t="s">
        <v>84</v>
      </c>
      <c r="AJ1" s="796"/>
      <c r="AK1" s="796" t="s">
        <v>85</v>
      </c>
      <c r="AL1" s="796"/>
      <c r="AM1" s="796" t="s">
        <v>86</v>
      </c>
      <c r="AN1" s="796"/>
      <c r="AO1" s="796" t="s">
        <v>87</v>
      </c>
      <c r="AP1" s="796"/>
      <c r="AQ1" s="796" t="s">
        <v>88</v>
      </c>
      <c r="AR1" s="796"/>
      <c r="AS1" s="797" t="s">
        <v>89</v>
      </c>
      <c r="AT1" s="797"/>
      <c r="AU1" s="797"/>
      <c r="AV1" s="797"/>
      <c r="AW1" s="797"/>
      <c r="AX1" s="795"/>
      <c r="AY1" s="795"/>
      <c r="AZ1" s="795"/>
      <c r="BA1" s="795"/>
      <c r="BB1" s="795"/>
      <c r="BC1" s="795"/>
      <c r="BD1" s="795"/>
      <c r="BE1" s="798" t="s">
        <v>90</v>
      </c>
      <c r="BF1" s="798"/>
      <c r="BG1" s="798"/>
      <c r="BH1" s="798"/>
      <c r="BI1" s="798"/>
      <c r="BJ1" s="798"/>
      <c r="BK1" s="798"/>
      <c r="BL1" s="798"/>
      <c r="BM1" s="798"/>
      <c r="BN1" s="798"/>
      <c r="BO1" s="798"/>
      <c r="BP1" s="798"/>
      <c r="BQ1" s="795" t="s">
        <v>91</v>
      </c>
      <c r="BR1" s="795"/>
      <c r="BS1" s="795"/>
      <c r="BT1" s="795"/>
      <c r="BU1" s="795"/>
      <c r="BV1" s="795"/>
      <c r="BW1" s="795"/>
      <c r="BX1" s="795"/>
      <c r="BY1" s="795"/>
      <c r="BZ1" s="795"/>
      <c r="CA1" s="795"/>
      <c r="CB1" s="795"/>
      <c r="CC1" s="795" t="s">
        <v>92</v>
      </c>
      <c r="CD1" s="795"/>
      <c r="CE1" s="795"/>
      <c r="CF1" s="795"/>
      <c r="CG1" s="795"/>
      <c r="CH1" s="795"/>
      <c r="CI1" s="795"/>
      <c r="CJ1" s="795"/>
      <c r="CK1" s="795"/>
      <c r="CL1" s="795"/>
      <c r="CM1" s="795"/>
      <c r="CN1" s="795"/>
      <c r="CO1" s="797" t="s">
        <v>93</v>
      </c>
      <c r="CP1" s="797"/>
      <c r="CQ1" s="797"/>
      <c r="CR1" s="797"/>
      <c r="CS1" s="797"/>
      <c r="CT1" s="797"/>
      <c r="CU1" s="797"/>
      <c r="CV1" s="795"/>
      <c r="CW1" s="797"/>
      <c r="CX1" s="797"/>
      <c r="CY1" s="797"/>
      <c r="CZ1" s="797"/>
      <c r="DA1" s="797" t="s">
        <v>94</v>
      </c>
      <c r="DB1" s="795"/>
      <c r="DC1" s="795"/>
      <c r="DD1" s="795"/>
      <c r="DE1" s="795"/>
      <c r="DF1" s="795"/>
      <c r="DG1" s="795"/>
      <c r="DH1" s="795"/>
      <c r="DI1" s="795"/>
      <c r="DJ1" s="795"/>
      <c r="DK1" s="795"/>
      <c r="DL1" s="795"/>
      <c r="DM1" s="797" t="s">
        <v>95</v>
      </c>
      <c r="DN1" s="797"/>
      <c r="DO1" s="797"/>
      <c r="DP1" s="797"/>
      <c r="DQ1" s="797"/>
      <c r="DR1" s="797"/>
      <c r="DS1" s="797"/>
      <c r="DT1" s="795"/>
      <c r="DU1" s="797"/>
      <c r="DV1" s="797"/>
      <c r="DW1" s="797"/>
      <c r="DX1" s="797"/>
      <c r="DY1" s="796" t="s">
        <v>96</v>
      </c>
      <c r="DZ1" s="796"/>
      <c r="EA1" s="796"/>
      <c r="EB1" s="796"/>
      <c r="EC1" s="796"/>
      <c r="ED1" s="796"/>
      <c r="EE1" s="796"/>
      <c r="EF1" s="796"/>
      <c r="EG1" s="796"/>
      <c r="EH1" s="207" t="s">
        <v>97</v>
      </c>
      <c r="EI1" s="208" t="s">
        <v>98</v>
      </c>
      <c r="EJ1" s="209" t="s">
        <v>77</v>
      </c>
      <c r="EK1" s="210" t="s">
        <v>99</v>
      </c>
      <c r="EL1" s="210" t="s">
        <v>100</v>
      </c>
      <c r="EM1" s="210" t="s">
        <v>101</v>
      </c>
      <c r="EN1" s="210" t="s">
        <v>102</v>
      </c>
      <c r="EO1" s="801" t="s">
        <v>103</v>
      </c>
      <c r="EP1" s="802"/>
      <c r="EQ1" s="801"/>
      <c r="ER1" s="802"/>
      <c r="ES1" s="802"/>
      <c r="ET1" s="801"/>
      <c r="EU1" s="801"/>
      <c r="EV1" s="802"/>
      <c r="EW1" s="802"/>
      <c r="EX1" s="802"/>
      <c r="EY1" s="802"/>
      <c r="EZ1" s="802"/>
      <c r="FA1" s="799" t="s">
        <v>104</v>
      </c>
      <c r="FB1" s="800"/>
      <c r="FC1" s="799"/>
      <c r="FD1" s="800"/>
      <c r="FE1" s="800"/>
      <c r="FF1" s="799"/>
      <c r="FG1" s="799"/>
      <c r="FH1" s="800"/>
      <c r="FI1" s="800"/>
      <c r="FJ1" s="800"/>
      <c r="FK1" s="800"/>
      <c r="FL1" s="800"/>
      <c r="FM1" s="206" t="s">
        <v>105</v>
      </c>
      <c r="FN1" s="206" t="s">
        <v>106</v>
      </c>
      <c r="FO1" s="206" t="s">
        <v>107</v>
      </c>
      <c r="FP1" s="206" t="s">
        <v>108</v>
      </c>
      <c r="FQ1" s="206" t="s">
        <v>109</v>
      </c>
      <c r="FR1" s="206" t="s">
        <v>110</v>
      </c>
      <c r="FS1" s="206" t="s">
        <v>111</v>
      </c>
      <c r="FT1" s="206" t="s">
        <v>112</v>
      </c>
      <c r="FU1" s="206" t="s">
        <v>113</v>
      </c>
    </row>
    <row r="2" spans="1:177" s="212" customFormat="1" ht="29">
      <c r="A2" s="512" t="s">
        <v>114</v>
      </c>
      <c r="B2" s="512" t="s">
        <v>115</v>
      </c>
      <c r="C2" s="512" t="s">
        <v>116</v>
      </c>
      <c r="D2" s="512" t="s">
        <v>117</v>
      </c>
      <c r="E2" s="512" t="s">
        <v>118</v>
      </c>
      <c r="F2" s="512" t="s">
        <v>119</v>
      </c>
      <c r="G2" s="512" t="s">
        <v>120</v>
      </c>
      <c r="H2" s="512"/>
      <c r="I2" s="512" t="s">
        <v>121</v>
      </c>
      <c r="J2" s="512" t="s">
        <v>122</v>
      </c>
      <c r="K2" s="512" t="s">
        <v>123</v>
      </c>
      <c r="L2" s="512" t="s">
        <v>124</v>
      </c>
      <c r="M2" s="512" t="s">
        <v>125</v>
      </c>
      <c r="N2" s="512" t="s">
        <v>126</v>
      </c>
      <c r="O2" s="512" t="s">
        <v>127</v>
      </c>
      <c r="P2" s="512" t="s">
        <v>128</v>
      </c>
      <c r="Q2" s="512" t="s">
        <v>129</v>
      </c>
      <c r="R2" s="512" t="s">
        <v>130</v>
      </c>
      <c r="S2" s="512" t="s">
        <v>131</v>
      </c>
      <c r="T2" s="512" t="s">
        <v>132</v>
      </c>
      <c r="U2" s="512"/>
      <c r="V2" s="512" t="s">
        <v>133</v>
      </c>
      <c r="W2" s="512" t="s">
        <v>134</v>
      </c>
      <c r="X2" s="512" t="s">
        <v>135</v>
      </c>
      <c r="Y2" s="512" t="s">
        <v>136</v>
      </c>
      <c r="Z2" s="512"/>
      <c r="AA2" s="512" t="s">
        <v>137</v>
      </c>
      <c r="AB2" s="512" t="s">
        <v>138</v>
      </c>
      <c r="AC2" s="512" t="s">
        <v>137</v>
      </c>
      <c r="AD2" s="512" t="s">
        <v>138</v>
      </c>
      <c r="AE2" s="512" t="s">
        <v>137</v>
      </c>
      <c r="AF2" s="512" t="s">
        <v>138</v>
      </c>
      <c r="AG2" s="512" t="s">
        <v>137</v>
      </c>
      <c r="AH2" s="512" t="s">
        <v>138</v>
      </c>
      <c r="AI2" s="512" t="s">
        <v>137</v>
      </c>
      <c r="AJ2" s="512" t="s">
        <v>138</v>
      </c>
      <c r="AK2" s="516" t="s">
        <v>137</v>
      </c>
      <c r="AL2" s="516" t="s">
        <v>138</v>
      </c>
      <c r="AM2" s="516" t="s">
        <v>137</v>
      </c>
      <c r="AN2" s="516" t="s">
        <v>138</v>
      </c>
      <c r="AO2" s="516" t="s">
        <v>137</v>
      </c>
      <c r="AP2" s="516" t="s">
        <v>138</v>
      </c>
      <c r="AQ2" s="516" t="s">
        <v>137</v>
      </c>
      <c r="AR2" s="516" t="s">
        <v>138</v>
      </c>
      <c r="AS2" s="518" t="s">
        <v>2</v>
      </c>
      <c r="AT2" s="518" t="s">
        <v>3</v>
      </c>
      <c r="AU2" s="518" t="s">
        <v>4</v>
      </c>
      <c r="AV2" s="518" t="s">
        <v>5</v>
      </c>
      <c r="AW2" s="518" t="s">
        <v>6</v>
      </c>
      <c r="AX2" s="519" t="s">
        <v>7</v>
      </c>
      <c r="AY2" s="520" t="s">
        <v>8</v>
      </c>
      <c r="AZ2" s="520" t="s">
        <v>9</v>
      </c>
      <c r="BA2" s="520" t="s">
        <v>10</v>
      </c>
      <c r="BB2" s="520" t="s">
        <v>11</v>
      </c>
      <c r="BC2" s="520" t="s">
        <v>12</v>
      </c>
      <c r="BD2" s="520" t="s">
        <v>13</v>
      </c>
      <c r="BE2" s="520" t="s">
        <v>2</v>
      </c>
      <c r="BF2" s="520" t="s">
        <v>3</v>
      </c>
      <c r="BG2" s="520" t="s">
        <v>4</v>
      </c>
      <c r="BH2" s="521" t="s">
        <v>5</v>
      </c>
      <c r="BI2" s="521" t="s">
        <v>6</v>
      </c>
      <c r="BJ2" s="522" t="s">
        <v>7</v>
      </c>
      <c r="BK2" s="521" t="s">
        <v>8</v>
      </c>
      <c r="BL2" s="521" t="s">
        <v>9</v>
      </c>
      <c r="BM2" s="521" t="s">
        <v>10</v>
      </c>
      <c r="BN2" s="520" t="s">
        <v>11</v>
      </c>
      <c r="BO2" s="521" t="s">
        <v>12</v>
      </c>
      <c r="BP2" s="521" t="s">
        <v>13</v>
      </c>
      <c r="BQ2" s="611" t="s">
        <v>2</v>
      </c>
      <c r="BR2" s="611" t="s">
        <v>3</v>
      </c>
      <c r="BS2" s="611" t="s">
        <v>4</v>
      </c>
      <c r="BT2" s="520" t="s">
        <v>5</v>
      </c>
      <c r="BU2" s="611" t="s">
        <v>6</v>
      </c>
      <c r="BV2" s="614" t="s">
        <v>7</v>
      </c>
      <c r="BW2" s="611" t="s">
        <v>8</v>
      </c>
      <c r="BX2" s="611" t="s">
        <v>9</v>
      </c>
      <c r="BY2" s="611" t="s">
        <v>10</v>
      </c>
      <c r="BZ2" s="611" t="s">
        <v>11</v>
      </c>
      <c r="CA2" s="611" t="s">
        <v>12</v>
      </c>
      <c r="CB2" s="611" t="s">
        <v>13</v>
      </c>
      <c r="CC2" s="520" t="s">
        <v>2</v>
      </c>
      <c r="CD2" s="520" t="s">
        <v>3</v>
      </c>
      <c r="CE2" s="611" t="s">
        <v>4</v>
      </c>
      <c r="CF2" s="520" t="s">
        <v>5</v>
      </c>
      <c r="CG2" s="614" t="s">
        <v>6</v>
      </c>
      <c r="CH2" s="614" t="s">
        <v>7</v>
      </c>
      <c r="CI2" s="611" t="s">
        <v>8</v>
      </c>
      <c r="CJ2" s="611" t="s">
        <v>9</v>
      </c>
      <c r="CK2" s="611" t="s">
        <v>10</v>
      </c>
      <c r="CL2" s="611" t="s">
        <v>11</v>
      </c>
      <c r="CM2" s="611" t="s">
        <v>12</v>
      </c>
      <c r="CN2" s="611" t="s">
        <v>13</v>
      </c>
      <c r="CO2" s="611" t="s">
        <v>2</v>
      </c>
      <c r="CP2" s="611" t="s">
        <v>3</v>
      </c>
      <c r="CQ2" s="611" t="s">
        <v>4</v>
      </c>
      <c r="CR2" s="520" t="s">
        <v>5</v>
      </c>
      <c r="CS2" s="611" t="s">
        <v>6</v>
      </c>
      <c r="CT2" s="614" t="s">
        <v>7</v>
      </c>
      <c r="CU2" s="611" t="s">
        <v>8</v>
      </c>
      <c r="CV2" s="611" t="s">
        <v>9</v>
      </c>
      <c r="CW2" s="611" t="s">
        <v>10</v>
      </c>
      <c r="CX2" s="611" t="s">
        <v>11</v>
      </c>
      <c r="CY2" s="611" t="s">
        <v>12</v>
      </c>
      <c r="CZ2" s="611" t="s">
        <v>13</v>
      </c>
      <c r="DA2" s="611" t="s">
        <v>2</v>
      </c>
      <c r="DB2" s="611" t="s">
        <v>3</v>
      </c>
      <c r="DC2" s="611" t="s">
        <v>4</v>
      </c>
      <c r="DD2" s="520" t="s">
        <v>5</v>
      </c>
      <c r="DE2" s="611" t="s">
        <v>6</v>
      </c>
      <c r="DF2" s="614" t="s">
        <v>7</v>
      </c>
      <c r="DG2" s="611" t="s">
        <v>8</v>
      </c>
      <c r="DH2" s="611" t="s">
        <v>9</v>
      </c>
      <c r="DI2" s="611" t="s">
        <v>10</v>
      </c>
      <c r="DJ2" s="611" t="s">
        <v>11</v>
      </c>
      <c r="DK2" s="611" t="s">
        <v>12</v>
      </c>
      <c r="DL2" s="611" t="s">
        <v>13</v>
      </c>
      <c r="DM2" s="611" t="s">
        <v>2</v>
      </c>
      <c r="DN2" s="523" t="s">
        <v>3</v>
      </c>
      <c r="DO2" s="523" t="s">
        <v>4</v>
      </c>
      <c r="DP2" s="521" t="s">
        <v>5</v>
      </c>
      <c r="DQ2" s="523" t="s">
        <v>6</v>
      </c>
      <c r="DR2" s="523" t="s">
        <v>7</v>
      </c>
      <c r="DS2" s="523" t="s">
        <v>8</v>
      </c>
      <c r="DT2" s="523" t="s">
        <v>9</v>
      </c>
      <c r="DU2" s="523" t="s">
        <v>10</v>
      </c>
      <c r="DV2" s="523" t="s">
        <v>11</v>
      </c>
      <c r="DW2" s="523" t="s">
        <v>12</v>
      </c>
      <c r="DX2" s="523" t="s">
        <v>13</v>
      </c>
      <c r="DY2" s="524" t="s">
        <v>80</v>
      </c>
      <c r="DZ2" s="524" t="s">
        <v>81</v>
      </c>
      <c r="EA2" s="524" t="s">
        <v>82</v>
      </c>
      <c r="EB2" s="524" t="s">
        <v>139</v>
      </c>
      <c r="EC2" s="524" t="s">
        <v>84</v>
      </c>
      <c r="ED2" s="524" t="s">
        <v>85</v>
      </c>
      <c r="EE2" s="524" t="s">
        <v>140</v>
      </c>
      <c r="EF2" s="526" t="s">
        <v>141</v>
      </c>
      <c r="EG2" s="526" t="s">
        <v>142</v>
      </c>
      <c r="EH2" s="528">
        <v>1</v>
      </c>
      <c r="EI2" s="532" t="s">
        <v>143</v>
      </c>
      <c r="EJ2" s="516" t="s">
        <v>144</v>
      </c>
      <c r="EK2" s="4"/>
      <c r="EL2" s="4" t="s">
        <v>145</v>
      </c>
      <c r="EM2" s="4" t="s">
        <v>146</v>
      </c>
      <c r="EN2" s="5" t="s">
        <v>147</v>
      </c>
      <c r="EO2" s="532" t="s">
        <v>148</v>
      </c>
      <c r="EP2" s="212" t="s">
        <v>149</v>
      </c>
      <c r="EQ2" s="532" t="s">
        <v>150</v>
      </c>
      <c r="ER2" s="533" t="s">
        <v>151</v>
      </c>
      <c r="ES2" s="212" t="s">
        <v>152</v>
      </c>
      <c r="ET2" s="534" t="s">
        <v>153</v>
      </c>
      <c r="EU2" s="534" t="s">
        <v>154</v>
      </c>
      <c r="EV2" s="6" t="s">
        <v>155</v>
      </c>
      <c r="EW2" s="6" t="s">
        <v>156</v>
      </c>
      <c r="EX2" s="6" t="s">
        <v>157</v>
      </c>
      <c r="EY2" s="6" t="s">
        <v>158</v>
      </c>
      <c r="EZ2" s="6" t="s">
        <v>159</v>
      </c>
      <c r="FA2" s="534" t="s">
        <v>148</v>
      </c>
      <c r="FB2" s="6" t="s">
        <v>149</v>
      </c>
      <c r="FC2" s="534" t="s">
        <v>150</v>
      </c>
      <c r="FD2" s="212" t="s">
        <v>151</v>
      </c>
      <c r="FE2" s="6" t="s">
        <v>152</v>
      </c>
      <c r="FF2" s="534" t="s">
        <v>153</v>
      </c>
      <c r="FG2" s="534" t="s">
        <v>154</v>
      </c>
      <c r="FH2" s="6" t="s">
        <v>155</v>
      </c>
      <c r="FI2" s="6" t="s">
        <v>156</v>
      </c>
      <c r="FJ2" s="6" t="s">
        <v>157</v>
      </c>
      <c r="FK2" s="6" t="s">
        <v>158</v>
      </c>
      <c r="FL2" s="6" t="s">
        <v>159</v>
      </c>
      <c r="FM2" s="533" t="s">
        <v>160</v>
      </c>
      <c r="FN2" s="512" t="s">
        <v>161</v>
      </c>
      <c r="FO2" s="533" t="s">
        <v>161</v>
      </c>
      <c r="FP2" s="535" t="s">
        <v>162</v>
      </c>
      <c r="FQ2" s="535"/>
      <c r="FR2" s="533" t="s">
        <v>163</v>
      </c>
      <c r="FS2" s="533" t="s">
        <v>164</v>
      </c>
      <c r="FT2" s="533" t="s">
        <v>165</v>
      </c>
      <c r="FU2" s="512" t="s">
        <v>165</v>
      </c>
    </row>
    <row r="3" spans="1:177" s="13" customFormat="1" ht="256">
      <c r="A3" s="48"/>
      <c r="B3" s="48" t="s">
        <v>166</v>
      </c>
      <c r="C3" s="64" t="s">
        <v>167</v>
      </c>
      <c r="D3" s="63"/>
      <c r="E3" s="48" t="s">
        <v>168</v>
      </c>
      <c r="F3" s="48">
        <v>3</v>
      </c>
      <c r="G3" s="213" t="s">
        <v>169</v>
      </c>
      <c r="H3" s="213" t="s">
        <v>170</v>
      </c>
      <c r="I3" s="213" t="s">
        <v>171</v>
      </c>
      <c r="J3" s="48">
        <v>2025</v>
      </c>
      <c r="K3" s="48">
        <v>2028</v>
      </c>
      <c r="L3" s="48" t="s">
        <v>172</v>
      </c>
      <c r="M3" s="48" t="s">
        <v>173</v>
      </c>
      <c r="N3" s="48" t="s">
        <v>174</v>
      </c>
      <c r="O3" s="63" t="s">
        <v>175</v>
      </c>
      <c r="P3" s="48" t="s">
        <v>0</v>
      </c>
      <c r="Q3" s="214" t="s">
        <v>1597</v>
      </c>
      <c r="R3" s="63" t="s">
        <v>177</v>
      </c>
      <c r="S3" s="63" t="str">
        <f t="shared" ref="S3:S34" si="0">BQ3</f>
        <v>Proses RBT-RBB</v>
      </c>
      <c r="T3" s="63" t="str">
        <f t="shared" ref="T3:T66" si="1">IF(V3=0%,"Not Started",IF(V3&lt;100%,"On Progress",IF(V3=100%,"DONE")))</f>
        <v>On Progress</v>
      </c>
      <c r="U3" s="63" t="str">
        <f t="shared" ref="U3:U34" si="2">FN3</f>
        <v>Aldo Fernanda</v>
      </c>
      <c r="V3" s="67">
        <f t="shared" ref="V3:V34" si="3">CC3</f>
        <v>1.4999999999999999E-2</v>
      </c>
      <c r="W3" s="59" t="s">
        <v>178</v>
      </c>
      <c r="X3" s="59">
        <f t="shared" ref="X3:X34" si="4">AR3</f>
        <v>47026</v>
      </c>
      <c r="Y3" s="215"/>
      <c r="Z3" s="48" t="s">
        <v>179</v>
      </c>
      <c r="AA3" s="216">
        <v>45962</v>
      </c>
      <c r="AB3" s="217">
        <v>46142</v>
      </c>
      <c r="AC3" s="217">
        <v>46143</v>
      </c>
      <c r="AD3" s="217">
        <v>46203</v>
      </c>
      <c r="AE3" s="217">
        <v>46174</v>
      </c>
      <c r="AF3" s="218">
        <v>46203</v>
      </c>
      <c r="AG3" s="217">
        <v>46204</v>
      </c>
      <c r="AH3" s="217">
        <v>46387</v>
      </c>
      <c r="AI3" s="217">
        <v>46388</v>
      </c>
      <c r="AJ3" s="217">
        <v>46446</v>
      </c>
      <c r="AK3" s="217">
        <v>46447</v>
      </c>
      <c r="AL3" s="59">
        <v>46811</v>
      </c>
      <c r="AM3" s="59">
        <v>46813</v>
      </c>
      <c r="AN3" s="59">
        <v>46904</v>
      </c>
      <c r="AO3" s="59">
        <v>46905</v>
      </c>
      <c r="AP3" s="59">
        <v>46996</v>
      </c>
      <c r="AQ3" s="59">
        <v>46997</v>
      </c>
      <c r="AR3" s="59">
        <v>47026</v>
      </c>
      <c r="AS3" s="63" t="str">
        <f t="shared" ref="AS3:AS41" si="5">IF(BE3=0%,"Not Started",IF(BE3&lt;5%,"Proses RBT-RBB",IF(BE3=5%,"Selesai RBT-RBB",IF(BE3&lt;10%,"Proses RBT-RBL",IF(BE3=10%,"Selesai RBT-RBL",IF(BE3&lt;15%,"Proses RBT-RBTD",IF(BE3=15%,"Selesai RBT-RBTD",IF(BE3&lt;20%,"Proses RPP",IF(BE3=20%,"Selesai RPP",IF(BE3&lt;25%,"Proses KAK",IF(BE3=25%,"Selesai KAK",IF(BE3&lt;30%,"Proses Pengadaan",IF(BE3=30%,"Selesai Pengadaan",IF(BE3&lt;45%,"Proses Desain",IF(BE3=45%,"Selesai Desain",IF(BE3&lt;80%,"Proses Pengembangan",IF(BE3=80%,"Selesai Pengembangan",IF(BE3&lt;87.5%,"Proses SIT",IF(BE3=87.5%,"Selesai SIT",IF(BE3&lt;95%,"Proses UAT",IF(BE3=95%,"Selesai UAT",IF(BE3&lt;100%,"Proses Implementasi","Selesai Implementasi"))))))))))))))))))))))</f>
        <v>Proses RBT-RBL</v>
      </c>
      <c r="AT3" s="63" t="str">
        <f t="shared" ref="AT3:AT41" si="6">IF(BF3=0%,"Not Started",IF(BF3&lt;5%,"Proses RBT-RBB",IF(BF3=5%,"Selesai RBT-RBB",IF(BF3&lt;10%,"Proses RBT-RBL",IF(BF3=10%,"Selesai RBT-RBL",IF(BF3&lt;15%,"Proses RBT-RBTD",IF(BF3=15%,"Selesai RBT-RBTD",IF(BF3&lt;20%,"Proses RPP",IF(BF3=20%,"Selesai RPP",IF(BF3&lt;25%,"Proses KAK",IF(BF3=25%,"Selesai KAK",IF(BF3&lt;30%,"Proses Pengadaan",IF(BF3=30%,"Selesai Pengadaan",IF(BF3&lt;45%,"Proses Desain",IF(BF3=45%,"Selesai Desain",IF(BF3&lt;80%,"Proses Pengembangan",IF(BF3=80%,"Selesai Pengembangan",IF(BF3&lt;87.5%,"Proses SIT",IF(BF3=87.5%,"Selesai SIT",IF(BF3&lt;95%,"Proses UAT",IF(BF3=95%,"Selesai UAT",IF(BF3&lt;100%,"Proses Implementasi","Selesai Implementasi"))))))))))))))))))))))</f>
        <v>Proses RBT-RBL</v>
      </c>
      <c r="AU3" s="63" t="str">
        <f t="shared" ref="AU3:AU41" si="7">IF(BG3=0%,"Not Started",IF(BG3&lt;5%,"Proses RBT-RBB",IF(BG3=5%,"Selesai RBT-RBB",IF(BG3&lt;10%,"Proses RBT-RBL",IF(BG3=10%,"Selesai RBT-RBL",IF(BG3&lt;15%,"Proses RBT-RBTD",IF(BG3=15%,"Selesai RBT-RBTD",IF(BG3&lt;20%,"Proses RPP",IF(BG3=20%,"Selesai RPP",IF(BG3&lt;25%,"Proses KAK",IF(BG3=25%,"Selesai KAK",IF(BG3&lt;30%,"Proses Pengadaan",IF(BG3=30%,"Selesai Pengadaan",IF(BG3&lt;45%,"Proses Desain",IF(BG3=45%,"Selesai Desain",IF(BG3&lt;80%,"Proses Pengembangan",IF(BG3=80%,"Selesai Pengembangan",IF(BG3&lt;87.5%,"Proses SIT",IF(BG3=87.5%,"Selesai SIT",IF(BG3&lt;95%,"Proses UAT",IF(BG3=95%,"Selesai UAT",IF(BG3&lt;100%,"Proses Implementasi","Selesai Implementasi"))))))))))))))))))))))</f>
        <v>Proses RBT-RBTD</v>
      </c>
      <c r="AV3" s="63" t="str">
        <f t="shared" ref="AV3:AV41" si="8">IF(BH3=0%,"Not Started",IF(BH3&lt;5%,"Proses RBT-RBB",IF(BH3=5%,"Selesai RBT-RBB",IF(BH3&lt;10%,"Proses RBT-RBL",IF(BH3=10%,"Selesai RBT-RBL",IF(BH3&lt;15%,"Proses RBT-RBTD",IF(BH3=15%,"Selesai RBT-RBTD",IF(BH3&lt;20%,"Proses RPP",IF(BH3=20%,"Selesai RPP",IF(BH3&lt;25%,"Proses KAK",IF(BH3=25%,"Selesai KAK",IF(BH3&lt;30%,"Proses Pengadaan",IF(BH3=30%,"Selesai Pengadaan",IF(BH3&lt;45%,"Proses Desain",IF(BH3=45%,"Selesai Desain",IF(BH3&lt;80%,"Proses Pengembangan",IF(BH3=80%,"Selesai Pengembangan",IF(BH3&lt;87.5%,"Proses SIT",IF(BH3=87.5%,"Selesai SIT",IF(BH3&lt;95%,"Proses UAT",IF(BH3=95%,"Selesai UAT",IF(BH3&lt;100%,"Proses Implementasi","Selesai Implementasi"))))))))))))))))))))))</f>
        <v>Selesai RBT-RBTD</v>
      </c>
      <c r="AW3" s="63" t="str">
        <f t="shared" ref="AW3:AW41" si="9">IF(BI3=0%,"Not Started",IF(BI3&lt;5%,"Proses RBT-RBB",IF(BI3=5%,"Selesai RBT-RBB",IF(BI3&lt;10%,"Proses RBT-RBL",IF(BI3=10%,"Selesai RBT-RBL",IF(BI3&lt;15%,"Proses RBT-RBTD",IF(BI3=15%,"Selesai RBT-RBTD",IF(BI3&lt;20%,"Proses RPP",IF(BI3=20%,"Selesai RPP",IF(BI3&lt;25%,"Proses KAK",IF(BI3=25%,"Selesai KAK",IF(BI3&lt;30%,"Proses Pengadaan",IF(BI3=30%,"Selesai Pengadaan",IF(BI3&lt;45%,"Proses Desain",IF(BI3=45%,"Selesai Desain",IF(BI3&lt;80%,"Proses Pengembangan",IF(BI3=80%,"Selesai Pengembangan",IF(BI3&lt;87.5%,"Proses SIT",IF(BI3=87.5%,"Selesai SIT",IF(BI3&lt;95%,"Proses UAT",IF(BI3=95%,"Selesai UAT",IF(BI3&lt;100%,"Proses Implementasi","Selesai Implementasi"))))))))))))))))))))))</f>
        <v>Proses RPP</v>
      </c>
      <c r="AX3" s="63" t="str">
        <f t="shared" ref="AX3:AX41" si="10">IF(BJ3=0%,"Not Started",IF(BJ3&lt;5%,"Proses RBT-RBB",IF(BJ3=5%,"Selesai RBT-RBB",IF(BJ3&lt;10%,"Proses RBT-RBL",IF(BJ3=10%,"Selesai RBT-RBL",IF(BJ3&lt;15%,"Proses RBT-RBTD",IF(BJ3=15%,"Selesai RBT-RBTD",IF(BJ3&lt;20%,"Proses RPP",IF(BJ3=20%,"Selesai RPP",IF(BJ3&lt;25%,"Proses KAK",IF(BJ3=25%,"Selesai KAK",IF(BJ3&lt;30%,"Proses Pengadaan",IF(BJ3=30%,"Selesai Pengadaan",IF(BJ3&lt;45%,"Proses Desain",IF(BJ3=45%,"Selesai Desain",IF(BJ3&lt;80%,"Proses Pengembangan",IF(BJ3=80%,"Selesai Pengembangan",IF(BJ3&lt;87.5%,"Proses SIT",IF(BJ3=87.5%,"Selesai SIT",IF(BJ3&lt;95%,"Proses UAT",IF(BJ3=95%,"Selesai UAT",IF(BJ3&lt;100%,"Proses Implementasi","Selesai Implementasi"))))))))))))))))))))))</f>
        <v>Selesai RPP</v>
      </c>
      <c r="AY3" s="63" t="str">
        <f t="shared" ref="AY3:AY41" si="11">IF(BK3=0%,"Not Started",IF(BK3&lt;5%,"Proses RBT-RBB",IF(BK3=5%,"Selesai RBT-RBB",IF(BK3&lt;10%,"Proses RBT-RBL",IF(BK3=10%,"Selesai RBT-RBL",IF(BK3&lt;15%,"Proses RBT-RBTD",IF(BK3=15%,"Selesai RBT-RBTD",IF(BK3&lt;20%,"Proses RPP",IF(BK3=20%,"Selesai RPP",IF(BK3&lt;25%,"Proses KAK",IF(BK3=25%,"Selesai KAK",IF(BK3&lt;30%,"Proses Pengadaan",IF(BK3=30%,"Selesai Pengadaan",IF(BK3&lt;45%,"Proses Desain",IF(BK3=45%,"Selesai Desain",IF(BK3&lt;80%,"Proses Pengembangan",IF(BK3=80%,"Selesai Pengembangan",IF(BK3&lt;87.5%,"Proses SIT",IF(BK3=87.5%,"Selesai SIT",IF(BK3&lt;95%,"Proses UAT",IF(BK3=95%,"Selesai UAT",IF(BK3&lt;100%,"Proses Implementasi","Selesai Implementasi"))))))))))))))))))))))</f>
        <v>Selesai KAK</v>
      </c>
      <c r="AZ3" s="63" t="str">
        <f t="shared" ref="AZ3:AZ41" si="12">IF(BL3=0%,"Not Started",IF(BL3&lt;5%,"Proses RBT-RBB",IF(BL3=5%,"Selesai RBT-RBB",IF(BL3&lt;10%,"Proses RBT-RBL",IF(BL3=10%,"Selesai RBT-RBL",IF(BL3&lt;15%,"Proses RBT-RBTD",IF(BL3=15%,"Selesai RBT-RBTD",IF(BL3&lt;20%,"Proses RPP",IF(BL3=20%,"Selesai RPP",IF(BL3&lt;25%,"Proses KAK",IF(BL3=25%,"Selesai KAK",IF(BL3&lt;30%,"Proses Pengadaan",IF(BL3=30%,"Selesai Pengadaan",IF(BL3&lt;45%,"Proses Desain",IF(BL3=45%,"Selesai Desain",IF(BL3&lt;80%,"Proses Pengembangan",IF(BL3=80%,"Selesai Pengembangan",IF(BL3&lt;87.5%,"Proses SIT",IF(BL3=87.5%,"Selesai SIT",IF(BL3&lt;95%,"Proses UAT",IF(BL3=95%,"Selesai UAT",IF(BL3&lt;100%,"Proses Implementasi","Selesai Implementasi"))))))))))))))))))))))</f>
        <v>Proses Pengadaan</v>
      </c>
      <c r="BA3" s="63" t="str">
        <f t="shared" ref="BA3:BA41" si="13">IF(BM3=0%,"Not Started",IF(BM3&lt;5%,"Proses RBT-RBB",IF(BM3=5%,"Selesai RBT-RBB",IF(BM3&lt;10%,"Proses RBT-RBL",IF(BM3=10%,"Selesai RBT-RBL",IF(BM3&lt;15%,"Proses RBT-RBTD",IF(BM3=15%,"Selesai RBT-RBTD",IF(BM3&lt;20%,"Proses RPP",IF(BM3=20%,"Selesai RPP",IF(BM3&lt;25%,"Proses KAK",IF(BM3=25%,"Selesai KAK",IF(BM3&lt;30%,"Proses Pengadaan",IF(BM3=30%,"Selesai Pengadaan",IF(BM3&lt;45%,"Proses Desain",IF(BM3=45%,"Selesai Desain",IF(BM3&lt;80%,"Proses Pengembangan",IF(BM3=80%,"Selesai Pengembangan",IF(BM3&lt;87.5%,"Proses SIT",IF(BM3=87.5%,"Selesai SIT",IF(BM3&lt;95%,"Proses UAT",IF(BM3=95%,"Selesai UAT",IF(BM3&lt;100%,"Proses Implementasi","Selesai Implementasi"))))))))))))))))))))))</f>
        <v>Proses Pengadaan</v>
      </c>
      <c r="BB3" s="63" t="str">
        <f t="shared" ref="BB3:BB41" si="14">IF(BN3=0%,"Not Started",IF(BN3&lt;5%,"Proses RBT-RBB",IF(BN3=5%,"Selesai RBT-RBB",IF(BN3&lt;10%,"Proses RBT-RBL",IF(BN3=10%,"Selesai RBT-RBL",IF(BN3&lt;15%,"Proses RBT-RBTD",IF(BN3=15%,"Selesai RBT-RBTD",IF(BN3&lt;20%,"Proses RPP",IF(BN3=20%,"Selesai RPP",IF(BN3&lt;25%,"Proses KAK",IF(BN3=25%,"Selesai KAK",IF(BN3&lt;30%,"Proses Pengadaan",IF(BN3=30%,"Selesai Pengadaan",IF(BN3&lt;45%,"Proses Desain",IF(BN3=45%,"Selesai Desain",IF(BN3&lt;80%,"Proses Pengembangan",IF(BN3=80%,"Selesai Pengembangan",IF(BN3&lt;87.5%,"Proses SIT",IF(BN3=87.5%,"Selesai SIT",IF(BN3&lt;95%,"Proses UAT",IF(BN3=95%,"Selesai UAT",IF(BN3&lt;100%,"Proses Implementasi","Selesai Implementasi"))))))))))))))))))))))</f>
        <v>Proses Pengadaan</v>
      </c>
      <c r="BC3" s="63" t="str">
        <f t="shared" ref="BC3:BC41" si="15">IF(BO3=0%,"Not Started",IF(BO3&lt;5%,"Proses RBT-RBB",IF(BO3=5%,"Selesai RBT-RBB",IF(BO3&lt;10%,"Proses RBT-RBL",IF(BO3=10%,"Selesai RBT-RBL",IF(BO3&lt;15%,"Proses RBT-RBTD",IF(BO3=15%,"Selesai RBT-RBTD",IF(BO3&lt;20%,"Proses RPP",IF(BO3=20%,"Selesai RPP",IF(BO3&lt;25%,"Proses KAK",IF(BO3=25%,"Selesai KAK",IF(BO3&lt;30%,"Proses Pengadaan",IF(BO3=30%,"Selesai Pengadaan",IF(BO3&lt;45%,"Proses Desain",IF(BO3=45%,"Selesai Desain",IF(BO3&lt;80%,"Proses Pengembangan",IF(BO3=80%,"Selesai Pengembangan",IF(BO3&lt;87.5%,"Proses SIT",IF(BO3=87.5%,"Selesai SIT",IF(BO3&lt;95%,"Proses UAT",IF(BO3=95%,"Selesai UAT",IF(BO3&lt;100%,"Proses Implementasi","Selesai Implementasi"))))))))))))))))))))))</f>
        <v>Proses Pengadaan</v>
      </c>
      <c r="BD3" s="63" t="str">
        <f t="shared" ref="BD3:BD41" si="16">IF(BP3=0%,"Not Started",IF(BP3&lt;5%,"Proses RBT-RBB",IF(BP3=5%,"Selesai RBT-RBB",IF(BP3&lt;10%,"Proses RBT-RBL",IF(BP3=10%,"Selesai RBT-RBL",IF(BP3&lt;15%,"Proses RBT-RBTD",IF(BP3=15%,"Selesai RBT-RBTD",IF(BP3&lt;20%,"Proses RPP",IF(BP3=20%,"Selesai RPP",IF(BP3&lt;25%,"Proses KAK",IF(BP3=25%,"Selesai KAK",IF(BP3&lt;30%,"Proses Pengadaan",IF(BP3=30%,"Selesai Pengadaan",IF(BP3&lt;45%,"Proses Desain",IF(BP3=45%,"Selesai Desain",IF(BP3&lt;80%,"Proses Pengembangan",IF(BP3=80%,"Selesai Pengembangan",IF(BP3&lt;87.5%,"Proses SIT",IF(BP3=87.5%,"Selesai SIT",IF(BP3&lt;95%,"Proses UAT",IF(BP3=95%,"Selesai UAT",IF(BP3&lt;100%,"Proses Implementasi","Selesai Implementasi"))))))))))))))))))))))</f>
        <v>Selesai Pengadaan</v>
      </c>
      <c r="BE3" s="219">
        <v>0.06</v>
      </c>
      <c r="BF3" s="219">
        <v>0.09</v>
      </c>
      <c r="BG3" s="219">
        <v>0.12</v>
      </c>
      <c r="BH3" s="219">
        <v>0.15</v>
      </c>
      <c r="BI3" s="43">
        <v>0.17499999999999999</v>
      </c>
      <c r="BJ3" s="219">
        <v>0.2</v>
      </c>
      <c r="BK3" s="219">
        <v>0.25</v>
      </c>
      <c r="BL3" s="219">
        <v>0.26</v>
      </c>
      <c r="BM3" s="219">
        <v>0.27</v>
      </c>
      <c r="BN3" s="219">
        <v>0.28000000000000003</v>
      </c>
      <c r="BO3" s="219">
        <v>0.28999999999999998</v>
      </c>
      <c r="BP3" s="219">
        <v>0.3</v>
      </c>
      <c r="BQ3" s="63" t="str">
        <f t="shared" ref="BQ3:BQ41" si="17">IF(CC3=0%,"Not Started",IF(CC3&lt;5%,"Proses RBT-RBB",IF(CC3=5%,"Selesai RBT-RBB",IF(CC3&lt;10%,"Proses RBT-RBL",IF(CC3=10%,"Selesai RBT-RBL",IF(CC3&lt;15%,"Proses RBT-RBTD",IF(CC3=15%,"Selesai RBT-RBTD",IF(CC3&lt;20%,"Proses RPP",IF(CC3=20%,"Selesai RPP",IF(CC3&lt;25%,"Proses KAK",IF(CC3=25%,"Selesai KAK",IF(CC3&lt;30%,"Proses Pengadaan",IF(CC3=30%,"Selesai Pengadaan",IF(CC3&lt;45%,"Proses Desain",IF(CC3=45%,"Selesai Desain",IF(CC3&lt;80%,"Proses Pengembangan",IF(CC3=80%,"Selesai Pengembangan",IF(CC3&lt;87.5%,"Proses SIT",IF(CC3=87.5%,"Selesai SIT",IF(CC3&lt;95%,"Proses UAT",IF(CC3=95%,"Selesai UAT",IF(CC3&lt;100%,"Proses Implementasi","Selesai Implementasi"))))))))))))))))))))))</f>
        <v>Proses RBT-RBB</v>
      </c>
      <c r="BR3" s="63" t="str">
        <f t="shared" ref="BR3:BR41" si="18">IF(CD3=0%,"Not Started",IF(CD3&lt;5%,"Proses RBT-RBB",IF(CD3=5%,"Selesai RBT-RBB",IF(CD3&lt;10%,"Proses RBT-RBL",IF(CD3=10%,"Selesai RBT-RBL",IF(CD3&lt;15%,"Proses RBT-RBTD",IF(CD3=15%,"Selesai RBT-RBTD",IF(CD3&lt;20%,"Proses RPP",IF(CD3=20%,"Selesai RPP",IF(CD3&lt;25%,"Proses KAK",IF(CD3=25%,"Selesai KAK",IF(CD3&lt;30%,"Proses Pengadaan",IF(CD3=30%,"Selesai Pengadaan",IF(CD3&lt;45%,"Proses Desain",IF(CD3=45%,"Selesai Desain",IF(CD3&lt;80%,"Proses Pengembangan",IF(CD3=80%,"Selesai Pengembangan",IF(CD3&lt;87.5%,"Proses SIT",IF(CD3=87.5%,"Selesai SIT",IF(CD3&lt;95%,"Proses UAT",IF(CD3=95%,"Selesai UAT",IF(CD3&lt;100%,"Proses Implementasi","Selesai Implementasi"))))))))))))))))))))))</f>
        <v>Not Started</v>
      </c>
      <c r="BS3" s="63" t="str">
        <f t="shared" ref="BS3:BS41" si="19">IF(CE3=0%,"Not Started",IF(CE3&lt;5%,"Proses RBT-RBB",IF(CE3=5%,"Selesai RBT-RBB",IF(CE3&lt;10%,"Proses RBT-RBL",IF(CE3=10%,"Selesai RBT-RBL",IF(CE3&lt;15%,"Proses RBT-RBTD",IF(CE3=15%,"Selesai RBT-RBTD",IF(CE3&lt;20%,"Proses RPP",IF(CE3=20%,"Selesai RPP",IF(CE3&lt;25%,"Proses KAK",IF(CE3=25%,"Selesai KAK",IF(CE3&lt;30%,"Proses Pengadaan",IF(CE3=30%,"Selesai Pengadaan",IF(CE3&lt;45%,"Proses Desain",IF(CE3=45%,"Selesai Desain",IF(CE3&lt;80%,"Proses Pengembangan",IF(CE3=80%,"Selesai Pengembangan",IF(CE3&lt;87.5%,"Proses SIT",IF(CE3=87.5%,"Selesai SIT",IF(CE3&lt;95%,"Proses UAT",IF(CE3=95%,"Selesai UAT",IF(CE3&lt;100%,"Proses Implementasi","Selesai Implementasi"))))))))))))))))))))))</f>
        <v>Not Started</v>
      </c>
      <c r="BT3" s="63" t="str">
        <f t="shared" ref="BT3:BT41" si="20">IF(CF3=0%,"Not Started",IF(CF3&lt;5%,"Proses RBT-RBB",IF(CF3=5%,"Selesai RBT-RBB",IF(CF3&lt;10%,"Proses RBT-RBL",IF(CF3=10%,"Selesai RBT-RBL",IF(CF3&lt;15%,"Proses RBT-RBTD",IF(CF3=15%,"Selesai RBT-RBTD",IF(CF3&lt;20%,"Proses RPP",IF(CF3=20%,"Selesai RPP",IF(CF3&lt;25%,"Proses KAK",IF(CF3=25%,"Selesai KAK",IF(CF3&lt;30%,"Proses Pengadaan",IF(CF3=30%,"Selesai Pengadaan",IF(CF3&lt;45%,"Proses Desain",IF(CF3=45%,"Selesai Desain",IF(CF3&lt;80%,"Proses Pengembangan",IF(CF3=80%,"Selesai Pengembangan",IF(CF3&lt;87.5%,"Proses SIT",IF(CF3=87.5%,"Selesai SIT",IF(CF3&lt;95%,"Proses UAT",IF(CF3=95%,"Selesai UAT",IF(CF3&lt;100%,"Proses Implementasi","Selesai Implementasi"))))))))))))))))))))))</f>
        <v>Not Started</v>
      </c>
      <c r="BU3" s="63" t="str">
        <f t="shared" ref="BU3:BU41" si="21">IF(CG3=0%,"Not Started",IF(CG3&lt;5%,"Proses RBT-RBB",IF(CG3=5%,"Selesai RBT-RBB",IF(CG3&lt;10%,"Proses RBT-RBL",IF(CG3=10%,"Selesai RBT-RBL",IF(CG3&lt;15%,"Proses RBT-RBTD",IF(CG3=15%,"Selesai RBT-RBTD",IF(CG3&lt;20%,"Proses RPP",IF(CG3=20%,"Selesai RPP",IF(CG3&lt;25%,"Proses KAK",IF(CG3=25%,"Selesai KAK",IF(CG3&lt;30%,"Proses Pengadaan",IF(CG3=30%,"Selesai Pengadaan",IF(CG3&lt;45%,"Proses Desain",IF(CG3=45%,"Selesai Desain",IF(CG3&lt;80%,"Proses Pengembangan",IF(CG3=80%,"Selesai Pengembangan",IF(CG3&lt;87.5%,"Proses SIT",IF(CG3=87.5%,"Selesai SIT",IF(CG3&lt;95%,"Proses UAT",IF(CG3=95%,"Selesai UAT",IF(CG3&lt;100%,"Proses Implementasi","Selesai Implementasi"))))))))))))))))))))))</f>
        <v>Not Started</v>
      </c>
      <c r="BV3" s="63" t="str">
        <f t="shared" ref="BV3:BV41" si="22">IF(CH3=0%,"Not Started",IF(CH3&lt;5%,"Proses RBT-RBB",IF(CH3=5%,"Selesai RBT-RBB",IF(CH3&lt;10%,"Proses RBT-RBL",IF(CH3=10%,"Selesai RBT-RBL",IF(CH3&lt;15%,"Proses RBT-RBTD",IF(CH3=15%,"Selesai RBT-RBTD",IF(CH3&lt;20%,"Proses RPP",IF(CH3=20%,"Selesai RPP",IF(CH3&lt;25%,"Proses KAK",IF(CH3=25%,"Selesai KAK",IF(CH3&lt;30%,"Proses Pengadaan",IF(CH3=30%,"Selesai Pengadaan",IF(CH3&lt;45%,"Proses Desain",IF(CH3=45%,"Selesai Desain",IF(CH3&lt;80%,"Proses Pengembangan",IF(CH3=80%,"Selesai Pengembangan",IF(CH3&lt;87.5%,"Proses SIT",IF(CH3=87.5%,"Selesai SIT",IF(CH3&lt;95%,"Proses UAT",IF(CH3=95%,"Selesai UAT",IF(CH3&lt;100%,"Proses Implementasi","Selesai Implementasi"))))))))))))))))))))))</f>
        <v>Not Started</v>
      </c>
      <c r="BW3" s="63" t="str">
        <f t="shared" ref="BW3:BW41" si="23">IF(CI3=0%,"Not Started",IF(CI3&lt;5%,"Proses RBT-RBB",IF(CI3=5%,"Selesai RBT-RBB",IF(CI3&lt;10%,"Proses RBT-RBL",IF(CI3=10%,"Selesai RBT-RBL",IF(CI3&lt;15%,"Proses RBT-RBTD",IF(CI3=15%,"Selesai RBT-RBTD",IF(CI3&lt;20%,"Proses RPP",IF(CI3=20%,"Selesai RPP",IF(CI3&lt;25%,"Proses KAK",IF(CI3=25%,"Selesai KAK",IF(CI3&lt;30%,"Proses Pengadaan",IF(CI3=30%,"Selesai Pengadaan",IF(CI3&lt;45%,"Proses Desain",IF(CI3=45%,"Selesai Desain",IF(CI3&lt;80%,"Proses Pengembangan",IF(CI3=80%,"Selesai Pengembangan",IF(CI3&lt;87.5%,"Proses SIT",IF(CI3=87.5%,"Selesai SIT",IF(CI3&lt;95%,"Proses UAT",IF(CI3=95%,"Selesai UAT",IF(CI3&lt;100%,"Proses Implementasi","Selesai Implementasi"))))))))))))))))))))))</f>
        <v>Not Started</v>
      </c>
      <c r="BX3" s="63" t="str">
        <f t="shared" ref="BX3:BX41" si="24">IF(CJ3=0%,"Not Started",IF(CJ3&lt;5%,"Proses RBT-RBB",IF(CJ3=5%,"Selesai RBT-RBB",IF(CJ3&lt;10%,"Proses RBT-RBL",IF(CJ3=10%,"Selesai RBT-RBL",IF(CJ3&lt;15%,"Proses RBT-RBTD",IF(CJ3=15%,"Selesai RBT-RBTD",IF(CJ3&lt;20%,"Proses RPP",IF(CJ3=20%,"Selesai RPP",IF(CJ3&lt;25%,"Proses KAK",IF(CJ3=25%,"Selesai KAK",IF(CJ3&lt;30%,"Proses Pengadaan",IF(CJ3=30%,"Selesai Pengadaan",IF(CJ3&lt;45%,"Proses Desain",IF(CJ3=45%,"Selesai Desain",IF(CJ3&lt;80%,"Proses Pengembangan",IF(CJ3=80%,"Selesai Pengembangan",IF(CJ3&lt;87.5%,"Proses SIT",IF(CJ3=87.5%,"Selesai SIT",IF(CJ3&lt;95%,"Proses UAT",IF(CJ3=95%,"Selesai UAT",IF(CJ3&lt;100%,"Proses Implementasi","Selesai Implementasi"))))))))))))))))))))))</f>
        <v>Not Started</v>
      </c>
      <c r="BY3" s="63" t="str">
        <f t="shared" ref="BY3:BY41" si="25">IF(CK3=0%,"Not Started",IF(CK3&lt;5%,"Proses RBT-RBB",IF(CK3=5%,"Selesai RBT-RBB",IF(CK3&lt;10%,"Proses RBT-RBL",IF(CK3=10%,"Selesai RBT-RBL",IF(CK3&lt;15%,"Proses RBT-RBTD",IF(CK3=15%,"Selesai RBT-RBTD",IF(CK3&lt;20%,"Proses RPP",IF(CK3=20%,"Selesai RPP",IF(CK3&lt;25%,"Proses KAK",IF(CK3=25%,"Selesai KAK",IF(CK3&lt;30%,"Proses Pengadaan",IF(CK3=30%,"Selesai Pengadaan",IF(CK3&lt;45%,"Proses Desain",IF(CK3=45%,"Selesai Desain",IF(CK3&lt;80%,"Proses Pengembangan",IF(CK3=80%,"Selesai Pengembangan",IF(CK3&lt;87.5%,"Proses SIT",IF(CK3=87.5%,"Selesai SIT",IF(CK3&lt;95%,"Proses UAT",IF(CK3=95%,"Selesai UAT",IF(CK3&lt;100%,"Proses Implementasi","Selesai Implementasi"))))))))))))))))))))))</f>
        <v>Not Started</v>
      </c>
      <c r="BZ3" s="63" t="str">
        <f t="shared" ref="BZ3:BZ41" si="26">IF(CL3=0%,"Not Started",IF(CL3&lt;5%,"Proses RBT-RBB",IF(CL3=5%,"Selesai RBT-RBB",IF(CL3&lt;10%,"Proses RBT-RBL",IF(CL3=10%,"Selesai RBT-RBL",IF(CL3&lt;15%,"Proses RBT-RBTD",IF(CL3=15%,"Selesai RBT-RBTD",IF(CL3&lt;20%,"Proses RPP",IF(CL3=20%,"Selesai RPP",IF(CL3&lt;25%,"Proses KAK",IF(CL3=25%,"Selesai KAK",IF(CL3&lt;30%,"Proses Pengadaan",IF(CL3=30%,"Selesai Pengadaan",IF(CL3&lt;45%,"Proses Desain",IF(CL3=45%,"Selesai Desain",IF(CL3&lt;80%,"Proses Pengembangan",IF(CL3=80%,"Selesai Pengembangan",IF(CL3&lt;87.5%,"Proses SIT",IF(CL3=87.5%,"Selesai SIT",IF(CL3&lt;95%,"Proses UAT",IF(CL3=95%,"Selesai UAT",IF(CL3&lt;100%,"Proses Implementasi","Selesai Implementasi"))))))))))))))))))))))</f>
        <v>Not Started</v>
      </c>
      <c r="CA3" s="63" t="str">
        <f t="shared" ref="CA3:CA41" si="27">IF(CM3=0%,"Not Started",IF(CM3&lt;5%,"Proses RBT-RBB",IF(CM3=5%,"Selesai RBT-RBB",IF(CM3&lt;10%,"Proses RBT-RBL",IF(CM3=10%,"Selesai RBT-RBL",IF(CM3&lt;15%,"Proses RBT-RBTD",IF(CM3=15%,"Selesai RBT-RBTD",IF(CM3&lt;20%,"Proses RPP",IF(CM3=20%,"Selesai RPP",IF(CM3&lt;25%,"Proses KAK",IF(CM3=25%,"Selesai KAK",IF(CM3&lt;30%,"Proses Pengadaan",IF(CM3=30%,"Selesai Pengadaan",IF(CM3&lt;45%,"Proses Desain",IF(CM3=45%,"Selesai Desain",IF(CM3&lt;80%,"Proses Pengembangan",IF(CM3=80%,"Selesai Pengembangan",IF(CM3&lt;87.5%,"Proses SIT",IF(CM3=87.5%,"Selesai SIT",IF(CM3&lt;95%,"Proses UAT",IF(CM3=95%,"Selesai UAT",IF(CM3&lt;100%,"Proses Implementasi","Selesai Implementasi"))))))))))))))))))))))</f>
        <v>Not Started</v>
      </c>
      <c r="CB3" s="63" t="str">
        <f t="shared" ref="CB3:CB41" si="28">IF(CN3=0%,"Not Started",IF(CN3&lt;5%,"Proses RBT-RBB",IF(CN3=5%,"Selesai RBT-RBB",IF(CN3&lt;10%,"Proses RBT-RBL",IF(CN3=10%,"Selesai RBT-RBL",IF(CN3&lt;15%,"Proses RBT-RBTD",IF(CN3=15%,"Selesai RBT-RBTD",IF(CN3&lt;20%,"Proses RPP",IF(CN3=20%,"Selesai RPP",IF(CN3&lt;25%,"Proses KAK",IF(CN3=25%,"Selesai KAK",IF(CN3&lt;30%,"Proses Pengadaan",IF(CN3=30%,"Selesai Pengadaan",IF(CN3&lt;45%,"Proses Desain",IF(CN3=45%,"Selesai Desain",IF(CN3&lt;80%,"Proses Pengembangan",IF(CN3=80%,"Selesai Pengembangan",IF(CN3&lt;87.5%,"Proses SIT",IF(CN3=87.5%,"Selesai SIT",IF(CN3&lt;95%,"Proses UAT",IF(CN3=95%,"Selesai UAT",IF(CN3&lt;100%,"Proses Implementasi","Selesai Implementasi"))))))))))))))))))))))</f>
        <v>Not Started</v>
      </c>
      <c r="CC3" s="44">
        <f>(($DY3/100%)*15%)+(($DZ3/100%)*5%)+(($EA3/100%)*5%)+(($EB3/100%)*5%)+(($EC3/100%)*15%)+(($ED3/100%)*35%)+(($EE3/100%)*7.5%)+(($EF3/100%)*7.5%)+(($EG3/100%)*5%)</f>
        <v>1.4999999999999999E-2</v>
      </c>
      <c r="CD3" s="48"/>
      <c r="CE3" s="220"/>
      <c r="CF3" s="220"/>
      <c r="CG3" s="220"/>
      <c r="CH3" s="220"/>
      <c r="CI3" s="220"/>
      <c r="CJ3" s="220"/>
      <c r="CK3" s="220"/>
      <c r="CL3" s="44"/>
      <c r="CM3" s="44"/>
      <c r="CN3" s="44"/>
      <c r="CO3" s="45">
        <f>IF(BE3=0%, 100%, (CC3/BE3))</f>
        <v>0.25</v>
      </c>
      <c r="CP3" s="45">
        <f>IF(BF3=0%, 100%, (CD3/BF3))</f>
        <v>0</v>
      </c>
      <c r="CQ3" s="45">
        <f t="shared" ref="CQ3:CQ41" si="29">IF(BG3=0%, 100%, (CE3/BG3))</f>
        <v>0</v>
      </c>
      <c r="CR3" s="45">
        <f t="shared" ref="CR3:CR41" si="30">IF(BH3=0%, 100%, (CF3/BH3))</f>
        <v>0</v>
      </c>
      <c r="CS3" s="45">
        <f t="shared" ref="CS3:CS41" si="31">IF(BI3=0%, 100%, (CG3/BI3))</f>
        <v>0</v>
      </c>
      <c r="CT3" s="45">
        <f t="shared" ref="CT3:CT41" si="32">IF(BJ3=0%, 100%, (CH3/BJ3))</f>
        <v>0</v>
      </c>
      <c r="CU3" s="45">
        <f t="shared" ref="CU3:CU41" si="33">IF(BK3=0%, 100%, (CI3/BK3))</f>
        <v>0</v>
      </c>
      <c r="CV3" s="45">
        <f t="shared" ref="CV3:CV41" si="34">IF(BL3=0%, 100%, (CJ3/BL3))</f>
        <v>0</v>
      </c>
      <c r="CW3" s="45">
        <f t="shared" ref="CW3:CW41" si="35">IF(BM3=0%, 100%, (CK3/BM3))</f>
        <v>0</v>
      </c>
      <c r="CX3" s="45">
        <f t="shared" ref="CX3:CX41" si="36">IF(BN3=0%, 100%, (CL3/BN3))</f>
        <v>0</v>
      </c>
      <c r="CY3" s="45">
        <f t="shared" ref="CY3:CY41" si="37">IF(BO3=0%, 100%, (CM3/BO3))</f>
        <v>0</v>
      </c>
      <c r="CZ3" s="220"/>
      <c r="DA3" s="45" t="str">
        <f t="shared" ref="DA3:DA41" si="38">IF(BE3=0%,"NS",IF(CC3=100%,"DONE",IF(CO3&gt;100%,"AS",IF(CO3&lt;75%,"BS",IF(CO3&lt;89.9%,"AR","OS")))))</f>
        <v>BS</v>
      </c>
      <c r="DB3" s="45" t="str">
        <f t="shared" ref="DB3:DB41" si="39">IF(BF3=0%,"NS",IF(CD3=100%,"DONE",IF(CP3&gt;100%,"AS",IF(CP3&lt;75%,"BS",IF(CP3&lt;89.9%,"AR","OS")))))</f>
        <v>BS</v>
      </c>
      <c r="DC3" s="45" t="str">
        <f t="shared" ref="DC3:DC41" si="40">IF(BG3=0%,"NS",IF(CE3=100%,"DONE",IF(CQ3&gt;100%,"AS",IF(CQ3&lt;75%,"BS",IF(CQ3&lt;89.9%,"AR","OS")))))</f>
        <v>BS</v>
      </c>
      <c r="DD3" s="45" t="str">
        <f t="shared" ref="DD3:DD41" si="41">IF(BH3=0%,"NS",IF(CF3=100%,"DONE",IF(CR3&gt;100%,"AS",IF(CR3&lt;75%,"BS",IF(CR3&lt;89.9%,"AR","OS")))))</f>
        <v>BS</v>
      </c>
      <c r="DE3" s="45" t="str">
        <f t="shared" ref="DE3:DE41" si="42">IF(BI3=0%,"NS",IF(CG3=100%,"DONE",IF(CS3&gt;100%,"AS",IF(CS3&lt;75%,"BS",IF(CS3&lt;89.9%,"AR","OS")))))</f>
        <v>BS</v>
      </c>
      <c r="DF3" s="45" t="str">
        <f t="shared" ref="DF3:DF41" si="43">IF(BJ3=0%,"NS",IF(CH3=100%,"DONE",IF(CT3&gt;100%,"AS",IF(CT3&lt;75%,"BS",IF(CT3&lt;89.9%,"AR","OS")))))</f>
        <v>BS</v>
      </c>
      <c r="DG3" s="45" t="str">
        <f t="shared" ref="DG3:DG41" si="44">IF(BK3=0%,"NS",IF(CI3=100%,"DONE",IF(CU3&gt;100%,"AS",IF(CU3&lt;75%,"BS",IF(CU3&lt;89.9%,"AR","OS")))))</f>
        <v>BS</v>
      </c>
      <c r="DH3" s="45" t="str">
        <f t="shared" ref="DH3:DH41" si="45">IF(BL3=0%,"NS",IF(CJ3=100%,"DONE",IF(CV3&gt;100%,"AS",IF(CV3&lt;75%,"BS",IF(CV3&lt;89.9%,"AR","OS")))))</f>
        <v>BS</v>
      </c>
      <c r="DI3" s="45" t="str">
        <f t="shared" ref="DI3:DI41" si="46">IF(BM3=0%,"NS",IF(CK3=100%,"DONE",IF(CW3&gt;100%,"AS",IF(CW3&lt;75%,"BS",IF(CW3&lt;89.9%,"AR","OS")))))</f>
        <v>BS</v>
      </c>
      <c r="DJ3" s="45" t="str">
        <f t="shared" ref="DJ3:DJ41" si="47">IF(BN3=0%,"NS",IF(CL3=100%,"DONE",IF(CX3&gt;100%,"AS",IF(CX3&lt;75%,"BS",IF(CX3&lt;89.9%,"AR","OS")))))</f>
        <v>BS</v>
      </c>
      <c r="DK3" s="45" t="str">
        <f t="shared" ref="DK3:DK41" si="48">IF(BO3=0%,"NS",IF(CM3=100%,"DONE",IF(CY3&gt;100%,"AS",IF(CY3&lt;75%,"BS",IF(CY3&lt;89.9%,"AR","OS")))))</f>
        <v>BS</v>
      </c>
      <c r="DL3" s="45" t="str">
        <f t="shared" ref="DL3:DL41" si="49">IF(BP3=0%,"NS",IF(CN3=100%,"DONE",IF(CZ3&gt;100%,"AS",IF(CZ3&lt;75%,"BS",IF(CZ3&lt;89.9%,"AR","OS")))))</f>
        <v>BS</v>
      </c>
      <c r="DM3" s="45">
        <f t="shared" ref="DM3:DM41" si="50">CC3/$BP3</f>
        <v>0.05</v>
      </c>
      <c r="DN3" s="45">
        <f t="shared" ref="DN3:DN41" si="51">CD3/$BP3</f>
        <v>0</v>
      </c>
      <c r="DO3" s="45">
        <f t="shared" ref="DO3:DO41" si="52">CE3/$BP3</f>
        <v>0</v>
      </c>
      <c r="DP3" s="45">
        <f t="shared" ref="DP3:DP41" si="53">CF3/$BP3</f>
        <v>0</v>
      </c>
      <c r="DQ3" s="45">
        <f t="shared" ref="DQ3:DQ41" si="54">CG3/$BP3</f>
        <v>0</v>
      </c>
      <c r="DR3" s="45">
        <f t="shared" ref="DR3:DR41" si="55">CH3/$BP3</f>
        <v>0</v>
      </c>
      <c r="DS3" s="45">
        <f t="shared" ref="DS3:DS41" si="56">CI3/$BP3</f>
        <v>0</v>
      </c>
      <c r="DT3" s="45">
        <f t="shared" ref="DT3:DT41" si="57">CJ3/$BP3</f>
        <v>0</v>
      </c>
      <c r="DU3" s="45">
        <f t="shared" ref="DU3:DU41" si="58">CK3/$BP3</f>
        <v>0</v>
      </c>
      <c r="DV3" s="45">
        <f t="shared" ref="DV3:DV41" si="59">CL3/$BP3</f>
        <v>0</v>
      </c>
      <c r="DW3" s="45">
        <f t="shared" ref="DW3:DW41" si="60">CM3/$BP3</f>
        <v>0</v>
      </c>
      <c r="DX3" s="45">
        <f t="shared" ref="DX3:DX41" si="61">CN3/$BP3</f>
        <v>0</v>
      </c>
      <c r="DY3" s="41">
        <v>0.1</v>
      </c>
      <c r="DZ3" s="41"/>
      <c r="EA3" s="41"/>
      <c r="EB3" s="41"/>
      <c r="EC3" s="41"/>
      <c r="ED3" s="41"/>
      <c r="EE3" s="53"/>
      <c r="EF3" s="54"/>
      <c r="EG3" s="54"/>
      <c r="EH3" s="47" t="s">
        <v>1612</v>
      </c>
      <c r="EI3" s="222"/>
      <c r="EJ3" s="59">
        <f t="shared" ref="EJ3:EJ41" si="62">AR3</f>
        <v>47026</v>
      </c>
      <c r="EK3" s="59"/>
      <c r="EL3" s="59"/>
      <c r="EM3" s="59"/>
      <c r="EN3" s="222"/>
      <c r="EO3" s="222"/>
      <c r="EP3" s="220"/>
      <c r="EQ3" s="222"/>
      <c r="ER3" s="223"/>
      <c r="ES3" s="220"/>
      <c r="ET3" s="222"/>
      <c r="EU3" s="222"/>
      <c r="EV3" s="220"/>
      <c r="EW3" s="220"/>
      <c r="EX3" s="220"/>
      <c r="EY3" s="220"/>
      <c r="EZ3" s="220"/>
      <c r="FA3" s="222"/>
      <c r="FB3" s="220"/>
      <c r="FC3" s="222"/>
      <c r="FD3" s="220"/>
      <c r="FE3" s="220"/>
      <c r="FF3" s="222"/>
      <c r="FG3" s="222"/>
      <c r="FH3" s="220"/>
      <c r="FI3" s="220"/>
      <c r="FJ3" s="220"/>
      <c r="FK3" s="220"/>
      <c r="FL3" s="220"/>
      <c r="FM3" s="172"/>
      <c r="FN3" s="172" t="s">
        <v>180</v>
      </c>
      <c r="FO3" s="172" t="s">
        <v>181</v>
      </c>
      <c r="FP3" s="172" t="s">
        <v>182</v>
      </c>
      <c r="FQ3" s="172" t="s">
        <v>183</v>
      </c>
      <c r="FR3" s="213" t="s">
        <v>184</v>
      </c>
      <c r="FS3" s="223"/>
      <c r="FT3" s="223"/>
      <c r="FU3" s="48"/>
    </row>
    <row r="4" spans="1:177" s="13" customFormat="1" ht="224">
      <c r="A4" s="48"/>
      <c r="B4" s="48" t="s">
        <v>166</v>
      </c>
      <c r="C4" s="64" t="s">
        <v>167</v>
      </c>
      <c r="D4" s="63"/>
      <c r="E4" s="48" t="s">
        <v>185</v>
      </c>
      <c r="F4" s="48">
        <v>3</v>
      </c>
      <c r="G4" s="213" t="s">
        <v>186</v>
      </c>
      <c r="H4" s="213" t="s">
        <v>186</v>
      </c>
      <c r="I4" s="213" t="s">
        <v>187</v>
      </c>
      <c r="J4" s="48">
        <v>2026</v>
      </c>
      <c r="K4" s="48">
        <v>2029</v>
      </c>
      <c r="L4" s="48" t="s">
        <v>172</v>
      </c>
      <c r="M4" s="48" t="s">
        <v>173</v>
      </c>
      <c r="N4" s="48" t="s">
        <v>174</v>
      </c>
      <c r="O4" s="63" t="s">
        <v>188</v>
      </c>
      <c r="P4" s="48" t="s">
        <v>15</v>
      </c>
      <c r="Q4" s="214" t="s">
        <v>189</v>
      </c>
      <c r="R4" s="63" t="s">
        <v>190</v>
      </c>
      <c r="S4" s="63" t="str">
        <f t="shared" si="0"/>
        <v>Not Started</v>
      </c>
      <c r="T4" s="63" t="str">
        <f t="shared" si="1"/>
        <v>Not Started</v>
      </c>
      <c r="U4" s="63" t="str">
        <f t="shared" si="2"/>
        <v>Aldo Fernanda</v>
      </c>
      <c r="V4" s="67">
        <f t="shared" si="3"/>
        <v>0</v>
      </c>
      <c r="W4" s="59" t="s">
        <v>191</v>
      </c>
      <c r="X4" s="59">
        <f t="shared" si="4"/>
        <v>47391</v>
      </c>
      <c r="Y4" s="215"/>
      <c r="Z4" s="48" t="s">
        <v>179</v>
      </c>
      <c r="AA4" s="216">
        <v>46296</v>
      </c>
      <c r="AB4" s="217">
        <v>46568</v>
      </c>
      <c r="AC4" s="217">
        <v>46569</v>
      </c>
      <c r="AD4" s="217">
        <v>46660</v>
      </c>
      <c r="AE4" s="217">
        <v>46631</v>
      </c>
      <c r="AF4" s="218">
        <v>46660</v>
      </c>
      <c r="AG4" s="217">
        <v>46661</v>
      </c>
      <c r="AH4" s="217">
        <v>46843</v>
      </c>
      <c r="AI4" s="218">
        <v>46844</v>
      </c>
      <c r="AJ4" s="218">
        <v>46873</v>
      </c>
      <c r="AK4" s="42">
        <v>46874</v>
      </c>
      <c r="AL4" s="42">
        <v>47177</v>
      </c>
      <c r="AM4" s="42">
        <v>47178</v>
      </c>
      <c r="AN4" s="42">
        <v>47269</v>
      </c>
      <c r="AO4" s="42">
        <v>47270</v>
      </c>
      <c r="AP4" s="42">
        <v>47361</v>
      </c>
      <c r="AQ4" s="59">
        <v>47362</v>
      </c>
      <c r="AR4" s="59">
        <v>47391</v>
      </c>
      <c r="AS4" s="63" t="str">
        <f t="shared" si="5"/>
        <v>Not Started</v>
      </c>
      <c r="AT4" s="63" t="str">
        <f t="shared" si="6"/>
        <v>Not Started</v>
      </c>
      <c r="AU4" s="63" t="str">
        <f t="shared" si="7"/>
        <v>Not Started</v>
      </c>
      <c r="AV4" s="63" t="str">
        <f t="shared" si="8"/>
        <v>Not Started</v>
      </c>
      <c r="AW4" s="63" t="str">
        <f t="shared" si="9"/>
        <v>Not Started</v>
      </c>
      <c r="AX4" s="63" t="str">
        <f t="shared" si="10"/>
        <v>Not Started</v>
      </c>
      <c r="AY4" s="63" t="str">
        <f t="shared" si="11"/>
        <v>Not Started</v>
      </c>
      <c r="AZ4" s="63" t="str">
        <f t="shared" si="12"/>
        <v>Not Started</v>
      </c>
      <c r="BA4" s="63" t="str">
        <f t="shared" si="13"/>
        <v>Not Started</v>
      </c>
      <c r="BB4" s="63" t="str">
        <f t="shared" si="14"/>
        <v>Proses RBT-RBB</v>
      </c>
      <c r="BC4" s="63" t="str">
        <f t="shared" si="15"/>
        <v>Proses RBT-RBB</v>
      </c>
      <c r="BD4" s="63" t="str">
        <f t="shared" si="16"/>
        <v>Proses RBT-RBB</v>
      </c>
      <c r="BE4" s="219">
        <v>0</v>
      </c>
      <c r="BF4" s="219">
        <v>0</v>
      </c>
      <c r="BG4" s="219">
        <v>0</v>
      </c>
      <c r="BH4" s="219">
        <v>0</v>
      </c>
      <c r="BI4" s="219">
        <v>0</v>
      </c>
      <c r="BJ4" s="219">
        <v>0</v>
      </c>
      <c r="BK4" s="219">
        <v>0</v>
      </c>
      <c r="BL4" s="219">
        <v>0</v>
      </c>
      <c r="BM4" s="219">
        <v>0</v>
      </c>
      <c r="BN4" s="219">
        <v>0.01</v>
      </c>
      <c r="BO4" s="219">
        <v>0.02</v>
      </c>
      <c r="BP4" s="219">
        <v>0.03</v>
      </c>
      <c r="BQ4" s="63" t="str">
        <f t="shared" si="17"/>
        <v>Not Started</v>
      </c>
      <c r="BR4" s="63" t="str">
        <f t="shared" si="18"/>
        <v>Not Started</v>
      </c>
      <c r="BS4" s="63" t="str">
        <f t="shared" si="19"/>
        <v>Not Started</v>
      </c>
      <c r="BT4" s="63" t="str">
        <f t="shared" si="20"/>
        <v>Not Started</v>
      </c>
      <c r="BU4" s="63" t="str">
        <f t="shared" si="21"/>
        <v>Not Started</v>
      </c>
      <c r="BV4" s="63" t="str">
        <f t="shared" si="22"/>
        <v>Not Started</v>
      </c>
      <c r="BW4" s="63" t="str">
        <f t="shared" si="23"/>
        <v>Not Started</v>
      </c>
      <c r="BX4" s="63" t="str">
        <f t="shared" si="24"/>
        <v>Not Started</v>
      </c>
      <c r="BY4" s="63" t="str">
        <f t="shared" si="25"/>
        <v>Not Started</v>
      </c>
      <c r="BZ4" s="63" t="str">
        <f t="shared" si="26"/>
        <v>Not Started</v>
      </c>
      <c r="CA4" s="63" t="str">
        <f t="shared" si="27"/>
        <v>Not Started</v>
      </c>
      <c r="CB4" s="63" t="str">
        <f t="shared" si="28"/>
        <v>Not Started</v>
      </c>
      <c r="CC4" s="44">
        <f>(($DY4/100%)*15%)+(($DZ4/100%)*5%)+(($EA4/100%)*5%)+(($EB4/100%)*5%)+(($EC4/100%)*15%)+(($ED4/100%)*35%)+(($EE4/100%)*7.5%)+(($EF4/100%)*7.5%)+(($EG4/100%)*5%)</f>
        <v>0</v>
      </c>
      <c r="CD4" s="48"/>
      <c r="CE4" s="220"/>
      <c r="CF4" s="220"/>
      <c r="CG4" s="220"/>
      <c r="CH4" s="220"/>
      <c r="CI4" s="220"/>
      <c r="CJ4" s="220"/>
      <c r="CK4" s="220"/>
      <c r="CL4" s="44"/>
      <c r="CM4" s="44"/>
      <c r="CN4" s="44"/>
      <c r="CO4" s="45">
        <f t="shared" ref="CO4:CO41" si="63">IF(BE4=0%, 100%, (CC4/BE4))</f>
        <v>1</v>
      </c>
      <c r="CP4" s="45">
        <f>IF(BF4=0%, 100%, (CD4/BF4))</f>
        <v>1</v>
      </c>
      <c r="CQ4" s="45">
        <f t="shared" si="29"/>
        <v>1</v>
      </c>
      <c r="CR4" s="45">
        <f t="shared" si="30"/>
        <v>1</v>
      </c>
      <c r="CS4" s="45">
        <f t="shared" si="31"/>
        <v>1</v>
      </c>
      <c r="CT4" s="45">
        <f t="shared" si="32"/>
        <v>1</v>
      </c>
      <c r="CU4" s="45">
        <f t="shared" si="33"/>
        <v>1</v>
      </c>
      <c r="CV4" s="45">
        <f t="shared" si="34"/>
        <v>1</v>
      </c>
      <c r="CW4" s="45">
        <f t="shared" si="35"/>
        <v>1</v>
      </c>
      <c r="CX4" s="45">
        <f t="shared" si="36"/>
        <v>0</v>
      </c>
      <c r="CY4" s="45">
        <f t="shared" si="37"/>
        <v>0</v>
      </c>
      <c r="CZ4" s="220"/>
      <c r="DA4" s="45" t="str">
        <f>IF(BE4=0%,"NS",IF(CC4=100%,"DONE",IF(CO4&gt;100%,"AS",IF(CO4&lt;75%,"BS",IF(CO4&lt;89.9%,"AR","OS")))))</f>
        <v>NS</v>
      </c>
      <c r="DB4" s="45" t="str">
        <f t="shared" si="39"/>
        <v>NS</v>
      </c>
      <c r="DC4" s="45" t="str">
        <f t="shared" si="40"/>
        <v>NS</v>
      </c>
      <c r="DD4" s="45" t="str">
        <f t="shared" si="41"/>
        <v>NS</v>
      </c>
      <c r="DE4" s="45" t="str">
        <f t="shared" si="42"/>
        <v>NS</v>
      </c>
      <c r="DF4" s="45" t="str">
        <f t="shared" si="43"/>
        <v>NS</v>
      </c>
      <c r="DG4" s="45" t="str">
        <f t="shared" si="44"/>
        <v>NS</v>
      </c>
      <c r="DH4" s="45" t="str">
        <f t="shared" si="45"/>
        <v>NS</v>
      </c>
      <c r="DI4" s="45" t="str">
        <f t="shared" si="46"/>
        <v>NS</v>
      </c>
      <c r="DJ4" s="45" t="str">
        <f t="shared" si="47"/>
        <v>BS</v>
      </c>
      <c r="DK4" s="45" t="str">
        <f t="shared" si="48"/>
        <v>BS</v>
      </c>
      <c r="DL4" s="45" t="str">
        <f t="shared" si="49"/>
        <v>BS</v>
      </c>
      <c r="DM4" s="45">
        <f t="shared" si="50"/>
        <v>0</v>
      </c>
      <c r="DN4" s="45">
        <f t="shared" si="51"/>
        <v>0</v>
      </c>
      <c r="DO4" s="45">
        <f t="shared" si="52"/>
        <v>0</v>
      </c>
      <c r="DP4" s="45">
        <f t="shared" si="53"/>
        <v>0</v>
      </c>
      <c r="DQ4" s="45">
        <f t="shared" si="54"/>
        <v>0</v>
      </c>
      <c r="DR4" s="45">
        <f t="shared" si="55"/>
        <v>0</v>
      </c>
      <c r="DS4" s="45">
        <f t="shared" si="56"/>
        <v>0</v>
      </c>
      <c r="DT4" s="45">
        <f t="shared" si="57"/>
        <v>0</v>
      </c>
      <c r="DU4" s="45">
        <f t="shared" si="58"/>
        <v>0</v>
      </c>
      <c r="DV4" s="63">
        <f t="shared" si="59"/>
        <v>0</v>
      </c>
      <c r="DW4" s="45">
        <f t="shared" si="60"/>
        <v>0</v>
      </c>
      <c r="DX4" s="45">
        <f t="shared" si="61"/>
        <v>0</v>
      </c>
      <c r="DY4" s="41"/>
      <c r="DZ4" s="41"/>
      <c r="EA4" s="41"/>
      <c r="EB4" s="41"/>
      <c r="EC4" s="41"/>
      <c r="ED4" s="41"/>
      <c r="EE4" s="53"/>
      <c r="EF4" s="54"/>
      <c r="EG4" s="54"/>
      <c r="EH4" s="133" t="s">
        <v>1486</v>
      </c>
      <c r="EI4" s="222"/>
      <c r="EJ4" s="59">
        <f t="shared" si="62"/>
        <v>47391</v>
      </c>
      <c r="EK4" s="59"/>
      <c r="EL4" s="59"/>
      <c r="EM4" s="59"/>
      <c r="EN4" s="222"/>
      <c r="EO4" s="222"/>
      <c r="EP4" s="220"/>
      <c r="EQ4" s="222"/>
      <c r="ER4" s="223"/>
      <c r="ES4" s="220"/>
      <c r="ET4" s="222"/>
      <c r="EU4" s="222"/>
      <c r="EV4" s="220"/>
      <c r="EW4" s="220"/>
      <c r="EX4" s="220"/>
      <c r="EY4" s="220"/>
      <c r="EZ4" s="220"/>
      <c r="FA4" s="222"/>
      <c r="FB4" s="220"/>
      <c r="FC4" s="222"/>
      <c r="FD4" s="220"/>
      <c r="FE4" s="220"/>
      <c r="FF4" s="222"/>
      <c r="FG4" s="222"/>
      <c r="FH4" s="220"/>
      <c r="FI4" s="220"/>
      <c r="FJ4" s="220"/>
      <c r="FK4" s="220"/>
      <c r="FL4" s="220"/>
      <c r="FM4" s="172" t="s">
        <v>192</v>
      </c>
      <c r="FN4" s="172" t="s">
        <v>180</v>
      </c>
      <c r="FO4" s="172" t="s">
        <v>181</v>
      </c>
      <c r="FP4" s="172" t="s">
        <v>193</v>
      </c>
      <c r="FQ4" s="172" t="s">
        <v>183</v>
      </c>
      <c r="FR4" s="213" t="s">
        <v>184</v>
      </c>
      <c r="FS4" s="223"/>
      <c r="FT4" s="223"/>
      <c r="FU4" s="48"/>
    </row>
    <row r="5" spans="1:177" s="13" customFormat="1" ht="112">
      <c r="A5" s="48"/>
      <c r="B5" s="48" t="s">
        <v>194</v>
      </c>
      <c r="C5" s="64" t="s">
        <v>167</v>
      </c>
      <c r="D5" s="48"/>
      <c r="E5" s="48" t="s">
        <v>195</v>
      </c>
      <c r="F5" s="48">
        <v>3</v>
      </c>
      <c r="G5" s="213" t="s">
        <v>196</v>
      </c>
      <c r="H5" s="213" t="s">
        <v>196</v>
      </c>
      <c r="I5" s="213" t="s">
        <v>197</v>
      </c>
      <c r="J5" s="48">
        <v>2027</v>
      </c>
      <c r="K5" s="48">
        <v>2029</v>
      </c>
      <c r="L5" s="48" t="s">
        <v>172</v>
      </c>
      <c r="M5" s="48" t="s">
        <v>173</v>
      </c>
      <c r="N5" s="63" t="s">
        <v>174</v>
      </c>
      <c r="O5" s="63" t="s">
        <v>198</v>
      </c>
      <c r="P5" s="48" t="s">
        <v>15</v>
      </c>
      <c r="Q5" s="214" t="s">
        <v>199</v>
      </c>
      <c r="R5" s="63" t="s">
        <v>200</v>
      </c>
      <c r="S5" s="63" t="str">
        <f t="shared" si="0"/>
        <v>Not Started</v>
      </c>
      <c r="T5" s="63" t="str">
        <f t="shared" si="1"/>
        <v>Not Started</v>
      </c>
      <c r="U5" s="63" t="str">
        <f t="shared" si="2"/>
        <v>Rizky Arga</v>
      </c>
      <c r="V5" s="67">
        <f t="shared" si="3"/>
        <v>0</v>
      </c>
      <c r="W5" s="59" t="s">
        <v>191</v>
      </c>
      <c r="X5" s="59">
        <f t="shared" si="4"/>
        <v>47391</v>
      </c>
      <c r="Y5" s="215"/>
      <c r="Z5" s="48" t="s">
        <v>179</v>
      </c>
      <c r="AA5" s="216">
        <v>46388</v>
      </c>
      <c r="AB5" s="218">
        <v>46568</v>
      </c>
      <c r="AC5" s="217">
        <v>46569</v>
      </c>
      <c r="AD5" s="217">
        <v>46660</v>
      </c>
      <c r="AE5" s="217">
        <v>46631</v>
      </c>
      <c r="AF5" s="218">
        <v>46660</v>
      </c>
      <c r="AG5" s="217">
        <v>46661</v>
      </c>
      <c r="AH5" s="217">
        <v>46843</v>
      </c>
      <c r="AI5" s="218">
        <v>46844</v>
      </c>
      <c r="AJ5" s="218">
        <v>46873</v>
      </c>
      <c r="AK5" s="42">
        <v>46874</v>
      </c>
      <c r="AL5" s="42">
        <v>47177</v>
      </c>
      <c r="AM5" s="42">
        <v>47178</v>
      </c>
      <c r="AN5" s="42">
        <v>47269</v>
      </c>
      <c r="AO5" s="42">
        <v>47270</v>
      </c>
      <c r="AP5" s="42">
        <v>47361</v>
      </c>
      <c r="AQ5" s="59">
        <v>47362</v>
      </c>
      <c r="AR5" s="59">
        <v>47391</v>
      </c>
      <c r="AS5" s="63" t="str">
        <f t="shared" si="5"/>
        <v>Not Started</v>
      </c>
      <c r="AT5" s="63" t="str">
        <f t="shared" si="6"/>
        <v>Not Started</v>
      </c>
      <c r="AU5" s="63" t="str">
        <f t="shared" si="7"/>
        <v>Not Started</v>
      </c>
      <c r="AV5" s="63" t="str">
        <f t="shared" si="8"/>
        <v>Not Started</v>
      </c>
      <c r="AW5" s="63" t="str">
        <f t="shared" si="9"/>
        <v>Not Started</v>
      </c>
      <c r="AX5" s="63" t="str">
        <f t="shared" si="10"/>
        <v>Not Started</v>
      </c>
      <c r="AY5" s="63" t="str">
        <f t="shared" si="11"/>
        <v>Not Started</v>
      </c>
      <c r="AZ5" s="63" t="str">
        <f t="shared" si="12"/>
        <v>Not Started</v>
      </c>
      <c r="BA5" s="63" t="str">
        <f t="shared" si="13"/>
        <v>Not Started</v>
      </c>
      <c r="BB5" s="63" t="str">
        <f t="shared" si="14"/>
        <v>Not Started</v>
      </c>
      <c r="BC5" s="63" t="str">
        <f t="shared" si="15"/>
        <v>Not Started</v>
      </c>
      <c r="BD5" s="63" t="str">
        <f t="shared" si="16"/>
        <v>Not Started</v>
      </c>
      <c r="BE5" s="219">
        <v>0</v>
      </c>
      <c r="BF5" s="219">
        <v>0</v>
      </c>
      <c r="BG5" s="219">
        <v>0</v>
      </c>
      <c r="BH5" s="219">
        <v>0</v>
      </c>
      <c r="BI5" s="219">
        <v>0</v>
      </c>
      <c r="BJ5" s="219">
        <v>0</v>
      </c>
      <c r="BK5" s="219">
        <v>0</v>
      </c>
      <c r="BL5" s="219">
        <v>0</v>
      </c>
      <c r="BM5" s="219">
        <v>0</v>
      </c>
      <c r="BN5" s="219">
        <v>0</v>
      </c>
      <c r="BO5" s="219">
        <v>0</v>
      </c>
      <c r="BP5" s="219">
        <v>0</v>
      </c>
      <c r="BQ5" s="63" t="str">
        <f t="shared" si="17"/>
        <v>Not Started</v>
      </c>
      <c r="BR5" s="63" t="str">
        <f t="shared" si="18"/>
        <v>Not Started</v>
      </c>
      <c r="BS5" s="63" t="str">
        <f t="shared" si="19"/>
        <v>Not Started</v>
      </c>
      <c r="BT5" s="63" t="str">
        <f t="shared" si="20"/>
        <v>Not Started</v>
      </c>
      <c r="BU5" s="63" t="str">
        <f t="shared" si="21"/>
        <v>Not Started</v>
      </c>
      <c r="BV5" s="63" t="str">
        <f t="shared" si="22"/>
        <v>Not Started</v>
      </c>
      <c r="BW5" s="63" t="str">
        <f t="shared" si="23"/>
        <v>Not Started</v>
      </c>
      <c r="BX5" s="63" t="str">
        <f t="shared" si="24"/>
        <v>Not Started</v>
      </c>
      <c r="BY5" s="63" t="str">
        <f t="shared" si="25"/>
        <v>Not Started</v>
      </c>
      <c r="BZ5" s="63" t="str">
        <f t="shared" si="26"/>
        <v>Not Started</v>
      </c>
      <c r="CA5" s="63" t="str">
        <f t="shared" si="27"/>
        <v>Not Started</v>
      </c>
      <c r="CB5" s="63" t="str">
        <f t="shared" si="28"/>
        <v>Not Started</v>
      </c>
      <c r="CC5" s="48"/>
      <c r="CD5" s="48"/>
      <c r="CE5" s="220"/>
      <c r="CF5" s="220"/>
      <c r="CG5" s="220"/>
      <c r="CH5" s="220"/>
      <c r="CI5" s="220"/>
      <c r="CJ5" s="220"/>
      <c r="CK5" s="220"/>
      <c r="CL5" s="44">
        <v>0</v>
      </c>
      <c r="CM5" s="44">
        <f t="shared" ref="CM5:CN20" si="64">(($DY5/100%)*15%)+(($DZ5/100%)*5%)+(($EA5/100%)*5%)+(($EB5/100%)*5%)+(($EC5/100%)*15%)+(($ED5/100%)*35%)+(($EE5/100%)*7.5%)+(($EF5/100%)*7.5%)+(($EG5/100%)*5%)</f>
        <v>0</v>
      </c>
      <c r="CN5" s="44">
        <f t="shared" si="64"/>
        <v>0</v>
      </c>
      <c r="CO5" s="45">
        <f t="shared" si="63"/>
        <v>1</v>
      </c>
      <c r="CP5" s="45">
        <f t="shared" ref="CP5:CP41" si="65">IF(BF5=0%, 100%, (CD5/BF5))</f>
        <v>1</v>
      </c>
      <c r="CQ5" s="45">
        <f t="shared" si="29"/>
        <v>1</v>
      </c>
      <c r="CR5" s="45">
        <f t="shared" si="30"/>
        <v>1</v>
      </c>
      <c r="CS5" s="45">
        <f t="shared" si="31"/>
        <v>1</v>
      </c>
      <c r="CT5" s="45">
        <f t="shared" si="32"/>
        <v>1</v>
      </c>
      <c r="CU5" s="45">
        <f t="shared" si="33"/>
        <v>1</v>
      </c>
      <c r="CV5" s="45">
        <f t="shared" si="34"/>
        <v>1</v>
      </c>
      <c r="CW5" s="45">
        <f t="shared" si="35"/>
        <v>1</v>
      </c>
      <c r="CX5" s="45">
        <f t="shared" si="36"/>
        <v>1</v>
      </c>
      <c r="CY5" s="45">
        <f t="shared" si="37"/>
        <v>1</v>
      </c>
      <c r="CZ5" s="220"/>
      <c r="DA5" s="45" t="str">
        <f t="shared" si="38"/>
        <v>NS</v>
      </c>
      <c r="DB5" s="45" t="str">
        <f t="shared" si="39"/>
        <v>NS</v>
      </c>
      <c r="DC5" s="45" t="str">
        <f t="shared" si="40"/>
        <v>NS</v>
      </c>
      <c r="DD5" s="45" t="str">
        <f t="shared" si="41"/>
        <v>NS</v>
      </c>
      <c r="DE5" s="45" t="str">
        <f t="shared" si="42"/>
        <v>NS</v>
      </c>
      <c r="DF5" s="45" t="str">
        <f t="shared" si="43"/>
        <v>NS</v>
      </c>
      <c r="DG5" s="45" t="str">
        <f t="shared" si="44"/>
        <v>NS</v>
      </c>
      <c r="DH5" s="45" t="str">
        <f t="shared" si="45"/>
        <v>NS</v>
      </c>
      <c r="DI5" s="45" t="str">
        <f t="shared" si="46"/>
        <v>NS</v>
      </c>
      <c r="DJ5" s="45" t="str">
        <f t="shared" si="47"/>
        <v>NS</v>
      </c>
      <c r="DK5" s="45" t="str">
        <f t="shared" si="48"/>
        <v>NS</v>
      </c>
      <c r="DL5" s="45" t="str">
        <f t="shared" si="49"/>
        <v>NS</v>
      </c>
      <c r="DM5" s="45" t="e">
        <f t="shared" si="50"/>
        <v>#DIV/0!</v>
      </c>
      <c r="DN5" s="45" t="e">
        <f t="shared" si="51"/>
        <v>#DIV/0!</v>
      </c>
      <c r="DO5" s="45" t="e">
        <f t="shared" si="52"/>
        <v>#DIV/0!</v>
      </c>
      <c r="DP5" s="45" t="e">
        <f t="shared" si="53"/>
        <v>#DIV/0!</v>
      </c>
      <c r="DQ5" s="45" t="e">
        <f t="shared" si="54"/>
        <v>#DIV/0!</v>
      </c>
      <c r="DR5" s="45" t="e">
        <f t="shared" si="55"/>
        <v>#DIV/0!</v>
      </c>
      <c r="DS5" s="45" t="e">
        <f t="shared" si="56"/>
        <v>#DIV/0!</v>
      </c>
      <c r="DT5" s="45" t="e">
        <f t="shared" si="57"/>
        <v>#DIV/0!</v>
      </c>
      <c r="DU5" s="45" t="e">
        <f t="shared" si="58"/>
        <v>#DIV/0!</v>
      </c>
      <c r="DV5" s="45" t="e">
        <f t="shared" si="59"/>
        <v>#DIV/0!</v>
      </c>
      <c r="DW5" s="45" t="e">
        <f t="shared" si="60"/>
        <v>#DIV/0!</v>
      </c>
      <c r="DX5" s="45" t="e">
        <f t="shared" si="61"/>
        <v>#DIV/0!</v>
      </c>
      <c r="DY5" s="61"/>
      <c r="DZ5" s="61"/>
      <c r="EA5" s="61"/>
      <c r="EB5" s="41"/>
      <c r="EC5" s="61"/>
      <c r="ED5" s="61"/>
      <c r="EE5" s="61"/>
      <c r="EF5" s="54"/>
      <c r="EG5" s="54"/>
      <c r="EH5" s="47"/>
      <c r="EI5" s="222"/>
      <c r="EJ5" s="59">
        <f t="shared" si="62"/>
        <v>47391</v>
      </c>
      <c r="EK5" s="63"/>
      <c r="EL5" s="63"/>
      <c r="EM5" s="63"/>
      <c r="EN5" s="222"/>
      <c r="EO5" s="222"/>
      <c r="EP5" s="220"/>
      <c r="EQ5" s="222"/>
      <c r="ER5" s="223"/>
      <c r="ES5" s="220"/>
      <c r="ET5" s="222"/>
      <c r="EU5" s="222"/>
      <c r="EV5" s="220"/>
      <c r="EW5" s="220"/>
      <c r="EX5" s="220"/>
      <c r="EY5" s="220"/>
      <c r="EZ5" s="220"/>
      <c r="FA5" s="222"/>
      <c r="FB5" s="220"/>
      <c r="FC5" s="222"/>
      <c r="FD5" s="220"/>
      <c r="FE5" s="220"/>
      <c r="FF5" s="222"/>
      <c r="FG5" s="222"/>
      <c r="FH5" s="220"/>
      <c r="FI5" s="220"/>
      <c r="FJ5" s="220"/>
      <c r="FK5" s="220"/>
      <c r="FL5" s="220"/>
      <c r="FM5" s="172" t="s">
        <v>201</v>
      </c>
      <c r="FN5" s="224" t="s">
        <v>202</v>
      </c>
      <c r="FO5" s="172" t="s">
        <v>181</v>
      </c>
      <c r="FP5" s="172" t="s">
        <v>203</v>
      </c>
      <c r="FQ5" s="172" t="s">
        <v>183</v>
      </c>
      <c r="FR5" s="213" t="s">
        <v>184</v>
      </c>
      <c r="FS5" s="223"/>
      <c r="FT5" s="223"/>
      <c r="FU5" s="48"/>
    </row>
    <row r="6" spans="1:177" s="16" customFormat="1" ht="336">
      <c r="A6" s="63" t="s">
        <v>204</v>
      </c>
      <c r="B6" s="48" t="s">
        <v>205</v>
      </c>
      <c r="C6" s="64" t="s">
        <v>206</v>
      </c>
      <c r="D6" s="225" t="s">
        <v>207</v>
      </c>
      <c r="E6" s="226" t="s">
        <v>208</v>
      </c>
      <c r="F6" s="227">
        <v>1</v>
      </c>
      <c r="G6" s="65" t="s">
        <v>209</v>
      </c>
      <c r="H6" s="65" t="s">
        <v>210</v>
      </c>
      <c r="I6" s="244" t="s">
        <v>39</v>
      </c>
      <c r="J6" s="48">
        <v>2025</v>
      </c>
      <c r="K6" s="48">
        <v>2025</v>
      </c>
      <c r="L6" s="48" t="s">
        <v>172</v>
      </c>
      <c r="M6" s="48" t="s">
        <v>173</v>
      </c>
      <c r="N6" s="63" t="s">
        <v>174</v>
      </c>
      <c r="O6" s="63" t="s">
        <v>211</v>
      </c>
      <c r="P6" s="63" t="s">
        <v>212</v>
      </c>
      <c r="Q6" s="63" t="s">
        <v>213</v>
      </c>
      <c r="R6" s="63" t="s">
        <v>214</v>
      </c>
      <c r="S6" s="63" t="str">
        <f t="shared" si="0"/>
        <v>Selesai Implementasi</v>
      </c>
      <c r="T6" s="63" t="str">
        <f t="shared" si="1"/>
        <v>DONE</v>
      </c>
      <c r="U6" s="63" t="str">
        <f t="shared" si="2"/>
        <v>Rifanda Yulio</v>
      </c>
      <c r="V6" s="67">
        <f t="shared" si="3"/>
        <v>0.99999999999999989</v>
      </c>
      <c r="W6" s="66" t="s">
        <v>215</v>
      </c>
      <c r="X6" s="59">
        <f t="shared" si="4"/>
        <v>45899</v>
      </c>
      <c r="Y6" s="228">
        <v>0</v>
      </c>
      <c r="Z6" s="63"/>
      <c r="AA6" s="62">
        <v>45658</v>
      </c>
      <c r="AB6" s="42">
        <v>45688</v>
      </c>
      <c r="AC6" s="42">
        <v>45689</v>
      </c>
      <c r="AD6" s="42">
        <v>45709</v>
      </c>
      <c r="AE6" s="42"/>
      <c r="AF6" s="42"/>
      <c r="AG6" s="42"/>
      <c r="AH6" s="42"/>
      <c r="AI6" s="42">
        <v>45719</v>
      </c>
      <c r="AJ6" s="42">
        <v>45744</v>
      </c>
      <c r="AK6" s="42">
        <v>45754</v>
      </c>
      <c r="AL6" s="42">
        <v>45807</v>
      </c>
      <c r="AM6" s="42">
        <v>45810</v>
      </c>
      <c r="AN6" s="42">
        <v>45838</v>
      </c>
      <c r="AO6" s="42">
        <v>45839</v>
      </c>
      <c r="AP6" s="42">
        <v>45883</v>
      </c>
      <c r="AQ6" s="42">
        <v>45884</v>
      </c>
      <c r="AR6" s="42">
        <v>45899</v>
      </c>
      <c r="AS6" s="63" t="str">
        <f t="shared" si="5"/>
        <v>Selesai Implementasi</v>
      </c>
      <c r="AT6" s="63" t="str">
        <f t="shared" si="6"/>
        <v>Selesai Implementasi</v>
      </c>
      <c r="AU6" s="63" t="str">
        <f t="shared" si="7"/>
        <v>Selesai Implementasi</v>
      </c>
      <c r="AV6" s="63" t="str">
        <f t="shared" si="8"/>
        <v>Selesai Implementasi</v>
      </c>
      <c r="AW6" s="63" t="str">
        <f t="shared" si="9"/>
        <v>Selesai Implementasi</v>
      </c>
      <c r="AX6" s="63" t="str">
        <f t="shared" si="10"/>
        <v>Selesai Implementasi</v>
      </c>
      <c r="AY6" s="63" t="str">
        <f t="shared" si="11"/>
        <v>Selesai Implementasi</v>
      </c>
      <c r="AZ6" s="63" t="str">
        <f t="shared" si="12"/>
        <v>Selesai Implementasi</v>
      </c>
      <c r="BA6" s="63" t="str">
        <f t="shared" si="13"/>
        <v>Selesai Implementasi</v>
      </c>
      <c r="BB6" s="63" t="str">
        <f t="shared" si="14"/>
        <v>Selesai Implementasi</v>
      </c>
      <c r="BC6" s="63" t="str">
        <f t="shared" si="15"/>
        <v>Selesai Implementasi</v>
      </c>
      <c r="BD6" s="63" t="str">
        <f t="shared" si="16"/>
        <v>Selesai Implementasi</v>
      </c>
      <c r="BE6" s="43">
        <v>1</v>
      </c>
      <c r="BF6" s="43">
        <v>1</v>
      </c>
      <c r="BG6" s="43">
        <v>1</v>
      </c>
      <c r="BH6" s="43">
        <v>1</v>
      </c>
      <c r="BI6" s="43">
        <v>1</v>
      </c>
      <c r="BJ6" s="43">
        <v>1</v>
      </c>
      <c r="BK6" s="43">
        <v>1</v>
      </c>
      <c r="BL6" s="43">
        <v>1</v>
      </c>
      <c r="BM6" s="43">
        <v>1</v>
      </c>
      <c r="BN6" s="43">
        <v>1</v>
      </c>
      <c r="BO6" s="43">
        <v>1</v>
      </c>
      <c r="BP6" s="43">
        <v>1</v>
      </c>
      <c r="BQ6" s="63" t="str">
        <f t="shared" si="17"/>
        <v>Selesai Implementasi</v>
      </c>
      <c r="BR6" s="63" t="str">
        <f t="shared" si="18"/>
        <v>Not Started</v>
      </c>
      <c r="BS6" s="63" t="str">
        <f t="shared" si="19"/>
        <v>Not Started</v>
      </c>
      <c r="BT6" s="63" t="str">
        <f t="shared" si="20"/>
        <v>Not Started</v>
      </c>
      <c r="BU6" s="63" t="str">
        <f t="shared" si="21"/>
        <v>Not Started</v>
      </c>
      <c r="BV6" s="63" t="str">
        <f t="shared" si="22"/>
        <v>Not Started</v>
      </c>
      <c r="BW6" s="63" t="str">
        <f t="shared" si="23"/>
        <v>Not Started</v>
      </c>
      <c r="BX6" s="63" t="str">
        <f t="shared" si="24"/>
        <v>Not Started</v>
      </c>
      <c r="BY6" s="63" t="str">
        <f t="shared" si="25"/>
        <v>Not Started</v>
      </c>
      <c r="BZ6" s="63" t="str">
        <f t="shared" si="26"/>
        <v>Not Started</v>
      </c>
      <c r="CA6" s="63" t="str">
        <f t="shared" si="27"/>
        <v>Not Started</v>
      </c>
      <c r="CB6" s="63" t="str">
        <f t="shared" si="28"/>
        <v>Not Started</v>
      </c>
      <c r="CC6" s="44">
        <f>(($DY6/100%)*15%)+(($DZ6/100%)*5%)+(($EA6/100%)*5%)+(($EB6/100%)*5%)+(($EC6/100%)*15%)+(($ED6/100%)*35%)+(($EE6/100%)*7.5%)+(($EF6/100%)*7.5%)+(($EG6/100%)*5%)</f>
        <v>0.99999999999999989</v>
      </c>
      <c r="CD6" s="44"/>
      <c r="CE6" s="44"/>
      <c r="CF6" s="44"/>
      <c r="CG6" s="44"/>
      <c r="CH6" s="44"/>
      <c r="CI6" s="44"/>
      <c r="CJ6" s="44"/>
      <c r="CK6" s="44"/>
      <c r="CL6" s="44"/>
      <c r="CM6" s="44"/>
      <c r="CN6" s="44"/>
      <c r="CO6" s="45">
        <f t="shared" si="63"/>
        <v>0.99999999999999989</v>
      </c>
      <c r="CP6" s="45">
        <f t="shared" si="65"/>
        <v>0</v>
      </c>
      <c r="CQ6" s="45">
        <f t="shared" si="29"/>
        <v>0</v>
      </c>
      <c r="CR6" s="45">
        <f t="shared" si="30"/>
        <v>0</v>
      </c>
      <c r="CS6" s="45">
        <f t="shared" si="31"/>
        <v>0</v>
      </c>
      <c r="CT6" s="45">
        <f t="shared" si="32"/>
        <v>0</v>
      </c>
      <c r="CU6" s="45">
        <f t="shared" si="33"/>
        <v>0</v>
      </c>
      <c r="CV6" s="45">
        <f t="shared" si="34"/>
        <v>0</v>
      </c>
      <c r="CW6" s="45">
        <f t="shared" si="35"/>
        <v>0</v>
      </c>
      <c r="CX6" s="45">
        <f t="shared" si="36"/>
        <v>0</v>
      </c>
      <c r="CY6" s="45">
        <f t="shared" si="37"/>
        <v>0</v>
      </c>
      <c r="CZ6" s="45"/>
      <c r="DA6" s="45" t="str">
        <f t="shared" si="38"/>
        <v>DONE</v>
      </c>
      <c r="DB6" s="45" t="str">
        <f t="shared" si="39"/>
        <v>BS</v>
      </c>
      <c r="DC6" s="45" t="str">
        <f t="shared" si="40"/>
        <v>BS</v>
      </c>
      <c r="DD6" s="45" t="str">
        <f t="shared" si="41"/>
        <v>BS</v>
      </c>
      <c r="DE6" s="45" t="str">
        <f t="shared" si="42"/>
        <v>BS</v>
      </c>
      <c r="DF6" s="45" t="str">
        <f t="shared" si="43"/>
        <v>BS</v>
      </c>
      <c r="DG6" s="45" t="str">
        <f t="shared" si="44"/>
        <v>BS</v>
      </c>
      <c r="DH6" s="45" t="str">
        <f t="shared" si="45"/>
        <v>BS</v>
      </c>
      <c r="DI6" s="45" t="str">
        <f t="shared" si="46"/>
        <v>BS</v>
      </c>
      <c r="DJ6" s="45" t="str">
        <f t="shared" si="47"/>
        <v>BS</v>
      </c>
      <c r="DK6" s="45" t="str">
        <f t="shared" si="48"/>
        <v>BS</v>
      </c>
      <c r="DL6" s="45" t="str">
        <f t="shared" si="49"/>
        <v>BS</v>
      </c>
      <c r="DM6" s="45">
        <f t="shared" si="50"/>
        <v>0.99999999999999989</v>
      </c>
      <c r="DN6" s="45">
        <f t="shared" si="51"/>
        <v>0</v>
      </c>
      <c r="DO6" s="45">
        <f t="shared" si="52"/>
        <v>0</v>
      </c>
      <c r="DP6" s="45">
        <f t="shared" si="53"/>
        <v>0</v>
      </c>
      <c r="DQ6" s="45">
        <f t="shared" si="54"/>
        <v>0</v>
      </c>
      <c r="DR6" s="45">
        <f t="shared" si="55"/>
        <v>0</v>
      </c>
      <c r="DS6" s="45">
        <f t="shared" si="56"/>
        <v>0</v>
      </c>
      <c r="DT6" s="45">
        <f t="shared" si="57"/>
        <v>0</v>
      </c>
      <c r="DU6" s="45">
        <f t="shared" si="58"/>
        <v>0</v>
      </c>
      <c r="DV6" s="45">
        <f t="shared" si="59"/>
        <v>0</v>
      </c>
      <c r="DW6" s="45">
        <f t="shared" si="60"/>
        <v>0</v>
      </c>
      <c r="DX6" s="45">
        <f t="shared" si="61"/>
        <v>0</v>
      </c>
      <c r="DY6" s="46">
        <v>1</v>
      </c>
      <c r="DZ6" s="41">
        <v>1</v>
      </c>
      <c r="EA6" s="41">
        <v>1</v>
      </c>
      <c r="EB6" s="41">
        <v>1</v>
      </c>
      <c r="EC6" s="41">
        <v>1</v>
      </c>
      <c r="ED6" s="41">
        <v>1</v>
      </c>
      <c r="EE6" s="41">
        <v>1</v>
      </c>
      <c r="EF6" s="41">
        <v>1</v>
      </c>
      <c r="EG6" s="41">
        <v>1</v>
      </c>
      <c r="EH6" s="51" t="s">
        <v>216</v>
      </c>
      <c r="EI6" s="344">
        <v>45926</v>
      </c>
      <c r="EJ6" s="59">
        <f t="shared" si="62"/>
        <v>45899</v>
      </c>
      <c r="EK6" s="229"/>
      <c r="EL6" s="230"/>
      <c r="EM6" s="229"/>
      <c r="EN6" s="222"/>
      <c r="EO6" s="222" t="s">
        <v>217</v>
      </c>
      <c r="EP6" s="222"/>
      <c r="EQ6" s="231"/>
      <c r="ER6" s="213"/>
      <c r="ES6" s="220"/>
      <c r="ET6" s="220"/>
      <c r="EU6" s="220"/>
      <c r="EV6" s="220"/>
      <c r="EW6" s="220"/>
      <c r="EX6" s="220"/>
      <c r="EY6" s="220"/>
      <c r="EZ6" s="220"/>
      <c r="FA6" s="222" t="s">
        <v>218</v>
      </c>
      <c r="FB6" s="222"/>
      <c r="FC6" s="222"/>
      <c r="FD6" s="222"/>
      <c r="FE6" s="220"/>
      <c r="FF6" s="220"/>
      <c r="FG6" s="222"/>
      <c r="FH6" s="220"/>
      <c r="FI6" s="220"/>
      <c r="FJ6" s="220"/>
      <c r="FK6" s="220"/>
      <c r="FL6" s="215"/>
      <c r="FM6" s="232" t="s">
        <v>219</v>
      </c>
      <c r="FN6" s="233" t="s">
        <v>220</v>
      </c>
      <c r="FO6" s="233" t="s">
        <v>221</v>
      </c>
      <c r="FP6" s="232" t="s">
        <v>222</v>
      </c>
      <c r="FQ6" s="232" t="s">
        <v>223</v>
      </c>
      <c r="FR6" s="213" t="s">
        <v>224</v>
      </c>
      <c r="FS6" s="213"/>
      <c r="FT6" s="213" t="s">
        <v>225</v>
      </c>
      <c r="FU6" s="48">
        <v>7</v>
      </c>
    </row>
    <row r="7" spans="1:177" s="16" customFormat="1" ht="128">
      <c r="A7" s="63"/>
      <c r="B7" s="234" t="s">
        <v>205</v>
      </c>
      <c r="C7" s="64" t="s">
        <v>206</v>
      </c>
      <c r="D7" s="225" t="s">
        <v>207</v>
      </c>
      <c r="E7" s="226" t="s">
        <v>208</v>
      </c>
      <c r="F7" s="227">
        <f t="shared" ref="F7:F20" si="66">F6+1</f>
        <v>2</v>
      </c>
      <c r="G7" s="65" t="s">
        <v>209</v>
      </c>
      <c r="H7" s="65" t="s">
        <v>210</v>
      </c>
      <c r="I7" s="65" t="s">
        <v>226</v>
      </c>
      <c r="J7" s="48">
        <v>2026</v>
      </c>
      <c r="K7" s="48">
        <v>2027</v>
      </c>
      <c r="L7" s="48" t="s">
        <v>172</v>
      </c>
      <c r="M7" s="48" t="s">
        <v>173</v>
      </c>
      <c r="N7" s="63" t="s">
        <v>174</v>
      </c>
      <c r="O7" s="63" t="s">
        <v>227</v>
      </c>
      <c r="P7" s="63" t="s">
        <v>15</v>
      </c>
      <c r="Q7" s="214" t="s">
        <v>228</v>
      </c>
      <c r="R7" s="235" t="s">
        <v>229</v>
      </c>
      <c r="S7" s="63" t="str">
        <f t="shared" si="0"/>
        <v>Not Started</v>
      </c>
      <c r="T7" s="63" t="str">
        <f t="shared" si="1"/>
        <v>Not Started</v>
      </c>
      <c r="U7" s="63" t="str">
        <f t="shared" si="2"/>
        <v>Helen Desyani</v>
      </c>
      <c r="V7" s="67">
        <f t="shared" si="3"/>
        <v>0</v>
      </c>
      <c r="W7" s="66" t="s">
        <v>178</v>
      </c>
      <c r="X7" s="59">
        <f t="shared" si="4"/>
        <v>46568</v>
      </c>
      <c r="Y7" s="228"/>
      <c r="Z7" s="48" t="s">
        <v>179</v>
      </c>
      <c r="AA7" s="62">
        <v>46113</v>
      </c>
      <c r="AB7" s="42">
        <v>46203</v>
      </c>
      <c r="AC7" s="42">
        <v>46204</v>
      </c>
      <c r="AD7" s="42">
        <v>46234</v>
      </c>
      <c r="AE7" s="42">
        <v>46204</v>
      </c>
      <c r="AF7" s="42">
        <v>46234</v>
      </c>
      <c r="AG7" s="42"/>
      <c r="AH7" s="42"/>
      <c r="AI7" s="42">
        <v>46235</v>
      </c>
      <c r="AJ7" s="62">
        <v>46264</v>
      </c>
      <c r="AK7" s="42">
        <v>46266</v>
      </c>
      <c r="AL7" s="42">
        <v>46446</v>
      </c>
      <c r="AM7" s="42">
        <v>46447</v>
      </c>
      <c r="AN7" s="42">
        <v>46492</v>
      </c>
      <c r="AO7" s="42">
        <v>46493</v>
      </c>
      <c r="AP7" s="42">
        <v>46538</v>
      </c>
      <c r="AQ7" s="42">
        <v>46539</v>
      </c>
      <c r="AR7" s="42">
        <v>46568</v>
      </c>
      <c r="AS7" s="63" t="str">
        <f t="shared" si="5"/>
        <v>Not Started</v>
      </c>
      <c r="AT7" s="63" t="str">
        <f t="shared" si="6"/>
        <v>Not Started</v>
      </c>
      <c r="AU7" s="63" t="str">
        <f t="shared" si="7"/>
        <v>Not Started</v>
      </c>
      <c r="AV7" s="63" t="str">
        <f t="shared" si="8"/>
        <v>Selesai RBT-RBB</v>
      </c>
      <c r="AW7" s="63" t="str">
        <f t="shared" si="9"/>
        <v>Selesai RBT-RBL</v>
      </c>
      <c r="AX7" s="63" t="str">
        <f t="shared" si="10"/>
        <v>Selesai RBT-RBTD</v>
      </c>
      <c r="AY7" s="63" t="str">
        <f t="shared" si="11"/>
        <v>Selesai Pengadaan</v>
      </c>
      <c r="AZ7" s="63" t="str">
        <f t="shared" si="12"/>
        <v>Proses Desain</v>
      </c>
      <c r="BA7" s="63" t="str">
        <f t="shared" si="13"/>
        <v>Proses Pengembangan</v>
      </c>
      <c r="BB7" s="63" t="str">
        <f t="shared" si="14"/>
        <v>Proses Pengembangan</v>
      </c>
      <c r="BC7" s="63" t="str">
        <f t="shared" si="15"/>
        <v>Proses Pengembangan</v>
      </c>
      <c r="BD7" s="63" t="str">
        <f t="shared" si="16"/>
        <v>Proses Pengembangan</v>
      </c>
      <c r="BE7" s="43">
        <v>0</v>
      </c>
      <c r="BF7" s="43">
        <v>0</v>
      </c>
      <c r="BG7" s="43">
        <v>0</v>
      </c>
      <c r="BH7" s="43">
        <v>0.05</v>
      </c>
      <c r="BI7" s="43">
        <v>0.1</v>
      </c>
      <c r="BJ7" s="43">
        <v>0.15</v>
      </c>
      <c r="BK7" s="43">
        <v>0.3</v>
      </c>
      <c r="BL7" s="43">
        <v>0.4</v>
      </c>
      <c r="BM7" s="43">
        <v>0.46</v>
      </c>
      <c r="BN7" s="43">
        <v>0.52</v>
      </c>
      <c r="BO7" s="219">
        <v>0.57999999999999996</v>
      </c>
      <c r="BP7" s="43">
        <v>0.64</v>
      </c>
      <c r="BQ7" s="63" t="str">
        <f t="shared" si="17"/>
        <v>Not Started</v>
      </c>
      <c r="BR7" s="63" t="str">
        <f t="shared" si="18"/>
        <v>Not Started</v>
      </c>
      <c r="BS7" s="63" t="str">
        <f t="shared" si="19"/>
        <v>Not Started</v>
      </c>
      <c r="BT7" s="63" t="str">
        <f t="shared" si="20"/>
        <v>Not Started</v>
      </c>
      <c r="BU7" s="63" t="str">
        <f t="shared" si="21"/>
        <v>Not Started</v>
      </c>
      <c r="BV7" s="63" t="str">
        <f t="shared" si="22"/>
        <v>Not Started</v>
      </c>
      <c r="BW7" s="63" t="str">
        <f t="shared" si="23"/>
        <v>Not Started</v>
      </c>
      <c r="BX7" s="63" t="str">
        <f t="shared" si="24"/>
        <v>Not Started</v>
      </c>
      <c r="BY7" s="63" t="str">
        <f t="shared" si="25"/>
        <v>Not Started</v>
      </c>
      <c r="BZ7" s="63" t="str">
        <f t="shared" si="26"/>
        <v>Not Started</v>
      </c>
      <c r="CA7" s="63" t="str">
        <f t="shared" si="27"/>
        <v>Not Started</v>
      </c>
      <c r="CB7" s="63" t="str">
        <f t="shared" si="28"/>
        <v>Not Started</v>
      </c>
      <c r="CC7" s="44">
        <f>(($DY7/100%)*15%)+(($DZ7/100%)*5%)+(($EA7/100%)*5%)+(($EB7/100%)*5%)+(($EC7/100%)*15%)+(($ED7/100%)*35%)+(($EE7/100%)*7.5%)+(($EF7/100%)*7.5%)+(($EG7/100%)*5%)</f>
        <v>0</v>
      </c>
      <c r="CD7" s="44"/>
      <c r="CE7" s="44"/>
      <c r="CF7" s="44"/>
      <c r="CG7" s="44"/>
      <c r="CH7" s="44"/>
      <c r="CI7" s="44"/>
      <c r="CJ7" s="44"/>
      <c r="CK7" s="44"/>
      <c r="CL7" s="44"/>
      <c r="CM7" s="44"/>
      <c r="CN7" s="44"/>
      <c r="CO7" s="45">
        <f t="shared" si="63"/>
        <v>1</v>
      </c>
      <c r="CP7" s="45">
        <f t="shared" si="65"/>
        <v>1</v>
      </c>
      <c r="CQ7" s="45">
        <f t="shared" si="29"/>
        <v>1</v>
      </c>
      <c r="CR7" s="45">
        <f t="shared" si="30"/>
        <v>0</v>
      </c>
      <c r="CS7" s="45">
        <f t="shared" si="31"/>
        <v>0</v>
      </c>
      <c r="CT7" s="45">
        <f t="shared" si="32"/>
        <v>0</v>
      </c>
      <c r="CU7" s="45">
        <f t="shared" si="33"/>
        <v>0</v>
      </c>
      <c r="CV7" s="45">
        <f t="shared" si="34"/>
        <v>0</v>
      </c>
      <c r="CW7" s="45">
        <f t="shared" si="35"/>
        <v>0</v>
      </c>
      <c r="CX7" s="45">
        <f t="shared" si="36"/>
        <v>0</v>
      </c>
      <c r="CY7" s="45">
        <f t="shared" si="37"/>
        <v>0</v>
      </c>
      <c r="CZ7" s="45"/>
      <c r="DA7" s="45" t="str">
        <f t="shared" si="38"/>
        <v>NS</v>
      </c>
      <c r="DB7" s="45" t="str">
        <f t="shared" si="39"/>
        <v>NS</v>
      </c>
      <c r="DC7" s="45" t="str">
        <f t="shared" si="40"/>
        <v>NS</v>
      </c>
      <c r="DD7" s="45" t="str">
        <f t="shared" si="41"/>
        <v>BS</v>
      </c>
      <c r="DE7" s="45" t="str">
        <f t="shared" si="42"/>
        <v>BS</v>
      </c>
      <c r="DF7" s="45" t="str">
        <f t="shared" si="43"/>
        <v>BS</v>
      </c>
      <c r="DG7" s="45" t="str">
        <f t="shared" si="44"/>
        <v>BS</v>
      </c>
      <c r="DH7" s="45" t="str">
        <f t="shared" si="45"/>
        <v>BS</v>
      </c>
      <c r="DI7" s="45" t="str">
        <f t="shared" si="46"/>
        <v>BS</v>
      </c>
      <c r="DJ7" s="45" t="str">
        <f t="shared" si="47"/>
        <v>BS</v>
      </c>
      <c r="DK7" s="45" t="str">
        <f t="shared" si="48"/>
        <v>BS</v>
      </c>
      <c r="DL7" s="45" t="str">
        <f t="shared" si="49"/>
        <v>BS</v>
      </c>
      <c r="DM7" s="45">
        <f t="shared" si="50"/>
        <v>0</v>
      </c>
      <c r="DN7" s="45">
        <f t="shared" si="51"/>
        <v>0</v>
      </c>
      <c r="DO7" s="45">
        <f t="shared" si="52"/>
        <v>0</v>
      </c>
      <c r="DP7" s="45">
        <f t="shared" si="53"/>
        <v>0</v>
      </c>
      <c r="DQ7" s="45">
        <f t="shared" si="54"/>
        <v>0</v>
      </c>
      <c r="DR7" s="45">
        <f t="shared" si="55"/>
        <v>0</v>
      </c>
      <c r="DS7" s="45">
        <f t="shared" si="56"/>
        <v>0</v>
      </c>
      <c r="DT7" s="45">
        <f t="shared" si="57"/>
        <v>0</v>
      </c>
      <c r="DU7" s="45">
        <f t="shared" si="58"/>
        <v>0</v>
      </c>
      <c r="DV7" s="45">
        <f t="shared" si="59"/>
        <v>0</v>
      </c>
      <c r="DW7" s="45">
        <f t="shared" si="60"/>
        <v>0</v>
      </c>
      <c r="DX7" s="45">
        <f t="shared" si="61"/>
        <v>0</v>
      </c>
      <c r="DY7" s="46"/>
      <c r="DZ7" s="41"/>
      <c r="EA7" s="41"/>
      <c r="EB7" s="41"/>
      <c r="EC7" s="41"/>
      <c r="ED7" s="41"/>
      <c r="EE7" s="41"/>
      <c r="EF7" s="41"/>
      <c r="EG7" s="41"/>
      <c r="EH7" s="51"/>
      <c r="EI7" s="222"/>
      <c r="EJ7" s="59">
        <f t="shared" si="62"/>
        <v>46568</v>
      </c>
      <c r="EK7" s="229"/>
      <c r="EL7" s="230"/>
      <c r="EM7" s="229"/>
      <c r="EN7" s="222"/>
      <c r="EO7" s="222"/>
      <c r="EP7" s="222"/>
      <c r="EQ7" s="231"/>
      <c r="ER7" s="213"/>
      <c r="ES7" s="220"/>
      <c r="ET7" s="220"/>
      <c r="EU7" s="220"/>
      <c r="EV7" s="220"/>
      <c r="EW7" s="220"/>
      <c r="EX7" s="220"/>
      <c r="EY7" s="220"/>
      <c r="EZ7" s="220"/>
      <c r="FA7" s="222"/>
      <c r="FB7" s="222"/>
      <c r="FC7" s="222"/>
      <c r="FD7" s="222"/>
      <c r="FE7" s="220"/>
      <c r="FF7" s="220"/>
      <c r="FG7" s="222"/>
      <c r="FH7" s="220"/>
      <c r="FI7" s="220"/>
      <c r="FJ7" s="220"/>
      <c r="FK7" s="220"/>
      <c r="FL7" s="215"/>
      <c r="FM7" s="236"/>
      <c r="FN7" s="237" t="s">
        <v>230</v>
      </c>
      <c r="FO7" s="236" t="s">
        <v>231</v>
      </c>
      <c r="FP7" s="238"/>
      <c r="FQ7" s="238"/>
      <c r="FR7" s="213" t="s">
        <v>184</v>
      </c>
      <c r="FS7" s="213"/>
      <c r="FT7" s="213"/>
      <c r="FU7" s="48"/>
    </row>
    <row r="8" spans="1:177" s="16" customFormat="1" ht="112">
      <c r="A8" s="63"/>
      <c r="B8" s="234" t="s">
        <v>205</v>
      </c>
      <c r="C8" s="64" t="s">
        <v>206</v>
      </c>
      <c r="D8" s="225" t="s">
        <v>207</v>
      </c>
      <c r="E8" s="226" t="s">
        <v>208</v>
      </c>
      <c r="F8" s="227">
        <f t="shared" si="66"/>
        <v>3</v>
      </c>
      <c r="G8" s="65" t="s">
        <v>209</v>
      </c>
      <c r="H8" s="65" t="s">
        <v>210</v>
      </c>
      <c r="I8" s="65" t="s">
        <v>232</v>
      </c>
      <c r="J8" s="48">
        <v>2029</v>
      </c>
      <c r="K8" s="48">
        <v>2029</v>
      </c>
      <c r="L8" s="48" t="s">
        <v>172</v>
      </c>
      <c r="M8" s="48" t="s">
        <v>173</v>
      </c>
      <c r="N8" s="63" t="s">
        <v>174</v>
      </c>
      <c r="O8" s="63" t="s">
        <v>227</v>
      </c>
      <c r="P8" s="63" t="s">
        <v>15</v>
      </c>
      <c r="Q8" s="214" t="s">
        <v>228</v>
      </c>
      <c r="R8" s="235" t="s">
        <v>229</v>
      </c>
      <c r="S8" s="63" t="str">
        <f t="shared" si="0"/>
        <v>Not Started</v>
      </c>
      <c r="T8" s="63" t="str">
        <f t="shared" si="1"/>
        <v>Not Started</v>
      </c>
      <c r="U8" s="63">
        <f t="shared" si="2"/>
        <v>0</v>
      </c>
      <c r="V8" s="67">
        <f t="shared" si="3"/>
        <v>0</v>
      </c>
      <c r="W8" s="66" t="s">
        <v>233</v>
      </c>
      <c r="X8" s="59">
        <f t="shared" si="4"/>
        <v>47483</v>
      </c>
      <c r="Y8" s="228"/>
      <c r="Z8" s="48" t="s">
        <v>179</v>
      </c>
      <c r="AA8" s="62">
        <v>47119</v>
      </c>
      <c r="AB8" s="62">
        <v>47178</v>
      </c>
      <c r="AC8" s="62">
        <v>47222</v>
      </c>
      <c r="AD8" s="62">
        <v>47238</v>
      </c>
      <c r="AE8" s="62">
        <v>47209</v>
      </c>
      <c r="AF8" s="62">
        <v>47221</v>
      </c>
      <c r="AG8" s="42"/>
      <c r="AH8" s="42"/>
      <c r="AI8" s="62">
        <v>47239</v>
      </c>
      <c r="AJ8" s="62">
        <v>47268</v>
      </c>
      <c r="AK8" s="62">
        <v>47270</v>
      </c>
      <c r="AL8" s="62">
        <v>47391</v>
      </c>
      <c r="AM8" s="62">
        <v>47392</v>
      </c>
      <c r="AN8" s="62">
        <v>47392</v>
      </c>
      <c r="AO8" s="62">
        <v>47423</v>
      </c>
      <c r="AP8" s="62">
        <v>47452</v>
      </c>
      <c r="AQ8" s="62">
        <v>47453</v>
      </c>
      <c r="AR8" s="62">
        <v>47483</v>
      </c>
      <c r="AS8" s="63" t="str">
        <f t="shared" si="5"/>
        <v>Not Started</v>
      </c>
      <c r="AT8" s="63" t="str">
        <f t="shared" si="6"/>
        <v>Not Started</v>
      </c>
      <c r="AU8" s="63" t="str">
        <f t="shared" si="7"/>
        <v>Not Started</v>
      </c>
      <c r="AV8" s="63" t="str">
        <f t="shared" si="8"/>
        <v>Not Started</v>
      </c>
      <c r="AW8" s="63" t="str">
        <f t="shared" si="9"/>
        <v>Not Started</v>
      </c>
      <c r="AX8" s="63" t="str">
        <f t="shared" si="10"/>
        <v>Not Started</v>
      </c>
      <c r="AY8" s="63" t="str">
        <f t="shared" si="11"/>
        <v>Not Started</v>
      </c>
      <c r="AZ8" s="63" t="str">
        <f t="shared" si="12"/>
        <v>Not Started</v>
      </c>
      <c r="BA8" s="63" t="str">
        <f t="shared" si="13"/>
        <v>Not Started</v>
      </c>
      <c r="BB8" s="63" t="str">
        <f t="shared" si="14"/>
        <v>Not Started</v>
      </c>
      <c r="BC8" s="63" t="str">
        <f t="shared" si="15"/>
        <v>Not Started</v>
      </c>
      <c r="BD8" s="63" t="str">
        <f t="shared" si="16"/>
        <v>Not Started</v>
      </c>
      <c r="BE8" s="219">
        <v>0</v>
      </c>
      <c r="BF8" s="219">
        <v>0</v>
      </c>
      <c r="BG8" s="219">
        <v>0</v>
      </c>
      <c r="BH8" s="219">
        <v>0</v>
      </c>
      <c r="BI8" s="219">
        <v>0</v>
      </c>
      <c r="BJ8" s="219">
        <v>0</v>
      </c>
      <c r="BK8" s="219">
        <v>0</v>
      </c>
      <c r="BL8" s="219">
        <v>0</v>
      </c>
      <c r="BM8" s="219">
        <v>0</v>
      </c>
      <c r="BN8" s="219">
        <v>0</v>
      </c>
      <c r="BO8" s="219">
        <v>0</v>
      </c>
      <c r="BP8" s="219">
        <v>0</v>
      </c>
      <c r="BQ8" s="63" t="str">
        <f t="shared" si="17"/>
        <v>Not Started</v>
      </c>
      <c r="BR8" s="63" t="str">
        <f t="shared" si="18"/>
        <v>Not Started</v>
      </c>
      <c r="BS8" s="63" t="str">
        <f t="shared" si="19"/>
        <v>Not Started</v>
      </c>
      <c r="BT8" s="63" t="str">
        <f t="shared" si="20"/>
        <v>Not Started</v>
      </c>
      <c r="BU8" s="63" t="str">
        <f t="shared" si="21"/>
        <v>Not Started</v>
      </c>
      <c r="BV8" s="63" t="str">
        <f t="shared" si="22"/>
        <v>Not Started</v>
      </c>
      <c r="BW8" s="63" t="str">
        <f t="shared" si="23"/>
        <v>Not Started</v>
      </c>
      <c r="BX8" s="63" t="str">
        <f t="shared" si="24"/>
        <v>Not Started</v>
      </c>
      <c r="BY8" s="63" t="str">
        <f t="shared" si="25"/>
        <v>Not Started</v>
      </c>
      <c r="BZ8" s="63" t="str">
        <f t="shared" si="26"/>
        <v>Not Started</v>
      </c>
      <c r="CA8" s="63" t="str">
        <f t="shared" si="27"/>
        <v>Not Started</v>
      </c>
      <c r="CB8" s="63" t="str">
        <f t="shared" si="28"/>
        <v>Not Started</v>
      </c>
      <c r="CC8" s="44"/>
      <c r="CD8" s="44"/>
      <c r="CE8" s="44"/>
      <c r="CF8" s="44"/>
      <c r="CG8" s="44"/>
      <c r="CH8" s="44"/>
      <c r="CI8" s="44"/>
      <c r="CJ8" s="44"/>
      <c r="CK8" s="44"/>
      <c r="CL8" s="44">
        <v>0</v>
      </c>
      <c r="CM8" s="44">
        <f t="shared" si="64"/>
        <v>0</v>
      </c>
      <c r="CN8" s="44">
        <f t="shared" si="64"/>
        <v>0</v>
      </c>
      <c r="CO8" s="45">
        <f t="shared" si="63"/>
        <v>1</v>
      </c>
      <c r="CP8" s="45">
        <f t="shared" si="65"/>
        <v>1</v>
      </c>
      <c r="CQ8" s="45">
        <f t="shared" si="29"/>
        <v>1</v>
      </c>
      <c r="CR8" s="45">
        <f t="shared" si="30"/>
        <v>1</v>
      </c>
      <c r="CS8" s="45">
        <f t="shared" si="31"/>
        <v>1</v>
      </c>
      <c r="CT8" s="45">
        <f t="shared" si="32"/>
        <v>1</v>
      </c>
      <c r="CU8" s="45">
        <f t="shared" si="33"/>
        <v>1</v>
      </c>
      <c r="CV8" s="45">
        <f t="shared" si="34"/>
        <v>1</v>
      </c>
      <c r="CW8" s="45">
        <f t="shared" si="35"/>
        <v>1</v>
      </c>
      <c r="CX8" s="45">
        <f t="shared" si="36"/>
        <v>1</v>
      </c>
      <c r="CY8" s="45">
        <f t="shared" si="37"/>
        <v>1</v>
      </c>
      <c r="CZ8" s="45"/>
      <c r="DA8" s="45" t="str">
        <f t="shared" si="38"/>
        <v>NS</v>
      </c>
      <c r="DB8" s="45" t="str">
        <f t="shared" si="39"/>
        <v>NS</v>
      </c>
      <c r="DC8" s="45" t="str">
        <f t="shared" si="40"/>
        <v>NS</v>
      </c>
      <c r="DD8" s="45" t="str">
        <f t="shared" si="41"/>
        <v>NS</v>
      </c>
      <c r="DE8" s="45" t="str">
        <f t="shared" si="42"/>
        <v>NS</v>
      </c>
      <c r="DF8" s="45" t="str">
        <f t="shared" si="43"/>
        <v>NS</v>
      </c>
      <c r="DG8" s="45" t="str">
        <f t="shared" si="44"/>
        <v>NS</v>
      </c>
      <c r="DH8" s="45" t="str">
        <f t="shared" si="45"/>
        <v>NS</v>
      </c>
      <c r="DI8" s="45" t="str">
        <f t="shared" si="46"/>
        <v>NS</v>
      </c>
      <c r="DJ8" s="45" t="str">
        <f t="shared" si="47"/>
        <v>NS</v>
      </c>
      <c r="DK8" s="45" t="str">
        <f t="shared" si="48"/>
        <v>NS</v>
      </c>
      <c r="DL8" s="45" t="str">
        <f t="shared" si="49"/>
        <v>NS</v>
      </c>
      <c r="DM8" s="45" t="e">
        <f t="shared" si="50"/>
        <v>#DIV/0!</v>
      </c>
      <c r="DN8" s="45" t="e">
        <f t="shared" si="51"/>
        <v>#DIV/0!</v>
      </c>
      <c r="DO8" s="45" t="e">
        <f t="shared" si="52"/>
        <v>#DIV/0!</v>
      </c>
      <c r="DP8" s="45" t="e">
        <f t="shared" si="53"/>
        <v>#DIV/0!</v>
      </c>
      <c r="DQ8" s="45" t="e">
        <f t="shared" si="54"/>
        <v>#DIV/0!</v>
      </c>
      <c r="DR8" s="45" t="e">
        <f t="shared" si="55"/>
        <v>#DIV/0!</v>
      </c>
      <c r="DS8" s="45" t="e">
        <f t="shared" si="56"/>
        <v>#DIV/0!</v>
      </c>
      <c r="DT8" s="45" t="e">
        <f t="shared" si="57"/>
        <v>#DIV/0!</v>
      </c>
      <c r="DU8" s="45" t="e">
        <f t="shared" si="58"/>
        <v>#DIV/0!</v>
      </c>
      <c r="DV8" s="45" t="e">
        <f t="shared" si="59"/>
        <v>#DIV/0!</v>
      </c>
      <c r="DW8" s="45" t="e">
        <f t="shared" si="60"/>
        <v>#DIV/0!</v>
      </c>
      <c r="DX8" s="45" t="e">
        <f t="shared" si="61"/>
        <v>#DIV/0!</v>
      </c>
      <c r="DY8" s="46"/>
      <c r="DZ8" s="41"/>
      <c r="EA8" s="41"/>
      <c r="EB8" s="41"/>
      <c r="EC8" s="41"/>
      <c r="ED8" s="41"/>
      <c r="EE8" s="41"/>
      <c r="EF8" s="41"/>
      <c r="EG8" s="41"/>
      <c r="EH8" s="51"/>
      <c r="EI8" s="222"/>
      <c r="EJ8" s="59">
        <f t="shared" si="62"/>
        <v>47483</v>
      </c>
      <c r="EK8" s="229"/>
      <c r="EL8" s="230"/>
      <c r="EM8" s="229"/>
      <c r="EN8" s="222"/>
      <c r="EO8" s="222"/>
      <c r="EP8" s="222"/>
      <c r="EQ8" s="231"/>
      <c r="ER8" s="213"/>
      <c r="ES8" s="220"/>
      <c r="ET8" s="220"/>
      <c r="EU8" s="220"/>
      <c r="EV8" s="220"/>
      <c r="EW8" s="220"/>
      <c r="EX8" s="220"/>
      <c r="EY8" s="220"/>
      <c r="EZ8" s="220"/>
      <c r="FA8" s="222"/>
      <c r="FB8" s="222"/>
      <c r="FC8" s="222"/>
      <c r="FD8" s="222"/>
      <c r="FE8" s="220"/>
      <c r="FF8" s="220"/>
      <c r="FG8" s="222"/>
      <c r="FH8" s="220"/>
      <c r="FI8" s="220"/>
      <c r="FJ8" s="220"/>
      <c r="FK8" s="220"/>
      <c r="FL8" s="215"/>
      <c r="FM8" s="236"/>
      <c r="FN8" s="236"/>
      <c r="FO8" s="236" t="s">
        <v>231</v>
      </c>
      <c r="FP8" s="238"/>
      <c r="FQ8" s="238"/>
      <c r="FR8" s="213" t="s">
        <v>184</v>
      </c>
      <c r="FS8" s="213"/>
      <c r="FT8" s="213"/>
      <c r="FU8" s="48"/>
    </row>
    <row r="9" spans="1:177" s="16" customFormat="1" ht="96">
      <c r="A9" s="63"/>
      <c r="B9" s="234" t="s">
        <v>205</v>
      </c>
      <c r="C9" s="64" t="s">
        <v>206</v>
      </c>
      <c r="D9" s="225" t="s">
        <v>207</v>
      </c>
      <c r="E9" s="226" t="s">
        <v>208</v>
      </c>
      <c r="F9" s="227">
        <f t="shared" si="66"/>
        <v>4</v>
      </c>
      <c r="G9" s="65" t="s">
        <v>209</v>
      </c>
      <c r="H9" s="65" t="s">
        <v>210</v>
      </c>
      <c r="I9" s="65" t="s">
        <v>234</v>
      </c>
      <c r="J9" s="48">
        <v>2026</v>
      </c>
      <c r="K9" s="48">
        <v>2027</v>
      </c>
      <c r="L9" s="48" t="s">
        <v>172</v>
      </c>
      <c r="M9" s="48" t="s">
        <v>173</v>
      </c>
      <c r="N9" s="63" t="s">
        <v>174</v>
      </c>
      <c r="O9" s="63" t="s">
        <v>235</v>
      </c>
      <c r="P9" s="63" t="s">
        <v>212</v>
      </c>
      <c r="Q9" s="214" t="s">
        <v>228</v>
      </c>
      <c r="R9" s="235" t="s">
        <v>229</v>
      </c>
      <c r="S9" s="63" t="str">
        <f t="shared" si="0"/>
        <v>Not Started</v>
      </c>
      <c r="T9" s="63" t="str">
        <f t="shared" si="1"/>
        <v>Not Started</v>
      </c>
      <c r="U9" s="63" t="str">
        <f t="shared" si="2"/>
        <v>Helen Desyani</v>
      </c>
      <c r="V9" s="67">
        <f t="shared" si="3"/>
        <v>0</v>
      </c>
      <c r="W9" s="66" t="s">
        <v>178</v>
      </c>
      <c r="X9" s="59">
        <f t="shared" si="4"/>
        <v>46477</v>
      </c>
      <c r="Y9" s="228"/>
      <c r="Z9" s="48" t="s">
        <v>179</v>
      </c>
      <c r="AA9" s="62">
        <v>46113</v>
      </c>
      <c r="AB9" s="62">
        <v>46203</v>
      </c>
      <c r="AC9" s="62">
        <v>46204</v>
      </c>
      <c r="AD9" s="62">
        <v>46217</v>
      </c>
      <c r="AE9" s="62">
        <v>46217</v>
      </c>
      <c r="AF9" s="42">
        <v>46234</v>
      </c>
      <c r="AG9" s="42"/>
      <c r="AH9" s="42"/>
      <c r="AI9" s="62">
        <v>46235</v>
      </c>
      <c r="AJ9" s="62">
        <v>46264</v>
      </c>
      <c r="AK9" s="62">
        <v>46266</v>
      </c>
      <c r="AL9" s="62">
        <v>46387</v>
      </c>
      <c r="AM9" s="62">
        <v>46388</v>
      </c>
      <c r="AN9" s="62">
        <v>46418</v>
      </c>
      <c r="AO9" s="62">
        <v>46419</v>
      </c>
      <c r="AP9" s="62">
        <v>46446</v>
      </c>
      <c r="AQ9" s="62">
        <v>46447</v>
      </c>
      <c r="AR9" s="62">
        <v>46477</v>
      </c>
      <c r="AS9" s="63" t="str">
        <f t="shared" si="5"/>
        <v>Not Started</v>
      </c>
      <c r="AT9" s="63" t="str">
        <f t="shared" si="6"/>
        <v>Not Started</v>
      </c>
      <c r="AU9" s="63" t="str">
        <f t="shared" si="7"/>
        <v>Not Started</v>
      </c>
      <c r="AV9" s="63" t="str">
        <f t="shared" si="8"/>
        <v>Selesai RBT-RBB</v>
      </c>
      <c r="AW9" s="63" t="str">
        <f t="shared" si="9"/>
        <v>Selesai RBT-RBL</v>
      </c>
      <c r="AX9" s="63" t="str">
        <f t="shared" si="10"/>
        <v>Selesai RBT-RBTD</v>
      </c>
      <c r="AY9" s="63" t="str">
        <f t="shared" si="11"/>
        <v>Selesai Pengadaan</v>
      </c>
      <c r="AZ9" s="63" t="str">
        <f t="shared" si="12"/>
        <v>Proses Desain</v>
      </c>
      <c r="BA9" s="63" t="str">
        <f t="shared" si="13"/>
        <v>Proses Pengembangan</v>
      </c>
      <c r="BB9" s="63" t="str">
        <f t="shared" si="14"/>
        <v>Proses Pengembangan</v>
      </c>
      <c r="BC9" s="63" t="str">
        <f t="shared" si="15"/>
        <v>Proses Pengembangan</v>
      </c>
      <c r="BD9" s="63" t="str">
        <f t="shared" si="16"/>
        <v>Proses Pengembangan</v>
      </c>
      <c r="BE9" s="43">
        <v>0</v>
      </c>
      <c r="BF9" s="43">
        <v>0</v>
      </c>
      <c r="BG9" s="43">
        <v>0</v>
      </c>
      <c r="BH9" s="43">
        <v>0.05</v>
      </c>
      <c r="BI9" s="43">
        <v>0.1</v>
      </c>
      <c r="BJ9" s="43">
        <v>0.15</v>
      </c>
      <c r="BK9" s="43">
        <v>0.3</v>
      </c>
      <c r="BL9" s="43">
        <v>0.4</v>
      </c>
      <c r="BM9" s="43">
        <v>0.49</v>
      </c>
      <c r="BN9" s="43">
        <v>0.56999999999999995</v>
      </c>
      <c r="BO9" s="219">
        <v>0.65</v>
      </c>
      <c r="BP9" s="43">
        <v>0.73</v>
      </c>
      <c r="BQ9" s="63" t="str">
        <f t="shared" si="17"/>
        <v>Not Started</v>
      </c>
      <c r="BR9" s="63" t="str">
        <f t="shared" si="18"/>
        <v>Not Started</v>
      </c>
      <c r="BS9" s="63" t="str">
        <f t="shared" si="19"/>
        <v>Not Started</v>
      </c>
      <c r="BT9" s="63" t="str">
        <f t="shared" si="20"/>
        <v>Not Started</v>
      </c>
      <c r="BU9" s="63" t="str">
        <f t="shared" si="21"/>
        <v>Not Started</v>
      </c>
      <c r="BV9" s="63" t="str">
        <f t="shared" si="22"/>
        <v>Not Started</v>
      </c>
      <c r="BW9" s="63" t="str">
        <f t="shared" si="23"/>
        <v>Not Started</v>
      </c>
      <c r="BX9" s="63" t="str">
        <f t="shared" si="24"/>
        <v>Not Started</v>
      </c>
      <c r="BY9" s="63" t="str">
        <f t="shared" si="25"/>
        <v>Not Started</v>
      </c>
      <c r="BZ9" s="63" t="str">
        <f t="shared" si="26"/>
        <v>Not Started</v>
      </c>
      <c r="CA9" s="63" t="str">
        <f t="shared" si="27"/>
        <v>Not Started</v>
      </c>
      <c r="CB9" s="63" t="str">
        <f t="shared" si="28"/>
        <v>Not Started</v>
      </c>
      <c r="CC9" s="44">
        <f>(($DY9/100%)*15%)+(($DZ9/100%)*5%)+(($EA9/100%)*5%)+(($EB9/100%)*5%)+(($EC9/100%)*15%)+(($ED9/100%)*35%)+(($EE9/100%)*7.5%)+(($EF9/100%)*7.5%)+(($EG9/100%)*5%)</f>
        <v>0</v>
      </c>
      <c r="CD9" s="44"/>
      <c r="CE9" s="44"/>
      <c r="CF9" s="44"/>
      <c r="CG9" s="44"/>
      <c r="CH9" s="44"/>
      <c r="CI9" s="44"/>
      <c r="CJ9" s="44"/>
      <c r="CK9" s="44"/>
      <c r="CL9" s="44"/>
      <c r="CM9" s="44"/>
      <c r="CN9" s="44"/>
      <c r="CO9" s="45">
        <f t="shared" si="63"/>
        <v>1</v>
      </c>
      <c r="CP9" s="45">
        <f t="shared" si="65"/>
        <v>1</v>
      </c>
      <c r="CQ9" s="45">
        <f t="shared" si="29"/>
        <v>1</v>
      </c>
      <c r="CR9" s="45">
        <f t="shared" si="30"/>
        <v>0</v>
      </c>
      <c r="CS9" s="45">
        <f t="shared" si="31"/>
        <v>0</v>
      </c>
      <c r="CT9" s="45">
        <f t="shared" si="32"/>
        <v>0</v>
      </c>
      <c r="CU9" s="45">
        <f t="shared" si="33"/>
        <v>0</v>
      </c>
      <c r="CV9" s="45">
        <f t="shared" si="34"/>
        <v>0</v>
      </c>
      <c r="CW9" s="45">
        <f t="shared" si="35"/>
        <v>0</v>
      </c>
      <c r="CX9" s="45">
        <f t="shared" si="36"/>
        <v>0</v>
      </c>
      <c r="CY9" s="45">
        <f t="shared" si="37"/>
        <v>0</v>
      </c>
      <c r="CZ9" s="45"/>
      <c r="DA9" s="45" t="str">
        <f t="shared" si="38"/>
        <v>NS</v>
      </c>
      <c r="DB9" s="45" t="str">
        <f t="shared" si="39"/>
        <v>NS</v>
      </c>
      <c r="DC9" s="45" t="str">
        <f t="shared" si="40"/>
        <v>NS</v>
      </c>
      <c r="DD9" s="45" t="str">
        <f t="shared" si="41"/>
        <v>BS</v>
      </c>
      <c r="DE9" s="45" t="str">
        <f t="shared" si="42"/>
        <v>BS</v>
      </c>
      <c r="DF9" s="45" t="str">
        <f t="shared" si="43"/>
        <v>BS</v>
      </c>
      <c r="DG9" s="45" t="str">
        <f t="shared" si="44"/>
        <v>BS</v>
      </c>
      <c r="DH9" s="45" t="str">
        <f t="shared" si="45"/>
        <v>BS</v>
      </c>
      <c r="DI9" s="45" t="str">
        <f t="shared" si="46"/>
        <v>BS</v>
      </c>
      <c r="DJ9" s="45" t="str">
        <f t="shared" si="47"/>
        <v>BS</v>
      </c>
      <c r="DK9" s="45" t="str">
        <f t="shared" si="48"/>
        <v>BS</v>
      </c>
      <c r="DL9" s="45" t="str">
        <f t="shared" si="49"/>
        <v>BS</v>
      </c>
      <c r="DM9" s="45">
        <f t="shared" si="50"/>
        <v>0</v>
      </c>
      <c r="DN9" s="45">
        <f t="shared" si="51"/>
        <v>0</v>
      </c>
      <c r="DO9" s="45">
        <f t="shared" si="52"/>
        <v>0</v>
      </c>
      <c r="DP9" s="45">
        <f t="shared" si="53"/>
        <v>0</v>
      </c>
      <c r="DQ9" s="45">
        <f t="shared" si="54"/>
        <v>0</v>
      </c>
      <c r="DR9" s="45">
        <f t="shared" si="55"/>
        <v>0</v>
      </c>
      <c r="DS9" s="45">
        <f t="shared" si="56"/>
        <v>0</v>
      </c>
      <c r="DT9" s="45">
        <f t="shared" si="57"/>
        <v>0</v>
      </c>
      <c r="DU9" s="45">
        <f t="shared" si="58"/>
        <v>0</v>
      </c>
      <c r="DV9" s="45">
        <f t="shared" si="59"/>
        <v>0</v>
      </c>
      <c r="DW9" s="45">
        <f t="shared" si="60"/>
        <v>0</v>
      </c>
      <c r="DX9" s="45">
        <f t="shared" si="61"/>
        <v>0</v>
      </c>
      <c r="DY9" s="46"/>
      <c r="DZ9" s="41"/>
      <c r="EA9" s="41"/>
      <c r="EB9" s="41"/>
      <c r="EC9" s="41"/>
      <c r="ED9" s="41"/>
      <c r="EE9" s="41"/>
      <c r="EF9" s="41"/>
      <c r="EG9" s="41"/>
      <c r="EH9" s="51"/>
      <c r="EI9" s="222"/>
      <c r="EJ9" s="59">
        <f t="shared" si="62"/>
        <v>46477</v>
      </c>
      <c r="EK9" s="229"/>
      <c r="EL9" s="230"/>
      <c r="EM9" s="229"/>
      <c r="EN9" s="222"/>
      <c r="EO9" s="222"/>
      <c r="EP9" s="222"/>
      <c r="EQ9" s="231"/>
      <c r="ER9" s="213"/>
      <c r="ES9" s="220"/>
      <c r="ET9" s="220"/>
      <c r="EU9" s="220"/>
      <c r="EV9" s="220"/>
      <c r="EW9" s="220"/>
      <c r="EX9" s="220"/>
      <c r="EY9" s="220"/>
      <c r="EZ9" s="220"/>
      <c r="FA9" s="222"/>
      <c r="FB9" s="222"/>
      <c r="FC9" s="222"/>
      <c r="FD9" s="222"/>
      <c r="FE9" s="220"/>
      <c r="FF9" s="220"/>
      <c r="FG9" s="222"/>
      <c r="FH9" s="220"/>
      <c r="FI9" s="220"/>
      <c r="FJ9" s="220"/>
      <c r="FK9" s="220"/>
      <c r="FL9" s="215"/>
      <c r="FM9" s="236"/>
      <c r="FN9" s="237" t="s">
        <v>230</v>
      </c>
      <c r="FO9" s="236" t="s">
        <v>231</v>
      </c>
      <c r="FP9" s="238"/>
      <c r="FQ9" s="238"/>
      <c r="FR9" s="213" t="s">
        <v>184</v>
      </c>
      <c r="FS9" s="213"/>
      <c r="FT9" s="213"/>
      <c r="FU9" s="48"/>
    </row>
    <row r="10" spans="1:177" s="16" customFormat="1" ht="96">
      <c r="A10" s="63"/>
      <c r="B10" s="234" t="s">
        <v>205</v>
      </c>
      <c r="C10" s="64" t="s">
        <v>206</v>
      </c>
      <c r="D10" s="225" t="s">
        <v>207</v>
      </c>
      <c r="E10" s="226" t="s">
        <v>208</v>
      </c>
      <c r="F10" s="227">
        <f t="shared" si="66"/>
        <v>5</v>
      </c>
      <c r="G10" s="65" t="s">
        <v>209</v>
      </c>
      <c r="H10" s="65" t="s">
        <v>210</v>
      </c>
      <c r="I10" s="65" t="s">
        <v>236</v>
      </c>
      <c r="J10" s="48">
        <v>2026</v>
      </c>
      <c r="K10" s="48">
        <v>2027</v>
      </c>
      <c r="L10" s="48" t="s">
        <v>172</v>
      </c>
      <c r="M10" s="48" t="s">
        <v>173</v>
      </c>
      <c r="N10" s="63" t="s">
        <v>174</v>
      </c>
      <c r="O10" s="63" t="s">
        <v>235</v>
      </c>
      <c r="P10" s="63" t="s">
        <v>15</v>
      </c>
      <c r="Q10" s="214" t="s">
        <v>228</v>
      </c>
      <c r="R10" s="235" t="s">
        <v>229</v>
      </c>
      <c r="S10" s="63" t="str">
        <f t="shared" si="0"/>
        <v>Not Started</v>
      </c>
      <c r="T10" s="63" t="str">
        <f t="shared" si="1"/>
        <v>Not Started</v>
      </c>
      <c r="U10" s="63" t="str">
        <f t="shared" si="2"/>
        <v>Helen Desyani</v>
      </c>
      <c r="V10" s="67">
        <f t="shared" si="3"/>
        <v>0</v>
      </c>
      <c r="W10" s="66" t="s">
        <v>237</v>
      </c>
      <c r="X10" s="59">
        <f t="shared" si="4"/>
        <v>46660</v>
      </c>
      <c r="Y10" s="228"/>
      <c r="Z10" s="48" t="s">
        <v>179</v>
      </c>
      <c r="AA10" s="62">
        <v>46296</v>
      </c>
      <c r="AB10" s="62">
        <v>46386</v>
      </c>
      <c r="AC10" s="62">
        <v>46401</v>
      </c>
      <c r="AD10" s="62">
        <v>46053</v>
      </c>
      <c r="AE10" s="62">
        <v>46388</v>
      </c>
      <c r="AF10" s="62">
        <v>46401</v>
      </c>
      <c r="AG10" s="42"/>
      <c r="AH10" s="42"/>
      <c r="AI10" s="62">
        <v>46419</v>
      </c>
      <c r="AJ10" s="62">
        <v>46446</v>
      </c>
      <c r="AK10" s="62">
        <v>46447</v>
      </c>
      <c r="AL10" s="62">
        <v>46568</v>
      </c>
      <c r="AM10" s="62">
        <v>46569</v>
      </c>
      <c r="AN10" s="62">
        <v>46598</v>
      </c>
      <c r="AO10" s="62">
        <v>46600</v>
      </c>
      <c r="AP10" s="62">
        <v>46629</v>
      </c>
      <c r="AQ10" s="62">
        <v>46631</v>
      </c>
      <c r="AR10" s="62">
        <v>46660</v>
      </c>
      <c r="AS10" s="63" t="str">
        <f t="shared" si="5"/>
        <v>Not Started</v>
      </c>
      <c r="AT10" s="63" t="str">
        <f t="shared" si="6"/>
        <v>Not Started</v>
      </c>
      <c r="AU10" s="63" t="str">
        <f t="shared" si="7"/>
        <v>Not Started</v>
      </c>
      <c r="AV10" s="63" t="str">
        <f t="shared" si="8"/>
        <v>Not Started</v>
      </c>
      <c r="AW10" s="63" t="str">
        <f t="shared" si="9"/>
        <v>Not Started</v>
      </c>
      <c r="AX10" s="63" t="str">
        <f t="shared" si="10"/>
        <v>Not Started</v>
      </c>
      <c r="AY10" s="63" t="str">
        <f t="shared" si="11"/>
        <v>Not Started</v>
      </c>
      <c r="AZ10" s="63" t="str">
        <f t="shared" si="12"/>
        <v>Not Started</v>
      </c>
      <c r="BA10" s="63" t="str">
        <f t="shared" si="13"/>
        <v>Not Started</v>
      </c>
      <c r="BB10" s="63" t="str">
        <f t="shared" si="14"/>
        <v>Selesai RBT-RBB</v>
      </c>
      <c r="BC10" s="63" t="str">
        <f t="shared" si="15"/>
        <v>Selesai RBT-RBL</v>
      </c>
      <c r="BD10" s="63" t="str">
        <f t="shared" si="16"/>
        <v>Selesai RBT-RBTD</v>
      </c>
      <c r="BE10" s="43">
        <v>0</v>
      </c>
      <c r="BF10" s="43">
        <v>0</v>
      </c>
      <c r="BG10" s="43">
        <v>0</v>
      </c>
      <c r="BH10" s="43">
        <v>0</v>
      </c>
      <c r="BI10" s="43">
        <v>0</v>
      </c>
      <c r="BJ10" s="43">
        <v>0</v>
      </c>
      <c r="BK10" s="43">
        <v>0</v>
      </c>
      <c r="BL10" s="43">
        <v>0</v>
      </c>
      <c r="BM10" s="43">
        <v>0</v>
      </c>
      <c r="BN10" s="43">
        <v>0.05</v>
      </c>
      <c r="BO10" s="219">
        <v>0.1</v>
      </c>
      <c r="BP10" s="43">
        <v>0.15</v>
      </c>
      <c r="BQ10" s="63" t="str">
        <f t="shared" si="17"/>
        <v>Not Started</v>
      </c>
      <c r="BR10" s="63" t="str">
        <f t="shared" si="18"/>
        <v>Not Started</v>
      </c>
      <c r="BS10" s="63" t="str">
        <f t="shared" si="19"/>
        <v>Not Started</v>
      </c>
      <c r="BT10" s="63" t="str">
        <f t="shared" si="20"/>
        <v>Not Started</v>
      </c>
      <c r="BU10" s="63" t="str">
        <f t="shared" si="21"/>
        <v>Not Started</v>
      </c>
      <c r="BV10" s="63" t="str">
        <f t="shared" si="22"/>
        <v>Not Started</v>
      </c>
      <c r="BW10" s="63" t="str">
        <f t="shared" si="23"/>
        <v>Not Started</v>
      </c>
      <c r="BX10" s="63" t="str">
        <f t="shared" si="24"/>
        <v>Not Started</v>
      </c>
      <c r="BY10" s="63" t="str">
        <f t="shared" si="25"/>
        <v>Not Started</v>
      </c>
      <c r="BZ10" s="63" t="str">
        <f t="shared" si="26"/>
        <v>Not Started</v>
      </c>
      <c r="CA10" s="63" t="str">
        <f t="shared" si="27"/>
        <v>Not Started</v>
      </c>
      <c r="CB10" s="63" t="str">
        <f t="shared" si="28"/>
        <v>Not Started</v>
      </c>
      <c r="CC10" s="44">
        <f>(($DY10/100%)*15%)+(($DZ10/100%)*5%)+(($EA10/100%)*5%)+(($EB10/100%)*5%)+(($EC10/100%)*15%)+(($ED10/100%)*35%)+(($EE10/100%)*7.5%)+(($EF10/100%)*7.5%)+(($EG10/100%)*5%)</f>
        <v>0</v>
      </c>
      <c r="CD10" s="44"/>
      <c r="CE10" s="44"/>
      <c r="CF10" s="44"/>
      <c r="CG10" s="44"/>
      <c r="CH10" s="44"/>
      <c r="CI10" s="44"/>
      <c r="CJ10" s="44"/>
      <c r="CK10" s="44"/>
      <c r="CL10" s="44"/>
      <c r="CM10" s="44"/>
      <c r="CN10" s="44"/>
      <c r="CO10" s="45">
        <f t="shared" si="63"/>
        <v>1</v>
      </c>
      <c r="CP10" s="45">
        <f t="shared" si="65"/>
        <v>1</v>
      </c>
      <c r="CQ10" s="45">
        <f t="shared" si="29"/>
        <v>1</v>
      </c>
      <c r="CR10" s="45">
        <f t="shared" si="30"/>
        <v>1</v>
      </c>
      <c r="CS10" s="45">
        <f t="shared" si="31"/>
        <v>1</v>
      </c>
      <c r="CT10" s="45">
        <f t="shared" si="32"/>
        <v>1</v>
      </c>
      <c r="CU10" s="45">
        <f t="shared" si="33"/>
        <v>1</v>
      </c>
      <c r="CV10" s="45">
        <f t="shared" si="34"/>
        <v>1</v>
      </c>
      <c r="CW10" s="45">
        <f t="shared" si="35"/>
        <v>1</v>
      </c>
      <c r="CX10" s="45">
        <f t="shared" si="36"/>
        <v>0</v>
      </c>
      <c r="CY10" s="45">
        <f t="shared" si="37"/>
        <v>0</v>
      </c>
      <c r="CZ10" s="45"/>
      <c r="DA10" s="45" t="str">
        <f t="shared" si="38"/>
        <v>NS</v>
      </c>
      <c r="DB10" s="45" t="str">
        <f t="shared" si="39"/>
        <v>NS</v>
      </c>
      <c r="DC10" s="45" t="str">
        <f t="shared" si="40"/>
        <v>NS</v>
      </c>
      <c r="DD10" s="45" t="str">
        <f t="shared" si="41"/>
        <v>NS</v>
      </c>
      <c r="DE10" s="45" t="str">
        <f t="shared" si="42"/>
        <v>NS</v>
      </c>
      <c r="DF10" s="45" t="str">
        <f t="shared" si="43"/>
        <v>NS</v>
      </c>
      <c r="DG10" s="45" t="str">
        <f t="shared" si="44"/>
        <v>NS</v>
      </c>
      <c r="DH10" s="45" t="str">
        <f t="shared" si="45"/>
        <v>NS</v>
      </c>
      <c r="DI10" s="45" t="str">
        <f t="shared" si="46"/>
        <v>NS</v>
      </c>
      <c r="DJ10" s="45" t="str">
        <f t="shared" si="47"/>
        <v>BS</v>
      </c>
      <c r="DK10" s="45" t="str">
        <f t="shared" si="48"/>
        <v>BS</v>
      </c>
      <c r="DL10" s="45" t="str">
        <f t="shared" si="49"/>
        <v>BS</v>
      </c>
      <c r="DM10" s="45">
        <f t="shared" si="50"/>
        <v>0</v>
      </c>
      <c r="DN10" s="45">
        <f t="shared" si="51"/>
        <v>0</v>
      </c>
      <c r="DO10" s="45">
        <f t="shared" si="52"/>
        <v>0</v>
      </c>
      <c r="DP10" s="45">
        <f t="shared" si="53"/>
        <v>0</v>
      </c>
      <c r="DQ10" s="45">
        <f t="shared" si="54"/>
        <v>0</v>
      </c>
      <c r="DR10" s="45">
        <f t="shared" si="55"/>
        <v>0</v>
      </c>
      <c r="DS10" s="45">
        <f t="shared" si="56"/>
        <v>0</v>
      </c>
      <c r="DT10" s="45">
        <f t="shared" si="57"/>
        <v>0</v>
      </c>
      <c r="DU10" s="45">
        <f t="shared" si="58"/>
        <v>0</v>
      </c>
      <c r="DV10" s="45">
        <f t="shared" si="59"/>
        <v>0</v>
      </c>
      <c r="DW10" s="45">
        <f t="shared" si="60"/>
        <v>0</v>
      </c>
      <c r="DX10" s="45">
        <f t="shared" si="61"/>
        <v>0</v>
      </c>
      <c r="DY10" s="46"/>
      <c r="DZ10" s="41"/>
      <c r="EA10" s="41"/>
      <c r="EB10" s="41"/>
      <c r="EC10" s="41"/>
      <c r="ED10" s="41"/>
      <c r="EE10" s="41"/>
      <c r="EF10" s="41"/>
      <c r="EG10" s="41"/>
      <c r="EH10" s="51"/>
      <c r="EI10" s="222"/>
      <c r="EJ10" s="59">
        <f t="shared" si="62"/>
        <v>46660</v>
      </c>
      <c r="EK10" s="229"/>
      <c r="EL10" s="230"/>
      <c r="EM10" s="229"/>
      <c r="EN10" s="222"/>
      <c r="EO10" s="222"/>
      <c r="EP10" s="222"/>
      <c r="EQ10" s="231"/>
      <c r="ER10" s="213"/>
      <c r="ES10" s="220"/>
      <c r="ET10" s="220"/>
      <c r="EU10" s="220"/>
      <c r="EV10" s="220"/>
      <c r="EW10" s="220"/>
      <c r="EX10" s="220"/>
      <c r="EY10" s="220"/>
      <c r="EZ10" s="220"/>
      <c r="FA10" s="222"/>
      <c r="FB10" s="222"/>
      <c r="FC10" s="222"/>
      <c r="FD10" s="222"/>
      <c r="FE10" s="220"/>
      <c r="FF10" s="220"/>
      <c r="FG10" s="222"/>
      <c r="FH10" s="220"/>
      <c r="FI10" s="220"/>
      <c r="FJ10" s="220"/>
      <c r="FK10" s="220"/>
      <c r="FL10" s="215"/>
      <c r="FM10" s="236"/>
      <c r="FN10" s="237" t="s">
        <v>230</v>
      </c>
      <c r="FO10" s="236" t="s">
        <v>231</v>
      </c>
      <c r="FP10" s="238"/>
      <c r="FQ10" s="238"/>
      <c r="FR10" s="213" t="s">
        <v>184</v>
      </c>
      <c r="FS10" s="213"/>
      <c r="FT10" s="213"/>
      <c r="FU10" s="48"/>
    </row>
    <row r="11" spans="1:177" s="16" customFormat="1" ht="96">
      <c r="A11" s="63"/>
      <c r="B11" s="234" t="s">
        <v>205</v>
      </c>
      <c r="C11" s="64" t="s">
        <v>206</v>
      </c>
      <c r="D11" s="225" t="s">
        <v>207</v>
      </c>
      <c r="E11" s="226" t="s">
        <v>208</v>
      </c>
      <c r="F11" s="227">
        <f t="shared" si="66"/>
        <v>6</v>
      </c>
      <c r="G11" s="65" t="s">
        <v>209</v>
      </c>
      <c r="H11" s="65" t="s">
        <v>210</v>
      </c>
      <c r="I11" s="65" t="s">
        <v>238</v>
      </c>
      <c r="J11" s="48">
        <v>2028</v>
      </c>
      <c r="K11" s="48">
        <v>2028</v>
      </c>
      <c r="L11" s="48" t="s">
        <v>172</v>
      </c>
      <c r="M11" s="48" t="s">
        <v>173</v>
      </c>
      <c r="N11" s="63" t="s">
        <v>174</v>
      </c>
      <c r="O11" s="63" t="s">
        <v>235</v>
      </c>
      <c r="P11" s="63" t="s">
        <v>15</v>
      </c>
      <c r="Q11" s="214" t="s">
        <v>228</v>
      </c>
      <c r="R11" s="235" t="s">
        <v>229</v>
      </c>
      <c r="S11" s="63" t="str">
        <f t="shared" si="0"/>
        <v>Not Started</v>
      </c>
      <c r="T11" s="63" t="str">
        <f t="shared" si="1"/>
        <v>Not Started</v>
      </c>
      <c r="U11" s="63">
        <f t="shared" si="2"/>
        <v>0</v>
      </c>
      <c r="V11" s="67">
        <f t="shared" si="3"/>
        <v>0</v>
      </c>
      <c r="W11" s="66" t="s">
        <v>239</v>
      </c>
      <c r="X11" s="59">
        <f t="shared" si="4"/>
        <v>47118</v>
      </c>
      <c r="Y11" s="228"/>
      <c r="Z11" s="48" t="s">
        <v>179</v>
      </c>
      <c r="AA11" s="62">
        <v>46753</v>
      </c>
      <c r="AB11" s="62">
        <v>46842</v>
      </c>
      <c r="AC11" s="62">
        <v>46857</v>
      </c>
      <c r="AD11" s="62">
        <v>46873</v>
      </c>
      <c r="AE11" s="62">
        <v>46844</v>
      </c>
      <c r="AF11" s="62">
        <v>46857</v>
      </c>
      <c r="AG11" s="42"/>
      <c r="AH11" s="42"/>
      <c r="AI11" s="62">
        <v>46874</v>
      </c>
      <c r="AJ11" s="62">
        <v>46903</v>
      </c>
      <c r="AK11" s="62">
        <v>46905</v>
      </c>
      <c r="AL11" s="62">
        <v>47026</v>
      </c>
      <c r="AM11" s="62">
        <v>47027</v>
      </c>
      <c r="AN11" s="62">
        <v>47056</v>
      </c>
      <c r="AO11" s="62">
        <v>47058</v>
      </c>
      <c r="AP11" s="62">
        <v>47087</v>
      </c>
      <c r="AQ11" s="62">
        <v>47088</v>
      </c>
      <c r="AR11" s="62">
        <v>47118</v>
      </c>
      <c r="AS11" s="63" t="str">
        <f t="shared" si="5"/>
        <v>Not Started</v>
      </c>
      <c r="AT11" s="63" t="str">
        <f t="shared" si="6"/>
        <v>Not Started</v>
      </c>
      <c r="AU11" s="63" t="str">
        <f t="shared" si="7"/>
        <v>Not Started</v>
      </c>
      <c r="AV11" s="63" t="str">
        <f t="shared" si="8"/>
        <v>Not Started</v>
      </c>
      <c r="AW11" s="63" t="str">
        <f t="shared" si="9"/>
        <v>Not Started</v>
      </c>
      <c r="AX11" s="63" t="str">
        <f t="shared" si="10"/>
        <v>Not Started</v>
      </c>
      <c r="AY11" s="63" t="str">
        <f t="shared" si="11"/>
        <v>Not Started</v>
      </c>
      <c r="AZ11" s="63" t="str">
        <f t="shared" si="12"/>
        <v>Not Started</v>
      </c>
      <c r="BA11" s="63" t="str">
        <f t="shared" si="13"/>
        <v>Not Started</v>
      </c>
      <c r="BB11" s="63" t="str">
        <f t="shared" si="14"/>
        <v>Not Started</v>
      </c>
      <c r="BC11" s="63" t="str">
        <f t="shared" si="15"/>
        <v>Not Started</v>
      </c>
      <c r="BD11" s="63" t="str">
        <f t="shared" si="16"/>
        <v>Not Started</v>
      </c>
      <c r="BE11" s="43">
        <v>0</v>
      </c>
      <c r="BF11" s="43">
        <v>0</v>
      </c>
      <c r="BG11" s="43">
        <v>0</v>
      </c>
      <c r="BH11" s="43">
        <v>0</v>
      </c>
      <c r="BI11" s="43">
        <v>0</v>
      </c>
      <c r="BJ11" s="43">
        <v>0</v>
      </c>
      <c r="BK11" s="43">
        <v>0</v>
      </c>
      <c r="BL11" s="43">
        <v>0</v>
      </c>
      <c r="BM11" s="43">
        <v>0</v>
      </c>
      <c r="BN11" s="43">
        <v>0</v>
      </c>
      <c r="BO11" s="43">
        <v>0</v>
      </c>
      <c r="BP11" s="43">
        <v>0</v>
      </c>
      <c r="BQ11" s="63" t="str">
        <f t="shared" si="17"/>
        <v>Not Started</v>
      </c>
      <c r="BR11" s="63" t="str">
        <f t="shared" si="18"/>
        <v>Not Started</v>
      </c>
      <c r="BS11" s="63" t="str">
        <f t="shared" si="19"/>
        <v>Not Started</v>
      </c>
      <c r="BT11" s="63" t="str">
        <f t="shared" si="20"/>
        <v>Not Started</v>
      </c>
      <c r="BU11" s="63" t="str">
        <f t="shared" si="21"/>
        <v>Not Started</v>
      </c>
      <c r="BV11" s="63" t="str">
        <f t="shared" si="22"/>
        <v>Not Started</v>
      </c>
      <c r="BW11" s="63" t="str">
        <f t="shared" si="23"/>
        <v>Not Started</v>
      </c>
      <c r="BX11" s="63" t="str">
        <f t="shared" si="24"/>
        <v>Not Started</v>
      </c>
      <c r="BY11" s="63" t="str">
        <f t="shared" si="25"/>
        <v>Not Started</v>
      </c>
      <c r="BZ11" s="63" t="str">
        <f t="shared" si="26"/>
        <v>Not Started</v>
      </c>
      <c r="CA11" s="63" t="str">
        <f t="shared" si="27"/>
        <v>Not Started</v>
      </c>
      <c r="CB11" s="63" t="str">
        <f t="shared" si="28"/>
        <v>Not Started</v>
      </c>
      <c r="CC11" s="44"/>
      <c r="CD11" s="44"/>
      <c r="CE11" s="44"/>
      <c r="CF11" s="44"/>
      <c r="CG11" s="44"/>
      <c r="CH11" s="44"/>
      <c r="CI11" s="44"/>
      <c r="CJ11" s="44"/>
      <c r="CK11" s="44"/>
      <c r="CL11" s="44">
        <v>0</v>
      </c>
      <c r="CM11" s="44">
        <f t="shared" si="64"/>
        <v>0</v>
      </c>
      <c r="CN11" s="44">
        <f t="shared" si="64"/>
        <v>0</v>
      </c>
      <c r="CO11" s="45">
        <f t="shared" si="63"/>
        <v>1</v>
      </c>
      <c r="CP11" s="45">
        <f t="shared" si="65"/>
        <v>1</v>
      </c>
      <c r="CQ11" s="45">
        <f t="shared" si="29"/>
        <v>1</v>
      </c>
      <c r="CR11" s="45">
        <f t="shared" si="30"/>
        <v>1</v>
      </c>
      <c r="CS11" s="45">
        <f t="shared" si="31"/>
        <v>1</v>
      </c>
      <c r="CT11" s="45">
        <f t="shared" si="32"/>
        <v>1</v>
      </c>
      <c r="CU11" s="45">
        <f t="shared" si="33"/>
        <v>1</v>
      </c>
      <c r="CV11" s="45">
        <f t="shared" si="34"/>
        <v>1</v>
      </c>
      <c r="CW11" s="45">
        <f t="shared" si="35"/>
        <v>1</v>
      </c>
      <c r="CX11" s="45">
        <f t="shared" si="36"/>
        <v>1</v>
      </c>
      <c r="CY11" s="45">
        <f t="shared" si="37"/>
        <v>1</v>
      </c>
      <c r="CZ11" s="45"/>
      <c r="DA11" s="45" t="str">
        <f t="shared" si="38"/>
        <v>NS</v>
      </c>
      <c r="DB11" s="45" t="str">
        <f t="shared" si="39"/>
        <v>NS</v>
      </c>
      <c r="DC11" s="45" t="str">
        <f t="shared" si="40"/>
        <v>NS</v>
      </c>
      <c r="DD11" s="45" t="str">
        <f t="shared" si="41"/>
        <v>NS</v>
      </c>
      <c r="DE11" s="45" t="str">
        <f t="shared" si="42"/>
        <v>NS</v>
      </c>
      <c r="DF11" s="45" t="str">
        <f t="shared" si="43"/>
        <v>NS</v>
      </c>
      <c r="DG11" s="45" t="str">
        <f t="shared" si="44"/>
        <v>NS</v>
      </c>
      <c r="DH11" s="45" t="str">
        <f t="shared" si="45"/>
        <v>NS</v>
      </c>
      <c r="DI11" s="45" t="str">
        <f t="shared" si="46"/>
        <v>NS</v>
      </c>
      <c r="DJ11" s="45" t="str">
        <f t="shared" si="47"/>
        <v>NS</v>
      </c>
      <c r="DK11" s="45" t="str">
        <f t="shared" si="48"/>
        <v>NS</v>
      </c>
      <c r="DL11" s="45" t="str">
        <f t="shared" si="49"/>
        <v>NS</v>
      </c>
      <c r="DM11" s="45" t="e">
        <f t="shared" si="50"/>
        <v>#DIV/0!</v>
      </c>
      <c r="DN11" s="45" t="e">
        <f t="shared" si="51"/>
        <v>#DIV/0!</v>
      </c>
      <c r="DO11" s="45" t="e">
        <f t="shared" si="52"/>
        <v>#DIV/0!</v>
      </c>
      <c r="DP11" s="45" t="e">
        <f t="shared" si="53"/>
        <v>#DIV/0!</v>
      </c>
      <c r="DQ11" s="45" t="e">
        <f t="shared" si="54"/>
        <v>#DIV/0!</v>
      </c>
      <c r="DR11" s="45" t="e">
        <f t="shared" si="55"/>
        <v>#DIV/0!</v>
      </c>
      <c r="DS11" s="45" t="e">
        <f t="shared" si="56"/>
        <v>#DIV/0!</v>
      </c>
      <c r="DT11" s="45" t="e">
        <f t="shared" si="57"/>
        <v>#DIV/0!</v>
      </c>
      <c r="DU11" s="45" t="e">
        <f t="shared" si="58"/>
        <v>#DIV/0!</v>
      </c>
      <c r="DV11" s="45" t="e">
        <f t="shared" si="59"/>
        <v>#DIV/0!</v>
      </c>
      <c r="DW11" s="45" t="e">
        <f t="shared" si="60"/>
        <v>#DIV/0!</v>
      </c>
      <c r="DX11" s="45" t="e">
        <f t="shared" si="61"/>
        <v>#DIV/0!</v>
      </c>
      <c r="DY11" s="46"/>
      <c r="DZ11" s="41"/>
      <c r="EA11" s="41"/>
      <c r="EB11" s="41"/>
      <c r="EC11" s="41"/>
      <c r="ED11" s="41"/>
      <c r="EE11" s="41"/>
      <c r="EF11" s="41"/>
      <c r="EG11" s="41"/>
      <c r="EH11" s="51"/>
      <c r="EI11" s="285"/>
      <c r="EJ11" s="59">
        <f t="shared" si="62"/>
        <v>47118</v>
      </c>
      <c r="EK11" s="229"/>
      <c r="EL11" s="230"/>
      <c r="EM11" s="229"/>
      <c r="EN11" s="222"/>
      <c r="EO11" s="222"/>
      <c r="EP11" s="222"/>
      <c r="EQ11" s="231"/>
      <c r="ER11" s="213"/>
      <c r="ES11" s="220"/>
      <c r="ET11" s="220"/>
      <c r="EU11" s="220"/>
      <c r="EV11" s="220"/>
      <c r="EW11" s="220"/>
      <c r="EX11" s="220"/>
      <c r="EY11" s="220"/>
      <c r="EZ11" s="220"/>
      <c r="FA11" s="222"/>
      <c r="FB11" s="222"/>
      <c r="FC11" s="222"/>
      <c r="FD11" s="222"/>
      <c r="FE11" s="220"/>
      <c r="FF11" s="220"/>
      <c r="FG11" s="222"/>
      <c r="FH11" s="220"/>
      <c r="FI11" s="220"/>
      <c r="FJ11" s="220"/>
      <c r="FK11" s="220"/>
      <c r="FL11" s="215"/>
      <c r="FM11" s="236"/>
      <c r="FN11" s="236"/>
      <c r="FO11" s="236" t="s">
        <v>231</v>
      </c>
      <c r="FP11" s="238"/>
      <c r="FQ11" s="238"/>
      <c r="FR11" s="213" t="s">
        <v>184</v>
      </c>
      <c r="FS11" s="213"/>
      <c r="FT11" s="213"/>
      <c r="FU11" s="48"/>
    </row>
    <row r="12" spans="1:177" s="16" customFormat="1" ht="176">
      <c r="A12" s="63" t="s">
        <v>240</v>
      </c>
      <c r="B12" s="48" t="s">
        <v>205</v>
      </c>
      <c r="C12" s="64" t="s">
        <v>206</v>
      </c>
      <c r="D12" s="225" t="s">
        <v>207</v>
      </c>
      <c r="E12" s="226" t="s">
        <v>208</v>
      </c>
      <c r="F12" s="227">
        <f t="shared" si="66"/>
        <v>7</v>
      </c>
      <c r="G12" s="65" t="s">
        <v>241</v>
      </c>
      <c r="H12" s="65" t="s">
        <v>210</v>
      </c>
      <c r="I12" s="65" t="s">
        <v>40</v>
      </c>
      <c r="J12" s="48">
        <v>2025</v>
      </c>
      <c r="K12" s="48">
        <v>2025</v>
      </c>
      <c r="L12" s="48" t="s">
        <v>172</v>
      </c>
      <c r="M12" s="48" t="s">
        <v>173</v>
      </c>
      <c r="N12" s="63" t="s">
        <v>174</v>
      </c>
      <c r="O12" s="63" t="s">
        <v>227</v>
      </c>
      <c r="P12" s="63" t="s">
        <v>212</v>
      </c>
      <c r="Q12" s="63" t="s">
        <v>199</v>
      </c>
      <c r="R12" s="63" t="s">
        <v>242</v>
      </c>
      <c r="S12" s="63" t="str">
        <f t="shared" si="0"/>
        <v>Selesai Implementasi</v>
      </c>
      <c r="T12" s="63" t="str">
        <f t="shared" si="1"/>
        <v>DONE</v>
      </c>
      <c r="U12" s="63" t="str">
        <f t="shared" si="2"/>
        <v>Helen Desyani</v>
      </c>
      <c r="V12" s="67">
        <f t="shared" si="3"/>
        <v>0.99999999999999989</v>
      </c>
      <c r="W12" s="66" t="s">
        <v>243</v>
      </c>
      <c r="X12" s="59">
        <f t="shared" si="4"/>
        <v>45930</v>
      </c>
      <c r="Y12" s="68" t="s">
        <v>224</v>
      </c>
      <c r="Z12" s="48"/>
      <c r="AA12" s="62">
        <v>45689</v>
      </c>
      <c r="AB12" s="42">
        <v>45791</v>
      </c>
      <c r="AC12" s="42">
        <v>45778</v>
      </c>
      <c r="AD12" s="42">
        <v>45791</v>
      </c>
      <c r="AE12" s="42"/>
      <c r="AF12" s="42"/>
      <c r="AG12" s="42"/>
      <c r="AH12" s="42"/>
      <c r="AI12" s="42">
        <v>45784</v>
      </c>
      <c r="AJ12" s="42">
        <v>45808</v>
      </c>
      <c r="AK12" s="42">
        <v>45809</v>
      </c>
      <c r="AL12" s="42">
        <v>45852</v>
      </c>
      <c r="AM12" s="42">
        <v>45853</v>
      </c>
      <c r="AN12" s="42">
        <v>45869</v>
      </c>
      <c r="AO12" s="42">
        <v>45870</v>
      </c>
      <c r="AP12" s="42">
        <v>45899</v>
      </c>
      <c r="AQ12" s="42">
        <v>45901</v>
      </c>
      <c r="AR12" s="42">
        <v>45930</v>
      </c>
      <c r="AS12" s="63" t="str">
        <f t="shared" si="5"/>
        <v>Selesai Implementasi</v>
      </c>
      <c r="AT12" s="63" t="str">
        <f t="shared" si="6"/>
        <v>Selesai Implementasi</v>
      </c>
      <c r="AU12" s="63" t="str">
        <f t="shared" si="7"/>
        <v>Selesai Implementasi</v>
      </c>
      <c r="AV12" s="63" t="str">
        <f t="shared" si="8"/>
        <v>Selesai Implementasi</v>
      </c>
      <c r="AW12" s="63" t="str">
        <f t="shared" si="9"/>
        <v>Selesai Implementasi</v>
      </c>
      <c r="AX12" s="63" t="str">
        <f t="shared" si="10"/>
        <v>Selesai Implementasi</v>
      </c>
      <c r="AY12" s="63" t="str">
        <f t="shared" si="11"/>
        <v>Selesai Implementasi</v>
      </c>
      <c r="AZ12" s="63" t="str">
        <f t="shared" si="12"/>
        <v>Selesai Implementasi</v>
      </c>
      <c r="BA12" s="63" t="str">
        <f t="shared" si="13"/>
        <v>Selesai Implementasi</v>
      </c>
      <c r="BB12" s="63" t="str">
        <f t="shared" si="14"/>
        <v>Selesai Implementasi</v>
      </c>
      <c r="BC12" s="63" t="str">
        <f t="shared" si="15"/>
        <v>Selesai Implementasi</v>
      </c>
      <c r="BD12" s="63" t="str">
        <f t="shared" si="16"/>
        <v>Selesai Implementasi</v>
      </c>
      <c r="BE12" s="43">
        <v>1</v>
      </c>
      <c r="BF12" s="43">
        <v>1</v>
      </c>
      <c r="BG12" s="43">
        <v>1</v>
      </c>
      <c r="BH12" s="43">
        <v>1</v>
      </c>
      <c r="BI12" s="43">
        <v>1</v>
      </c>
      <c r="BJ12" s="43">
        <v>1</v>
      </c>
      <c r="BK12" s="43">
        <v>1</v>
      </c>
      <c r="BL12" s="43">
        <v>1</v>
      </c>
      <c r="BM12" s="43">
        <v>1</v>
      </c>
      <c r="BN12" s="43">
        <v>1</v>
      </c>
      <c r="BO12" s="43">
        <v>1</v>
      </c>
      <c r="BP12" s="43">
        <v>1</v>
      </c>
      <c r="BQ12" s="63" t="str">
        <f t="shared" si="17"/>
        <v>Selesai Implementasi</v>
      </c>
      <c r="BR12" s="63" t="str">
        <f t="shared" si="18"/>
        <v>Not Started</v>
      </c>
      <c r="BS12" s="63" t="str">
        <f t="shared" si="19"/>
        <v>Not Started</v>
      </c>
      <c r="BT12" s="63" t="str">
        <f t="shared" si="20"/>
        <v>Not Started</v>
      </c>
      <c r="BU12" s="63" t="str">
        <f t="shared" si="21"/>
        <v>Not Started</v>
      </c>
      <c r="BV12" s="63" t="str">
        <f t="shared" si="22"/>
        <v>Not Started</v>
      </c>
      <c r="BW12" s="63" t="str">
        <f t="shared" si="23"/>
        <v>Not Started</v>
      </c>
      <c r="BX12" s="63" t="str">
        <f t="shared" si="24"/>
        <v>Not Started</v>
      </c>
      <c r="BY12" s="63" t="str">
        <f t="shared" si="25"/>
        <v>Not Started</v>
      </c>
      <c r="BZ12" s="63" t="str">
        <f t="shared" si="26"/>
        <v>Not Started</v>
      </c>
      <c r="CA12" s="63" t="str">
        <f t="shared" si="27"/>
        <v>Not Started</v>
      </c>
      <c r="CB12" s="63" t="str">
        <f t="shared" si="28"/>
        <v>Not Started</v>
      </c>
      <c r="CC12" s="44">
        <f>(($DY12/100%)*15%)+(($DZ12/100%)*5%)+(($EA12/100%)*5%)+(($EB12/100%)*5%)+(($EC12/100%)*15%)+(($ED12/100%)*35%)+(($EE12/100%)*7.5%)+(($EF12/100%)*7.5%)+(($EG12/100%)*5%)</f>
        <v>0.99999999999999989</v>
      </c>
      <c r="CD12" s="44"/>
      <c r="CE12" s="44"/>
      <c r="CF12" s="44"/>
      <c r="CG12" s="44"/>
      <c r="CH12" s="44"/>
      <c r="CI12" s="44"/>
      <c r="CJ12" s="44"/>
      <c r="CK12" s="44"/>
      <c r="CL12" s="44"/>
      <c r="CM12" s="44"/>
      <c r="CN12" s="44"/>
      <c r="CO12" s="45">
        <f t="shared" si="63"/>
        <v>0.99999999999999989</v>
      </c>
      <c r="CP12" s="45">
        <f t="shared" si="65"/>
        <v>0</v>
      </c>
      <c r="CQ12" s="45">
        <f t="shared" si="29"/>
        <v>0</v>
      </c>
      <c r="CR12" s="45">
        <f t="shared" si="30"/>
        <v>0</v>
      </c>
      <c r="CS12" s="45">
        <f t="shared" si="31"/>
        <v>0</v>
      </c>
      <c r="CT12" s="45">
        <f t="shared" si="32"/>
        <v>0</v>
      </c>
      <c r="CU12" s="45">
        <f t="shared" si="33"/>
        <v>0</v>
      </c>
      <c r="CV12" s="45">
        <f t="shared" si="34"/>
        <v>0</v>
      </c>
      <c r="CW12" s="45">
        <f t="shared" si="35"/>
        <v>0</v>
      </c>
      <c r="CX12" s="45">
        <f t="shared" si="36"/>
        <v>0</v>
      </c>
      <c r="CY12" s="45">
        <f t="shared" si="37"/>
        <v>0</v>
      </c>
      <c r="CZ12" s="45"/>
      <c r="DA12" s="45" t="str">
        <f t="shared" si="38"/>
        <v>DONE</v>
      </c>
      <c r="DB12" s="45" t="str">
        <f t="shared" si="39"/>
        <v>BS</v>
      </c>
      <c r="DC12" s="45" t="str">
        <f t="shared" si="40"/>
        <v>BS</v>
      </c>
      <c r="DD12" s="45" t="str">
        <f t="shared" si="41"/>
        <v>BS</v>
      </c>
      <c r="DE12" s="45" t="str">
        <f t="shared" si="42"/>
        <v>BS</v>
      </c>
      <c r="DF12" s="45" t="str">
        <f t="shared" si="43"/>
        <v>BS</v>
      </c>
      <c r="DG12" s="45" t="str">
        <f t="shared" si="44"/>
        <v>BS</v>
      </c>
      <c r="DH12" s="45" t="str">
        <f t="shared" si="45"/>
        <v>BS</v>
      </c>
      <c r="DI12" s="45" t="str">
        <f t="shared" si="46"/>
        <v>BS</v>
      </c>
      <c r="DJ12" s="45" t="str">
        <f t="shared" si="47"/>
        <v>BS</v>
      </c>
      <c r="DK12" s="45" t="str">
        <f t="shared" si="48"/>
        <v>BS</v>
      </c>
      <c r="DL12" s="45" t="str">
        <f t="shared" si="49"/>
        <v>BS</v>
      </c>
      <c r="DM12" s="45">
        <f t="shared" si="50"/>
        <v>0.99999999999999989</v>
      </c>
      <c r="DN12" s="45">
        <f t="shared" si="51"/>
        <v>0</v>
      </c>
      <c r="DO12" s="45">
        <f t="shared" si="52"/>
        <v>0</v>
      </c>
      <c r="DP12" s="45">
        <f t="shared" si="53"/>
        <v>0</v>
      </c>
      <c r="DQ12" s="45">
        <f t="shared" si="54"/>
        <v>0</v>
      </c>
      <c r="DR12" s="45">
        <f t="shared" si="55"/>
        <v>0</v>
      </c>
      <c r="DS12" s="45">
        <f t="shared" si="56"/>
        <v>0</v>
      </c>
      <c r="DT12" s="45">
        <f t="shared" si="57"/>
        <v>0</v>
      </c>
      <c r="DU12" s="45">
        <f t="shared" si="58"/>
        <v>0</v>
      </c>
      <c r="DV12" s="45">
        <f t="shared" si="59"/>
        <v>0</v>
      </c>
      <c r="DW12" s="45">
        <f t="shared" si="60"/>
        <v>0</v>
      </c>
      <c r="DX12" s="45">
        <f t="shared" si="61"/>
        <v>0</v>
      </c>
      <c r="DY12" s="46">
        <v>1</v>
      </c>
      <c r="DZ12" s="46">
        <v>1</v>
      </c>
      <c r="EA12" s="41">
        <v>1</v>
      </c>
      <c r="EB12" s="41">
        <v>1</v>
      </c>
      <c r="EC12" s="41">
        <v>1</v>
      </c>
      <c r="ED12" s="41">
        <v>1</v>
      </c>
      <c r="EE12" s="41">
        <v>1</v>
      </c>
      <c r="EF12" s="41">
        <v>1</v>
      </c>
      <c r="EG12" s="41">
        <v>1</v>
      </c>
      <c r="EH12" s="781" t="s">
        <v>1619</v>
      </c>
      <c r="EI12" s="59">
        <v>45877</v>
      </c>
      <c r="EJ12" s="230">
        <f t="shared" si="62"/>
        <v>45930</v>
      </c>
      <c r="EK12" s="229"/>
      <c r="EL12" s="230"/>
      <c r="EM12" s="229"/>
      <c r="EN12" s="222"/>
      <c r="EO12" s="222"/>
      <c r="EP12" s="222"/>
      <c r="EQ12" s="231"/>
      <c r="ER12" s="213"/>
      <c r="ES12" s="220"/>
      <c r="ET12" s="220"/>
      <c r="EU12" s="220"/>
      <c r="EV12" s="220"/>
      <c r="EW12" s="220"/>
      <c r="EX12" s="220"/>
      <c r="EY12" s="220"/>
      <c r="EZ12" s="220"/>
      <c r="FA12" s="220"/>
      <c r="FB12" s="222"/>
      <c r="FC12" s="222"/>
      <c r="FD12" s="222"/>
      <c r="FE12" s="220"/>
      <c r="FF12" s="220"/>
      <c r="FG12" s="222"/>
      <c r="FH12" s="220"/>
      <c r="FI12" s="220"/>
      <c r="FJ12" s="220"/>
      <c r="FK12" s="220"/>
      <c r="FL12" s="215"/>
      <c r="FM12" s="240" t="s">
        <v>244</v>
      </c>
      <c r="FN12" s="237" t="s">
        <v>230</v>
      </c>
      <c r="FO12" s="241" t="s">
        <v>231</v>
      </c>
      <c r="FP12" s="240" t="s">
        <v>245</v>
      </c>
      <c r="FQ12" s="240" t="s">
        <v>223</v>
      </c>
      <c r="FR12" s="213" t="s">
        <v>224</v>
      </c>
      <c r="FS12" s="213" t="s">
        <v>246</v>
      </c>
      <c r="FT12" s="213" t="s">
        <v>247</v>
      </c>
      <c r="FU12" s="48">
        <v>7</v>
      </c>
    </row>
    <row r="13" spans="1:177" s="16" customFormat="1" ht="272">
      <c r="A13" s="63" t="s">
        <v>248</v>
      </c>
      <c r="B13" s="48" t="s">
        <v>205</v>
      </c>
      <c r="C13" s="64" t="s">
        <v>206</v>
      </c>
      <c r="D13" s="225" t="s">
        <v>207</v>
      </c>
      <c r="E13" s="226" t="s">
        <v>208</v>
      </c>
      <c r="F13" s="227">
        <f t="shared" si="66"/>
        <v>8</v>
      </c>
      <c r="G13" s="65" t="s">
        <v>241</v>
      </c>
      <c r="H13" s="65" t="s">
        <v>210</v>
      </c>
      <c r="I13" s="65" t="s">
        <v>249</v>
      </c>
      <c r="J13" s="48">
        <v>2025</v>
      </c>
      <c r="K13" s="48">
        <v>2025</v>
      </c>
      <c r="L13" s="48" t="s">
        <v>172</v>
      </c>
      <c r="M13" s="48" t="s">
        <v>173</v>
      </c>
      <c r="N13" s="63" t="s">
        <v>174</v>
      </c>
      <c r="O13" s="63" t="s">
        <v>227</v>
      </c>
      <c r="P13" s="63" t="s">
        <v>212</v>
      </c>
      <c r="Q13" s="63" t="s">
        <v>250</v>
      </c>
      <c r="R13" s="63" t="s">
        <v>251</v>
      </c>
      <c r="S13" s="63" t="str">
        <f t="shared" si="0"/>
        <v>Selesai Implementasi</v>
      </c>
      <c r="T13" s="63" t="str">
        <f t="shared" si="1"/>
        <v>DONE</v>
      </c>
      <c r="U13" s="63" t="str">
        <f t="shared" si="2"/>
        <v>Helen Desyani</v>
      </c>
      <c r="V13" s="67">
        <f t="shared" si="3"/>
        <v>0.99999999999999989</v>
      </c>
      <c r="W13" s="66" t="s">
        <v>243</v>
      </c>
      <c r="X13" s="59">
        <f t="shared" si="4"/>
        <v>46022</v>
      </c>
      <c r="Y13" s="228">
        <v>0</v>
      </c>
      <c r="Z13" s="63"/>
      <c r="AA13" s="62">
        <v>45809</v>
      </c>
      <c r="AB13" s="42">
        <v>45838</v>
      </c>
      <c r="AC13" s="42">
        <v>45853</v>
      </c>
      <c r="AD13" s="42">
        <v>45869</v>
      </c>
      <c r="AE13" s="42"/>
      <c r="AF13" s="42"/>
      <c r="AG13" s="42">
        <v>45870</v>
      </c>
      <c r="AH13" s="42">
        <v>45899</v>
      </c>
      <c r="AI13" s="42">
        <v>45901</v>
      </c>
      <c r="AJ13" s="42">
        <v>45930</v>
      </c>
      <c r="AK13" s="42">
        <v>45931</v>
      </c>
      <c r="AL13" s="42">
        <v>45961</v>
      </c>
      <c r="AM13" s="42">
        <v>45962</v>
      </c>
      <c r="AN13" s="42">
        <v>45976</v>
      </c>
      <c r="AO13" s="42">
        <v>45967</v>
      </c>
      <c r="AP13" s="42">
        <v>45991</v>
      </c>
      <c r="AQ13" s="42">
        <v>45992</v>
      </c>
      <c r="AR13" s="42">
        <v>46022</v>
      </c>
      <c r="AS13" s="63" t="str">
        <f t="shared" si="5"/>
        <v>Selesai Implementasi</v>
      </c>
      <c r="AT13" s="63" t="str">
        <f t="shared" si="6"/>
        <v>Selesai Implementasi</v>
      </c>
      <c r="AU13" s="63" t="str">
        <f t="shared" si="7"/>
        <v>Selesai Implementasi</v>
      </c>
      <c r="AV13" s="63" t="str">
        <f t="shared" si="8"/>
        <v>Selesai Implementasi</v>
      </c>
      <c r="AW13" s="63" t="str">
        <f t="shared" si="9"/>
        <v>Selesai Implementasi</v>
      </c>
      <c r="AX13" s="63" t="str">
        <f t="shared" si="10"/>
        <v>Selesai Implementasi</v>
      </c>
      <c r="AY13" s="63" t="str">
        <f t="shared" si="11"/>
        <v>Selesai Implementasi</v>
      </c>
      <c r="AZ13" s="63" t="str">
        <f t="shared" si="12"/>
        <v>Selesai Implementasi</v>
      </c>
      <c r="BA13" s="63" t="str">
        <f t="shared" si="13"/>
        <v>Selesai Implementasi</v>
      </c>
      <c r="BB13" s="63" t="str">
        <f t="shared" si="14"/>
        <v>Selesai Implementasi</v>
      </c>
      <c r="BC13" s="63" t="str">
        <f t="shared" si="15"/>
        <v>Selesai Implementasi</v>
      </c>
      <c r="BD13" s="63" t="str">
        <f t="shared" si="16"/>
        <v>Selesai Implementasi</v>
      </c>
      <c r="BE13" s="43">
        <v>1</v>
      </c>
      <c r="BF13" s="43">
        <v>1</v>
      </c>
      <c r="BG13" s="43">
        <v>1</v>
      </c>
      <c r="BH13" s="43">
        <v>1</v>
      </c>
      <c r="BI13" s="43">
        <v>1</v>
      </c>
      <c r="BJ13" s="43">
        <v>1</v>
      </c>
      <c r="BK13" s="43">
        <v>1</v>
      </c>
      <c r="BL13" s="43">
        <v>1</v>
      </c>
      <c r="BM13" s="43">
        <v>1</v>
      </c>
      <c r="BN13" s="43">
        <v>1</v>
      </c>
      <c r="BO13" s="43">
        <v>1</v>
      </c>
      <c r="BP13" s="43">
        <v>1</v>
      </c>
      <c r="BQ13" s="63" t="str">
        <f t="shared" si="17"/>
        <v>Selesai Implementasi</v>
      </c>
      <c r="BR13" s="63" t="str">
        <f t="shared" si="18"/>
        <v>Not Started</v>
      </c>
      <c r="BS13" s="63" t="str">
        <f t="shared" si="19"/>
        <v>Not Started</v>
      </c>
      <c r="BT13" s="63" t="str">
        <f t="shared" si="20"/>
        <v>Not Started</v>
      </c>
      <c r="BU13" s="63" t="str">
        <f t="shared" si="21"/>
        <v>Not Started</v>
      </c>
      <c r="BV13" s="63" t="str">
        <f t="shared" si="22"/>
        <v>Not Started</v>
      </c>
      <c r="BW13" s="63" t="str">
        <f t="shared" si="23"/>
        <v>Not Started</v>
      </c>
      <c r="BX13" s="63" t="str">
        <f t="shared" si="24"/>
        <v>Not Started</v>
      </c>
      <c r="BY13" s="63" t="str">
        <f t="shared" si="25"/>
        <v>Not Started</v>
      </c>
      <c r="BZ13" s="63" t="str">
        <f t="shared" si="26"/>
        <v>Not Started</v>
      </c>
      <c r="CA13" s="63" t="str">
        <f t="shared" si="27"/>
        <v>Not Started</v>
      </c>
      <c r="CB13" s="63" t="str">
        <f t="shared" si="28"/>
        <v>Not Started</v>
      </c>
      <c r="CC13" s="44">
        <f>(($DY13/100%)*15%)+(($DZ13/100%)*5%)+(($EA13/100%)*5%)+(($EB13/100%)*5%)+(($EC13/100%)*15%)+(($ED13/100%)*35%)+(($EE13/100%)*7.5%)+(($EF13/100%)*7.5%)+(($EG13/100%)*5%)</f>
        <v>0.99999999999999989</v>
      </c>
      <c r="CD13" s="44"/>
      <c r="CE13" s="44"/>
      <c r="CF13" s="44"/>
      <c r="CG13" s="44"/>
      <c r="CH13" s="44"/>
      <c r="CI13" s="44"/>
      <c r="CJ13" s="44"/>
      <c r="CK13" s="44"/>
      <c r="CL13" s="44"/>
      <c r="CM13" s="44"/>
      <c r="CN13" s="44"/>
      <c r="CO13" s="45">
        <f t="shared" si="63"/>
        <v>0.99999999999999989</v>
      </c>
      <c r="CP13" s="45">
        <f t="shared" si="65"/>
        <v>0</v>
      </c>
      <c r="CQ13" s="45">
        <f t="shared" si="29"/>
        <v>0</v>
      </c>
      <c r="CR13" s="45">
        <f t="shared" si="30"/>
        <v>0</v>
      </c>
      <c r="CS13" s="45">
        <f t="shared" si="31"/>
        <v>0</v>
      </c>
      <c r="CT13" s="45">
        <f t="shared" si="32"/>
        <v>0</v>
      </c>
      <c r="CU13" s="45">
        <f t="shared" si="33"/>
        <v>0</v>
      </c>
      <c r="CV13" s="45">
        <f t="shared" si="34"/>
        <v>0</v>
      </c>
      <c r="CW13" s="45">
        <f t="shared" si="35"/>
        <v>0</v>
      </c>
      <c r="CX13" s="45">
        <f t="shared" si="36"/>
        <v>0</v>
      </c>
      <c r="CY13" s="45">
        <f t="shared" si="37"/>
        <v>0</v>
      </c>
      <c r="CZ13" s="45"/>
      <c r="DA13" s="45" t="str">
        <f t="shared" si="38"/>
        <v>DONE</v>
      </c>
      <c r="DB13" s="45" t="str">
        <f t="shared" si="39"/>
        <v>BS</v>
      </c>
      <c r="DC13" s="45" t="str">
        <f t="shared" si="40"/>
        <v>BS</v>
      </c>
      <c r="DD13" s="45" t="str">
        <f t="shared" si="41"/>
        <v>BS</v>
      </c>
      <c r="DE13" s="45" t="str">
        <f t="shared" si="42"/>
        <v>BS</v>
      </c>
      <c r="DF13" s="45" t="str">
        <f t="shared" si="43"/>
        <v>BS</v>
      </c>
      <c r="DG13" s="45" t="str">
        <f t="shared" si="44"/>
        <v>BS</v>
      </c>
      <c r="DH13" s="45" t="str">
        <f t="shared" si="45"/>
        <v>BS</v>
      </c>
      <c r="DI13" s="45" t="str">
        <f t="shared" si="46"/>
        <v>BS</v>
      </c>
      <c r="DJ13" s="45" t="str">
        <f t="shared" si="47"/>
        <v>BS</v>
      </c>
      <c r="DK13" s="45" t="str">
        <f t="shared" si="48"/>
        <v>BS</v>
      </c>
      <c r="DL13" s="45" t="str">
        <f t="shared" si="49"/>
        <v>BS</v>
      </c>
      <c r="DM13" s="45">
        <f t="shared" si="50"/>
        <v>0.99999999999999989</v>
      </c>
      <c r="DN13" s="45">
        <f t="shared" si="51"/>
        <v>0</v>
      </c>
      <c r="DO13" s="45">
        <f t="shared" si="52"/>
        <v>0</v>
      </c>
      <c r="DP13" s="45">
        <f t="shared" si="53"/>
        <v>0</v>
      </c>
      <c r="DQ13" s="45">
        <f t="shared" si="54"/>
        <v>0</v>
      </c>
      <c r="DR13" s="45">
        <f t="shared" si="55"/>
        <v>0</v>
      </c>
      <c r="DS13" s="45">
        <f t="shared" si="56"/>
        <v>0</v>
      </c>
      <c r="DT13" s="45">
        <f t="shared" si="57"/>
        <v>0</v>
      </c>
      <c r="DU13" s="45">
        <f t="shared" si="58"/>
        <v>0</v>
      </c>
      <c r="DV13" s="45">
        <f t="shared" si="59"/>
        <v>0</v>
      </c>
      <c r="DW13" s="45">
        <f t="shared" si="60"/>
        <v>0</v>
      </c>
      <c r="DX13" s="45">
        <f t="shared" si="61"/>
        <v>0</v>
      </c>
      <c r="DY13" s="46">
        <v>1</v>
      </c>
      <c r="DZ13" s="41">
        <v>1</v>
      </c>
      <c r="EA13" s="41">
        <v>1</v>
      </c>
      <c r="EB13" s="41">
        <v>1</v>
      </c>
      <c r="EC13" s="41">
        <v>1</v>
      </c>
      <c r="ED13" s="41">
        <v>1</v>
      </c>
      <c r="EE13" s="41">
        <v>1</v>
      </c>
      <c r="EF13" s="41">
        <v>1</v>
      </c>
      <c r="EG13" s="41">
        <v>1</v>
      </c>
      <c r="EH13" s="579" t="s">
        <v>1620</v>
      </c>
      <c r="EI13" s="288"/>
      <c r="EJ13" s="59">
        <f t="shared" si="62"/>
        <v>46022</v>
      </c>
      <c r="EK13" s="229"/>
      <c r="EL13" s="230"/>
      <c r="EM13" s="229"/>
      <c r="EN13" s="222"/>
      <c r="EO13" s="222"/>
      <c r="EP13" s="222"/>
      <c r="EQ13" s="231"/>
      <c r="ER13" s="213"/>
      <c r="ES13" s="220"/>
      <c r="ET13" s="220"/>
      <c r="EU13" s="220"/>
      <c r="EV13" s="220"/>
      <c r="EW13" s="220"/>
      <c r="EX13" s="220"/>
      <c r="EY13" s="220"/>
      <c r="EZ13" s="220"/>
      <c r="FA13" s="220"/>
      <c r="FB13" s="222"/>
      <c r="FC13" s="222"/>
      <c r="FD13" s="222"/>
      <c r="FE13" s="220"/>
      <c r="FF13" s="220"/>
      <c r="FG13" s="222"/>
      <c r="FH13" s="220"/>
      <c r="FI13" s="220"/>
      <c r="FJ13" s="220"/>
      <c r="FK13" s="220"/>
      <c r="FL13" s="215"/>
      <c r="FM13" s="172" t="s">
        <v>252</v>
      </c>
      <c r="FN13" s="237" t="s">
        <v>230</v>
      </c>
      <c r="FO13" s="224" t="s">
        <v>231</v>
      </c>
      <c r="FP13" s="172" t="s">
        <v>253</v>
      </c>
      <c r="FQ13" s="172" t="s">
        <v>254</v>
      </c>
      <c r="FR13" s="213" t="s">
        <v>184</v>
      </c>
      <c r="FS13" s="213" t="s">
        <v>255</v>
      </c>
      <c r="FT13" s="213" t="s">
        <v>256</v>
      </c>
      <c r="FU13" s="48">
        <v>6</v>
      </c>
    </row>
    <row r="14" spans="1:177" s="13" customFormat="1" ht="128">
      <c r="A14" s="63" t="s">
        <v>257</v>
      </c>
      <c r="B14" s="48" t="s">
        <v>205</v>
      </c>
      <c r="C14" s="64" t="s">
        <v>206</v>
      </c>
      <c r="D14" s="225" t="s">
        <v>207</v>
      </c>
      <c r="E14" s="226" t="s">
        <v>208</v>
      </c>
      <c r="F14" s="227">
        <f t="shared" si="66"/>
        <v>9</v>
      </c>
      <c r="G14" s="65" t="s">
        <v>241</v>
      </c>
      <c r="H14" s="65" t="s">
        <v>210</v>
      </c>
      <c r="I14" s="65" t="s">
        <v>258</v>
      </c>
      <c r="J14" s="48">
        <v>2026</v>
      </c>
      <c r="K14" s="48">
        <v>2027</v>
      </c>
      <c r="L14" s="48" t="s">
        <v>172</v>
      </c>
      <c r="M14" s="48" t="s">
        <v>173</v>
      </c>
      <c r="N14" s="63" t="s">
        <v>174</v>
      </c>
      <c r="O14" s="63" t="s">
        <v>259</v>
      </c>
      <c r="P14" s="63" t="s">
        <v>212</v>
      </c>
      <c r="Q14" s="63" t="s">
        <v>199</v>
      </c>
      <c r="R14" s="63" t="s">
        <v>229</v>
      </c>
      <c r="S14" s="63" t="str">
        <f t="shared" si="0"/>
        <v>Not Started</v>
      </c>
      <c r="T14" s="63" t="str">
        <f t="shared" si="1"/>
        <v>Not Started</v>
      </c>
      <c r="U14" s="63" t="str">
        <f t="shared" si="2"/>
        <v>Rizky Arga</v>
      </c>
      <c r="V14" s="67">
        <f t="shared" si="3"/>
        <v>0</v>
      </c>
      <c r="W14" s="66" t="s">
        <v>260</v>
      </c>
      <c r="X14" s="59">
        <f t="shared" si="4"/>
        <v>46751</v>
      </c>
      <c r="Y14" s="228">
        <v>0</v>
      </c>
      <c r="Z14" s="63"/>
      <c r="AA14" s="42">
        <v>46023</v>
      </c>
      <c r="AB14" s="42">
        <v>46111</v>
      </c>
      <c r="AC14" s="42">
        <v>46113</v>
      </c>
      <c r="AD14" s="42">
        <v>46142</v>
      </c>
      <c r="AE14" s="42">
        <v>46113</v>
      </c>
      <c r="AF14" s="42">
        <v>46142</v>
      </c>
      <c r="AG14" s="42"/>
      <c r="AH14" s="42"/>
      <c r="AI14" s="42">
        <v>46143</v>
      </c>
      <c r="AJ14" s="42">
        <v>46203</v>
      </c>
      <c r="AK14" s="42">
        <v>46204</v>
      </c>
      <c r="AL14" s="42">
        <v>46599</v>
      </c>
      <c r="AM14" s="42">
        <v>46600</v>
      </c>
      <c r="AN14" s="62">
        <v>46660</v>
      </c>
      <c r="AO14" s="42">
        <v>46661</v>
      </c>
      <c r="AP14" s="42">
        <v>46721</v>
      </c>
      <c r="AQ14" s="42">
        <v>46722</v>
      </c>
      <c r="AR14" s="42">
        <v>46751</v>
      </c>
      <c r="AS14" s="63" t="str">
        <f t="shared" si="5"/>
        <v>Selesai RBT-RBB</v>
      </c>
      <c r="AT14" s="63" t="str">
        <f t="shared" si="6"/>
        <v>Selesai RBT-RBL</v>
      </c>
      <c r="AU14" s="63" t="str">
        <f t="shared" si="7"/>
        <v>Selesai RBT-RBTD</v>
      </c>
      <c r="AV14" s="63" t="str">
        <f t="shared" si="8"/>
        <v>Selesai KAK</v>
      </c>
      <c r="AW14" s="63" t="str">
        <f t="shared" si="9"/>
        <v>Proses Desain</v>
      </c>
      <c r="AX14" s="63" t="str">
        <f t="shared" si="10"/>
        <v>Selesai Desain</v>
      </c>
      <c r="AY14" s="63" t="str">
        <f t="shared" si="11"/>
        <v>Selesai Pengembangan</v>
      </c>
      <c r="AZ14" s="63" t="str">
        <f t="shared" si="12"/>
        <v>Proses SIT</v>
      </c>
      <c r="BA14" s="63" t="str">
        <f t="shared" si="13"/>
        <v>Selesai SIT</v>
      </c>
      <c r="BB14" s="63" t="str">
        <f t="shared" si="14"/>
        <v>Proses UAT</v>
      </c>
      <c r="BC14" s="63" t="str">
        <f t="shared" si="15"/>
        <v>Selesai UAT</v>
      </c>
      <c r="BD14" s="63" t="str">
        <f t="shared" si="16"/>
        <v>Selesai Implementasi</v>
      </c>
      <c r="BE14" s="43">
        <v>0.05</v>
      </c>
      <c r="BF14" s="43">
        <v>0.1</v>
      </c>
      <c r="BG14" s="43">
        <v>0.15</v>
      </c>
      <c r="BH14" s="43">
        <v>0.25</v>
      </c>
      <c r="BI14" s="43">
        <v>0.375</v>
      </c>
      <c r="BJ14" s="43">
        <v>0.45</v>
      </c>
      <c r="BK14" s="43">
        <v>0.8</v>
      </c>
      <c r="BL14" s="43">
        <v>0.84</v>
      </c>
      <c r="BM14" s="43">
        <v>0.875</v>
      </c>
      <c r="BN14" s="43">
        <v>0.92</v>
      </c>
      <c r="BO14" s="219">
        <v>0.95</v>
      </c>
      <c r="BP14" s="43">
        <v>1</v>
      </c>
      <c r="BQ14" s="63" t="str">
        <f t="shared" si="17"/>
        <v>Not Started</v>
      </c>
      <c r="BR14" s="63" t="str">
        <f t="shared" si="18"/>
        <v>Not Started</v>
      </c>
      <c r="BS14" s="63" t="str">
        <f t="shared" si="19"/>
        <v>Not Started</v>
      </c>
      <c r="BT14" s="63" t="str">
        <f t="shared" si="20"/>
        <v>Not Started</v>
      </c>
      <c r="BU14" s="63" t="str">
        <f t="shared" si="21"/>
        <v>Not Started</v>
      </c>
      <c r="BV14" s="63" t="str">
        <f t="shared" si="22"/>
        <v>Not Started</v>
      </c>
      <c r="BW14" s="63" t="str">
        <f t="shared" si="23"/>
        <v>Not Started</v>
      </c>
      <c r="BX14" s="63" t="str">
        <f t="shared" si="24"/>
        <v>Not Started</v>
      </c>
      <c r="BY14" s="63" t="str">
        <f t="shared" si="25"/>
        <v>Not Started</v>
      </c>
      <c r="BZ14" s="63" t="str">
        <f t="shared" si="26"/>
        <v>Not Started</v>
      </c>
      <c r="CA14" s="63" t="str">
        <f t="shared" si="27"/>
        <v>Not Started</v>
      </c>
      <c r="CB14" s="63" t="str">
        <f t="shared" si="28"/>
        <v>Not Started</v>
      </c>
      <c r="CC14" s="44">
        <f>(($DY14/100%)*15%)+(($DZ14/100%)*5%)+(($EA14/100%)*5%)+(($EB14/100%)*5%)+(($EC14/100%)*15%)+(($ED14/100%)*35%)+(($EE14/100%)*7.5%)+(($EF14/100%)*7.5%)+(($EG14/100%)*5%)</f>
        <v>0</v>
      </c>
      <c r="CD14" s="44"/>
      <c r="CE14" s="44"/>
      <c r="CF14" s="44"/>
      <c r="CG14" s="44"/>
      <c r="CH14" s="242"/>
      <c r="CI14" s="44"/>
      <c r="CJ14" s="44"/>
      <c r="CK14" s="44"/>
      <c r="CL14" s="44"/>
      <c r="CM14" s="44"/>
      <c r="CN14" s="44"/>
      <c r="CO14" s="45">
        <f t="shared" si="63"/>
        <v>0</v>
      </c>
      <c r="CP14" s="45">
        <f t="shared" si="65"/>
        <v>0</v>
      </c>
      <c r="CQ14" s="45">
        <f t="shared" si="29"/>
        <v>0</v>
      </c>
      <c r="CR14" s="45">
        <f t="shared" si="30"/>
        <v>0</v>
      </c>
      <c r="CS14" s="45">
        <f t="shared" si="31"/>
        <v>0</v>
      </c>
      <c r="CT14" s="45">
        <f t="shared" si="32"/>
        <v>0</v>
      </c>
      <c r="CU14" s="45">
        <f t="shared" si="33"/>
        <v>0</v>
      </c>
      <c r="CV14" s="45">
        <f t="shared" si="34"/>
        <v>0</v>
      </c>
      <c r="CW14" s="45">
        <f t="shared" si="35"/>
        <v>0</v>
      </c>
      <c r="CX14" s="45">
        <f t="shared" si="36"/>
        <v>0</v>
      </c>
      <c r="CY14" s="45">
        <f t="shared" si="37"/>
        <v>0</v>
      </c>
      <c r="CZ14" s="45"/>
      <c r="DA14" s="45" t="str">
        <f t="shared" si="38"/>
        <v>BS</v>
      </c>
      <c r="DB14" s="45" t="str">
        <f t="shared" si="39"/>
        <v>BS</v>
      </c>
      <c r="DC14" s="45" t="str">
        <f t="shared" si="40"/>
        <v>BS</v>
      </c>
      <c r="DD14" s="45" t="str">
        <f t="shared" si="41"/>
        <v>BS</v>
      </c>
      <c r="DE14" s="45" t="str">
        <f t="shared" si="42"/>
        <v>BS</v>
      </c>
      <c r="DF14" s="45" t="str">
        <f t="shared" si="43"/>
        <v>BS</v>
      </c>
      <c r="DG14" s="45" t="str">
        <f t="shared" si="44"/>
        <v>BS</v>
      </c>
      <c r="DH14" s="45" t="str">
        <f t="shared" si="45"/>
        <v>BS</v>
      </c>
      <c r="DI14" s="45" t="str">
        <f t="shared" si="46"/>
        <v>BS</v>
      </c>
      <c r="DJ14" s="45" t="str">
        <f t="shared" si="47"/>
        <v>BS</v>
      </c>
      <c r="DK14" s="45" t="str">
        <f t="shared" si="48"/>
        <v>BS</v>
      </c>
      <c r="DL14" s="45" t="str">
        <f t="shared" si="49"/>
        <v>BS</v>
      </c>
      <c r="DM14" s="45">
        <f t="shared" si="50"/>
        <v>0</v>
      </c>
      <c r="DN14" s="45">
        <f t="shared" si="51"/>
        <v>0</v>
      </c>
      <c r="DO14" s="45">
        <f t="shared" si="52"/>
        <v>0</v>
      </c>
      <c r="DP14" s="45">
        <f t="shared" si="53"/>
        <v>0</v>
      </c>
      <c r="DQ14" s="45">
        <f t="shared" si="54"/>
        <v>0</v>
      </c>
      <c r="DR14" s="45">
        <f t="shared" si="55"/>
        <v>0</v>
      </c>
      <c r="DS14" s="45">
        <f t="shared" si="56"/>
        <v>0</v>
      </c>
      <c r="DT14" s="45">
        <f t="shared" si="57"/>
        <v>0</v>
      </c>
      <c r="DU14" s="45">
        <f t="shared" si="58"/>
        <v>0</v>
      </c>
      <c r="DV14" s="45">
        <f t="shared" si="59"/>
        <v>0</v>
      </c>
      <c r="DW14" s="45">
        <f t="shared" si="60"/>
        <v>0</v>
      </c>
      <c r="DX14" s="45">
        <f t="shared" si="61"/>
        <v>0</v>
      </c>
      <c r="DY14" s="41"/>
      <c r="DZ14" s="41"/>
      <c r="EA14" s="41"/>
      <c r="EB14" s="41"/>
      <c r="EC14" s="41"/>
      <c r="ED14" s="41"/>
      <c r="EE14" s="41"/>
      <c r="EF14" s="41"/>
      <c r="EG14" s="41"/>
      <c r="EH14" s="47"/>
      <c r="EI14" s="222"/>
      <c r="EJ14" s="59">
        <f t="shared" si="62"/>
        <v>46751</v>
      </c>
      <c r="EK14" s="229"/>
      <c r="EL14" s="230"/>
      <c r="EM14" s="229"/>
      <c r="EN14" s="222"/>
      <c r="EO14" s="222"/>
      <c r="EP14" s="222"/>
      <c r="EQ14" s="231"/>
      <c r="ER14" s="213"/>
      <c r="ES14" s="220"/>
      <c r="ET14" s="220"/>
      <c r="EU14" s="220"/>
      <c r="EV14" s="220"/>
      <c r="EW14" s="220"/>
      <c r="EX14" s="220"/>
      <c r="EY14" s="220"/>
      <c r="EZ14" s="220"/>
      <c r="FA14" s="220"/>
      <c r="FB14" s="222"/>
      <c r="FC14" s="222"/>
      <c r="FD14" s="222"/>
      <c r="FE14" s="220"/>
      <c r="FF14" s="220"/>
      <c r="FG14" s="222"/>
      <c r="FH14" s="220"/>
      <c r="FI14" s="220"/>
      <c r="FJ14" s="220"/>
      <c r="FK14" s="220"/>
      <c r="FL14" s="215"/>
      <c r="FM14" s="172" t="s">
        <v>203</v>
      </c>
      <c r="FN14" s="224" t="s">
        <v>202</v>
      </c>
      <c r="FO14" s="224" t="s">
        <v>231</v>
      </c>
      <c r="FP14" s="172" t="s">
        <v>203</v>
      </c>
      <c r="FQ14" s="172" t="s">
        <v>183</v>
      </c>
      <c r="FR14" s="213" t="s">
        <v>184</v>
      </c>
      <c r="FS14" s="223"/>
      <c r="FT14" s="223"/>
      <c r="FU14" s="223"/>
    </row>
    <row r="15" spans="1:177" s="13" customFormat="1" ht="128">
      <c r="A15" s="63" t="s">
        <v>261</v>
      </c>
      <c r="B15" s="48" t="s">
        <v>205</v>
      </c>
      <c r="C15" s="64" t="s">
        <v>206</v>
      </c>
      <c r="D15" s="225" t="s">
        <v>207</v>
      </c>
      <c r="E15" s="226" t="s">
        <v>208</v>
      </c>
      <c r="F15" s="227">
        <f t="shared" si="66"/>
        <v>10</v>
      </c>
      <c r="G15" s="65" t="s">
        <v>241</v>
      </c>
      <c r="H15" s="65" t="s">
        <v>210</v>
      </c>
      <c r="I15" s="65" t="s">
        <v>262</v>
      </c>
      <c r="J15" s="48">
        <v>2027</v>
      </c>
      <c r="K15" s="48">
        <v>2027</v>
      </c>
      <c r="L15" s="48" t="s">
        <v>172</v>
      </c>
      <c r="M15" s="48" t="s">
        <v>173</v>
      </c>
      <c r="N15" s="63" t="s">
        <v>174</v>
      </c>
      <c r="O15" s="63" t="s">
        <v>227</v>
      </c>
      <c r="P15" s="63" t="s">
        <v>212</v>
      </c>
      <c r="Q15" s="63" t="s">
        <v>199</v>
      </c>
      <c r="R15" s="63" t="s">
        <v>229</v>
      </c>
      <c r="S15" s="63" t="str">
        <f t="shared" si="0"/>
        <v>Not Started</v>
      </c>
      <c r="T15" s="63" t="str">
        <f t="shared" si="1"/>
        <v>Not Started</v>
      </c>
      <c r="U15" s="63" t="str">
        <f t="shared" si="2"/>
        <v>Rizky Arga</v>
      </c>
      <c r="V15" s="67">
        <f t="shared" si="3"/>
        <v>0</v>
      </c>
      <c r="W15" s="66" t="s">
        <v>263</v>
      </c>
      <c r="X15" s="59">
        <f t="shared" si="4"/>
        <v>46752</v>
      </c>
      <c r="Y15" s="228">
        <v>0</v>
      </c>
      <c r="Z15" s="63"/>
      <c r="AA15" s="42">
        <v>46388</v>
      </c>
      <c r="AB15" s="42">
        <v>46476</v>
      </c>
      <c r="AC15" s="42">
        <v>46478</v>
      </c>
      <c r="AD15" s="42">
        <v>46507</v>
      </c>
      <c r="AE15" s="42"/>
      <c r="AF15" s="42"/>
      <c r="AG15" s="42"/>
      <c r="AH15" s="42"/>
      <c r="AI15" s="42">
        <v>46508</v>
      </c>
      <c r="AJ15" s="42">
        <v>46537</v>
      </c>
      <c r="AK15" s="42">
        <v>46539</v>
      </c>
      <c r="AL15" s="42">
        <v>46660</v>
      </c>
      <c r="AM15" s="42">
        <v>46661</v>
      </c>
      <c r="AN15" s="42">
        <v>46690</v>
      </c>
      <c r="AO15" s="42">
        <v>46692</v>
      </c>
      <c r="AP15" s="42">
        <v>46721</v>
      </c>
      <c r="AQ15" s="42">
        <v>46722</v>
      </c>
      <c r="AR15" s="42">
        <v>46752</v>
      </c>
      <c r="AS15" s="63" t="str">
        <f t="shared" si="5"/>
        <v>Not Started</v>
      </c>
      <c r="AT15" s="63" t="str">
        <f t="shared" si="6"/>
        <v>Not Started</v>
      </c>
      <c r="AU15" s="63" t="str">
        <f t="shared" si="7"/>
        <v>Not Started</v>
      </c>
      <c r="AV15" s="63" t="str">
        <f t="shared" si="8"/>
        <v>Not Started</v>
      </c>
      <c r="AW15" s="63" t="str">
        <f t="shared" si="9"/>
        <v>Not Started</v>
      </c>
      <c r="AX15" s="63" t="str">
        <f t="shared" si="10"/>
        <v>Not Started</v>
      </c>
      <c r="AY15" s="63" t="str">
        <f t="shared" si="11"/>
        <v>Not Started</v>
      </c>
      <c r="AZ15" s="63" t="str">
        <f t="shared" si="12"/>
        <v>Not Started</v>
      </c>
      <c r="BA15" s="63" t="str">
        <f t="shared" si="13"/>
        <v>Not Started</v>
      </c>
      <c r="BB15" s="63" t="str">
        <f t="shared" si="14"/>
        <v>Not Started</v>
      </c>
      <c r="BC15" s="63" t="str">
        <f t="shared" si="15"/>
        <v>Not Started</v>
      </c>
      <c r="BD15" s="63" t="str">
        <f t="shared" si="16"/>
        <v>Not Started</v>
      </c>
      <c r="BE15" s="219">
        <v>0</v>
      </c>
      <c r="BF15" s="219">
        <v>0</v>
      </c>
      <c r="BG15" s="219">
        <v>0</v>
      </c>
      <c r="BH15" s="219">
        <v>0</v>
      </c>
      <c r="BI15" s="219">
        <v>0</v>
      </c>
      <c r="BJ15" s="219">
        <v>0</v>
      </c>
      <c r="BK15" s="219">
        <v>0</v>
      </c>
      <c r="BL15" s="219">
        <v>0</v>
      </c>
      <c r="BM15" s="219">
        <v>0</v>
      </c>
      <c r="BN15" s="219">
        <v>0</v>
      </c>
      <c r="BO15" s="219">
        <v>0</v>
      </c>
      <c r="BP15" s="219">
        <v>0</v>
      </c>
      <c r="BQ15" s="63" t="str">
        <f t="shared" si="17"/>
        <v>Not Started</v>
      </c>
      <c r="BR15" s="63" t="str">
        <f t="shared" si="18"/>
        <v>Not Started</v>
      </c>
      <c r="BS15" s="63" t="str">
        <f t="shared" si="19"/>
        <v>Not Started</v>
      </c>
      <c r="BT15" s="63" t="str">
        <f t="shared" si="20"/>
        <v>Not Started</v>
      </c>
      <c r="BU15" s="63" t="str">
        <f t="shared" si="21"/>
        <v>Not Started</v>
      </c>
      <c r="BV15" s="63" t="str">
        <f t="shared" si="22"/>
        <v>Proses Pengadaan</v>
      </c>
      <c r="BW15" s="63" t="str">
        <f t="shared" si="23"/>
        <v>Not Started</v>
      </c>
      <c r="BX15" s="63" t="str">
        <f t="shared" si="24"/>
        <v>Not Started</v>
      </c>
      <c r="BY15" s="63" t="str">
        <f t="shared" si="25"/>
        <v>Not Started</v>
      </c>
      <c r="BZ15" s="63" t="str">
        <f t="shared" si="26"/>
        <v>Not Started</v>
      </c>
      <c r="CA15" s="63" t="str">
        <f t="shared" si="27"/>
        <v>Not Started</v>
      </c>
      <c r="CB15" s="63" t="str">
        <f t="shared" si="28"/>
        <v>Not Started</v>
      </c>
      <c r="CC15" s="44">
        <v>0</v>
      </c>
      <c r="CD15" s="44">
        <v>0</v>
      </c>
      <c r="CE15" s="44">
        <v>0</v>
      </c>
      <c r="CF15" s="44">
        <v>0</v>
      </c>
      <c r="CG15" s="44">
        <v>0</v>
      </c>
      <c r="CH15" s="242">
        <v>0.28499999999999998</v>
      </c>
      <c r="CI15" s="44">
        <v>0</v>
      </c>
      <c r="CJ15" s="44"/>
      <c r="CK15" s="44"/>
      <c r="CL15" s="44">
        <v>0</v>
      </c>
      <c r="CM15" s="44">
        <f t="shared" si="64"/>
        <v>0</v>
      </c>
      <c r="CN15" s="44">
        <f t="shared" si="64"/>
        <v>0</v>
      </c>
      <c r="CO15" s="45">
        <f t="shared" si="63"/>
        <v>1</v>
      </c>
      <c r="CP15" s="45">
        <f t="shared" si="65"/>
        <v>1</v>
      </c>
      <c r="CQ15" s="45">
        <f t="shared" si="29"/>
        <v>1</v>
      </c>
      <c r="CR15" s="45">
        <f t="shared" si="30"/>
        <v>1</v>
      </c>
      <c r="CS15" s="45">
        <f t="shared" si="31"/>
        <v>1</v>
      </c>
      <c r="CT15" s="45">
        <f t="shared" si="32"/>
        <v>1</v>
      </c>
      <c r="CU15" s="45">
        <f t="shared" si="33"/>
        <v>1</v>
      </c>
      <c r="CV15" s="45">
        <f t="shared" si="34"/>
        <v>1</v>
      </c>
      <c r="CW15" s="45">
        <f t="shared" si="35"/>
        <v>1</v>
      </c>
      <c r="CX15" s="45">
        <f t="shared" si="36"/>
        <v>1</v>
      </c>
      <c r="CY15" s="45">
        <f t="shared" si="37"/>
        <v>1</v>
      </c>
      <c r="CZ15" s="45"/>
      <c r="DA15" s="45" t="str">
        <f t="shared" si="38"/>
        <v>NS</v>
      </c>
      <c r="DB15" s="45" t="str">
        <f t="shared" si="39"/>
        <v>NS</v>
      </c>
      <c r="DC15" s="45" t="str">
        <f t="shared" si="40"/>
        <v>NS</v>
      </c>
      <c r="DD15" s="45" t="str">
        <f t="shared" si="41"/>
        <v>NS</v>
      </c>
      <c r="DE15" s="45" t="str">
        <f t="shared" si="42"/>
        <v>NS</v>
      </c>
      <c r="DF15" s="45" t="str">
        <f t="shared" si="43"/>
        <v>NS</v>
      </c>
      <c r="DG15" s="45" t="str">
        <f t="shared" si="44"/>
        <v>NS</v>
      </c>
      <c r="DH15" s="45" t="str">
        <f t="shared" si="45"/>
        <v>NS</v>
      </c>
      <c r="DI15" s="45" t="str">
        <f t="shared" si="46"/>
        <v>NS</v>
      </c>
      <c r="DJ15" s="45" t="str">
        <f t="shared" si="47"/>
        <v>NS</v>
      </c>
      <c r="DK15" s="45" t="str">
        <f t="shared" si="48"/>
        <v>NS</v>
      </c>
      <c r="DL15" s="45" t="str">
        <f t="shared" si="49"/>
        <v>NS</v>
      </c>
      <c r="DM15" s="45" t="e">
        <f t="shared" si="50"/>
        <v>#DIV/0!</v>
      </c>
      <c r="DN15" s="45" t="e">
        <f t="shared" si="51"/>
        <v>#DIV/0!</v>
      </c>
      <c r="DO15" s="45" t="e">
        <f t="shared" si="52"/>
        <v>#DIV/0!</v>
      </c>
      <c r="DP15" s="45" t="e">
        <f t="shared" si="53"/>
        <v>#DIV/0!</v>
      </c>
      <c r="DQ15" s="45" t="e">
        <f t="shared" si="54"/>
        <v>#DIV/0!</v>
      </c>
      <c r="DR15" s="45" t="e">
        <f t="shared" si="55"/>
        <v>#DIV/0!</v>
      </c>
      <c r="DS15" s="45" t="e">
        <f t="shared" si="56"/>
        <v>#DIV/0!</v>
      </c>
      <c r="DT15" s="45" t="e">
        <f t="shared" si="57"/>
        <v>#DIV/0!</v>
      </c>
      <c r="DU15" s="45" t="e">
        <f t="shared" si="58"/>
        <v>#DIV/0!</v>
      </c>
      <c r="DV15" s="45" t="e">
        <f t="shared" si="59"/>
        <v>#DIV/0!</v>
      </c>
      <c r="DW15" s="45" t="e">
        <f t="shared" si="60"/>
        <v>#DIV/0!</v>
      </c>
      <c r="DX15" s="45" t="e">
        <f t="shared" si="61"/>
        <v>#DIV/0!</v>
      </c>
      <c r="DY15" s="41"/>
      <c r="DZ15" s="41"/>
      <c r="EA15" s="41"/>
      <c r="EB15" s="41"/>
      <c r="EC15" s="41"/>
      <c r="ED15" s="41"/>
      <c r="EE15" s="41"/>
      <c r="EF15" s="41"/>
      <c r="EG15" s="41"/>
      <c r="EH15" s="47"/>
      <c r="EI15" s="222"/>
      <c r="EJ15" s="59">
        <f t="shared" si="62"/>
        <v>46752</v>
      </c>
      <c r="EK15" s="229"/>
      <c r="EL15" s="230"/>
      <c r="EM15" s="229"/>
      <c r="EN15" s="222"/>
      <c r="EO15" s="222"/>
      <c r="EP15" s="222"/>
      <c r="EQ15" s="231"/>
      <c r="ER15" s="213"/>
      <c r="ES15" s="220"/>
      <c r="ET15" s="220"/>
      <c r="EU15" s="220"/>
      <c r="EV15" s="220"/>
      <c r="EW15" s="220"/>
      <c r="EX15" s="220"/>
      <c r="EY15" s="220"/>
      <c r="EZ15" s="220"/>
      <c r="FA15" s="220"/>
      <c r="FB15" s="222"/>
      <c r="FC15" s="222"/>
      <c r="FD15" s="222"/>
      <c r="FE15" s="220"/>
      <c r="FF15" s="220"/>
      <c r="FG15" s="222"/>
      <c r="FH15" s="220"/>
      <c r="FI15" s="220"/>
      <c r="FJ15" s="220"/>
      <c r="FK15" s="220"/>
      <c r="FL15" s="215"/>
      <c r="FM15" s="172" t="s">
        <v>203</v>
      </c>
      <c r="FN15" s="224" t="s">
        <v>202</v>
      </c>
      <c r="FO15" s="224" t="s">
        <v>231</v>
      </c>
      <c r="FP15" s="172" t="s">
        <v>203</v>
      </c>
      <c r="FQ15" s="172" t="s">
        <v>183</v>
      </c>
      <c r="FR15" s="213" t="s">
        <v>184</v>
      </c>
      <c r="FS15" s="223"/>
      <c r="FT15" s="223"/>
      <c r="FU15" s="223"/>
    </row>
    <row r="16" spans="1:177" s="13" customFormat="1" ht="144">
      <c r="A16" s="63" t="s">
        <v>264</v>
      </c>
      <c r="B16" s="48" t="s">
        <v>205</v>
      </c>
      <c r="C16" s="64" t="s">
        <v>206</v>
      </c>
      <c r="D16" s="225" t="s">
        <v>207</v>
      </c>
      <c r="E16" s="226" t="s">
        <v>208</v>
      </c>
      <c r="F16" s="227">
        <f t="shared" si="66"/>
        <v>11</v>
      </c>
      <c r="G16" s="65" t="s">
        <v>241</v>
      </c>
      <c r="H16" s="65" t="s">
        <v>210</v>
      </c>
      <c r="I16" s="65" t="s">
        <v>265</v>
      </c>
      <c r="J16" s="48">
        <v>2027</v>
      </c>
      <c r="K16" s="48">
        <v>2029</v>
      </c>
      <c r="L16" s="48" t="s">
        <v>172</v>
      </c>
      <c r="M16" s="48" t="s">
        <v>173</v>
      </c>
      <c r="N16" s="63" t="s">
        <v>174</v>
      </c>
      <c r="O16" s="63" t="s">
        <v>227</v>
      </c>
      <c r="P16" s="63" t="s">
        <v>15</v>
      </c>
      <c r="Q16" s="63" t="s">
        <v>199</v>
      </c>
      <c r="R16" s="63" t="s">
        <v>229</v>
      </c>
      <c r="S16" s="63" t="str">
        <f t="shared" si="0"/>
        <v>Not Started</v>
      </c>
      <c r="T16" s="63" t="str">
        <f t="shared" si="1"/>
        <v>Not Started</v>
      </c>
      <c r="U16" s="63" t="str">
        <f t="shared" si="2"/>
        <v>Rizky Arga</v>
      </c>
      <c r="V16" s="67">
        <f t="shared" si="3"/>
        <v>0</v>
      </c>
      <c r="W16" s="66" t="s">
        <v>263</v>
      </c>
      <c r="X16" s="59">
        <f t="shared" si="4"/>
        <v>47483</v>
      </c>
      <c r="Y16" s="228">
        <v>0</v>
      </c>
      <c r="Z16" s="63"/>
      <c r="AA16" s="42">
        <v>46388</v>
      </c>
      <c r="AB16" s="42">
        <v>46476</v>
      </c>
      <c r="AC16" s="42">
        <v>46478</v>
      </c>
      <c r="AD16" s="42">
        <v>46507</v>
      </c>
      <c r="AE16" s="42"/>
      <c r="AF16" s="42"/>
      <c r="AG16" s="42"/>
      <c r="AH16" s="42"/>
      <c r="AI16" s="42"/>
      <c r="AJ16" s="42"/>
      <c r="AK16" s="42">
        <v>46508</v>
      </c>
      <c r="AL16" s="42">
        <v>47452</v>
      </c>
      <c r="AM16" s="42"/>
      <c r="AN16" s="42"/>
      <c r="AO16" s="42"/>
      <c r="AP16" s="243"/>
      <c r="AQ16" s="42">
        <v>47453</v>
      </c>
      <c r="AR16" s="42">
        <v>47483</v>
      </c>
      <c r="AS16" s="63" t="str">
        <f t="shared" si="5"/>
        <v>Not Started</v>
      </c>
      <c r="AT16" s="63" t="str">
        <f t="shared" si="6"/>
        <v>Not Started</v>
      </c>
      <c r="AU16" s="63" t="str">
        <f t="shared" si="7"/>
        <v>Not Started</v>
      </c>
      <c r="AV16" s="63" t="str">
        <f t="shared" si="8"/>
        <v>Not Started</v>
      </c>
      <c r="AW16" s="63" t="str">
        <f t="shared" si="9"/>
        <v>Not Started</v>
      </c>
      <c r="AX16" s="63" t="str">
        <f t="shared" si="10"/>
        <v>Not Started</v>
      </c>
      <c r="AY16" s="63" t="str">
        <f t="shared" si="11"/>
        <v>Not Started</v>
      </c>
      <c r="AZ16" s="63" t="str">
        <f t="shared" si="12"/>
        <v>Not Started</v>
      </c>
      <c r="BA16" s="63" t="str">
        <f t="shared" si="13"/>
        <v>Not Started</v>
      </c>
      <c r="BB16" s="63" t="str">
        <f t="shared" si="14"/>
        <v>Not Started</v>
      </c>
      <c r="BC16" s="63" t="str">
        <f t="shared" si="15"/>
        <v>Not Started</v>
      </c>
      <c r="BD16" s="63" t="str">
        <f t="shared" si="16"/>
        <v>Not Started</v>
      </c>
      <c r="BE16" s="219">
        <v>0</v>
      </c>
      <c r="BF16" s="219">
        <v>0</v>
      </c>
      <c r="BG16" s="219">
        <v>0</v>
      </c>
      <c r="BH16" s="219">
        <v>0</v>
      </c>
      <c r="BI16" s="219">
        <v>0</v>
      </c>
      <c r="BJ16" s="219">
        <v>0</v>
      </c>
      <c r="BK16" s="219">
        <v>0</v>
      </c>
      <c r="BL16" s="219">
        <v>0</v>
      </c>
      <c r="BM16" s="219">
        <v>0</v>
      </c>
      <c r="BN16" s="219">
        <v>0</v>
      </c>
      <c r="BO16" s="219">
        <v>0</v>
      </c>
      <c r="BP16" s="219">
        <v>0</v>
      </c>
      <c r="BQ16" s="63" t="str">
        <f t="shared" si="17"/>
        <v>Not Started</v>
      </c>
      <c r="BR16" s="63" t="str">
        <f t="shared" si="18"/>
        <v>Not Started</v>
      </c>
      <c r="BS16" s="63" t="str">
        <f t="shared" si="19"/>
        <v>Not Started</v>
      </c>
      <c r="BT16" s="63" t="str">
        <f t="shared" si="20"/>
        <v>Not Started</v>
      </c>
      <c r="BU16" s="63" t="str">
        <f t="shared" si="21"/>
        <v>Not Started</v>
      </c>
      <c r="BV16" s="63" t="str">
        <f t="shared" si="22"/>
        <v>Proses Desain</v>
      </c>
      <c r="BW16" s="63" t="str">
        <f t="shared" si="23"/>
        <v>Not Started</v>
      </c>
      <c r="BX16" s="63" t="str">
        <f t="shared" si="24"/>
        <v>Not Started</v>
      </c>
      <c r="BY16" s="63" t="str">
        <f t="shared" si="25"/>
        <v>Not Started</v>
      </c>
      <c r="BZ16" s="63" t="str">
        <f t="shared" si="26"/>
        <v>Not Started</v>
      </c>
      <c r="CA16" s="63" t="str">
        <f t="shared" si="27"/>
        <v>Not Started</v>
      </c>
      <c r="CB16" s="63" t="str">
        <f t="shared" si="28"/>
        <v>Not Started</v>
      </c>
      <c r="CC16" s="44">
        <v>0</v>
      </c>
      <c r="CD16" s="44">
        <v>0</v>
      </c>
      <c r="CE16" s="44">
        <v>0</v>
      </c>
      <c r="CF16" s="44">
        <v>0</v>
      </c>
      <c r="CG16" s="44">
        <v>0</v>
      </c>
      <c r="CH16" s="242">
        <v>0.3075</v>
      </c>
      <c r="CI16" s="44">
        <v>0</v>
      </c>
      <c r="CJ16" s="44"/>
      <c r="CK16" s="44"/>
      <c r="CL16" s="44">
        <v>0</v>
      </c>
      <c r="CM16" s="44">
        <f t="shared" si="64"/>
        <v>0</v>
      </c>
      <c r="CN16" s="44">
        <f t="shared" si="64"/>
        <v>0</v>
      </c>
      <c r="CO16" s="45">
        <f t="shared" si="63"/>
        <v>1</v>
      </c>
      <c r="CP16" s="45">
        <f t="shared" si="65"/>
        <v>1</v>
      </c>
      <c r="CQ16" s="45">
        <f t="shared" si="29"/>
        <v>1</v>
      </c>
      <c r="CR16" s="45">
        <f t="shared" si="30"/>
        <v>1</v>
      </c>
      <c r="CS16" s="45">
        <f t="shared" si="31"/>
        <v>1</v>
      </c>
      <c r="CT16" s="45">
        <f t="shared" si="32"/>
        <v>1</v>
      </c>
      <c r="CU16" s="45">
        <f t="shared" si="33"/>
        <v>1</v>
      </c>
      <c r="CV16" s="45">
        <f t="shared" si="34"/>
        <v>1</v>
      </c>
      <c r="CW16" s="45">
        <f t="shared" si="35"/>
        <v>1</v>
      </c>
      <c r="CX16" s="45">
        <f t="shared" si="36"/>
        <v>1</v>
      </c>
      <c r="CY16" s="45">
        <f t="shared" si="37"/>
        <v>1</v>
      </c>
      <c r="CZ16" s="45"/>
      <c r="DA16" s="45" t="str">
        <f t="shared" si="38"/>
        <v>NS</v>
      </c>
      <c r="DB16" s="45" t="str">
        <f t="shared" si="39"/>
        <v>NS</v>
      </c>
      <c r="DC16" s="45" t="str">
        <f t="shared" si="40"/>
        <v>NS</v>
      </c>
      <c r="DD16" s="45" t="str">
        <f t="shared" si="41"/>
        <v>NS</v>
      </c>
      <c r="DE16" s="45" t="str">
        <f t="shared" si="42"/>
        <v>NS</v>
      </c>
      <c r="DF16" s="45" t="str">
        <f t="shared" si="43"/>
        <v>NS</v>
      </c>
      <c r="DG16" s="45" t="str">
        <f t="shared" si="44"/>
        <v>NS</v>
      </c>
      <c r="DH16" s="45" t="str">
        <f t="shared" si="45"/>
        <v>NS</v>
      </c>
      <c r="DI16" s="45" t="str">
        <f t="shared" si="46"/>
        <v>NS</v>
      </c>
      <c r="DJ16" s="45" t="str">
        <f t="shared" si="47"/>
        <v>NS</v>
      </c>
      <c r="DK16" s="45" t="str">
        <f t="shared" si="48"/>
        <v>NS</v>
      </c>
      <c r="DL16" s="45" t="str">
        <f t="shared" si="49"/>
        <v>NS</v>
      </c>
      <c r="DM16" s="45" t="e">
        <f t="shared" si="50"/>
        <v>#DIV/0!</v>
      </c>
      <c r="DN16" s="45" t="e">
        <f t="shared" si="51"/>
        <v>#DIV/0!</v>
      </c>
      <c r="DO16" s="45" t="e">
        <f t="shared" si="52"/>
        <v>#DIV/0!</v>
      </c>
      <c r="DP16" s="45" t="e">
        <f t="shared" si="53"/>
        <v>#DIV/0!</v>
      </c>
      <c r="DQ16" s="45" t="e">
        <f t="shared" si="54"/>
        <v>#DIV/0!</v>
      </c>
      <c r="DR16" s="45" t="e">
        <f t="shared" si="55"/>
        <v>#DIV/0!</v>
      </c>
      <c r="DS16" s="45" t="e">
        <f t="shared" si="56"/>
        <v>#DIV/0!</v>
      </c>
      <c r="DT16" s="45" t="e">
        <f t="shared" si="57"/>
        <v>#DIV/0!</v>
      </c>
      <c r="DU16" s="45" t="e">
        <f t="shared" si="58"/>
        <v>#DIV/0!</v>
      </c>
      <c r="DV16" s="45" t="e">
        <f t="shared" si="59"/>
        <v>#DIV/0!</v>
      </c>
      <c r="DW16" s="45" t="e">
        <f t="shared" si="60"/>
        <v>#DIV/0!</v>
      </c>
      <c r="DX16" s="45" t="e">
        <f t="shared" si="61"/>
        <v>#DIV/0!</v>
      </c>
      <c r="DY16" s="41"/>
      <c r="DZ16" s="41"/>
      <c r="EA16" s="41"/>
      <c r="EB16" s="41"/>
      <c r="EC16" s="41"/>
      <c r="ED16" s="41"/>
      <c r="EE16" s="41"/>
      <c r="EF16" s="41"/>
      <c r="EG16" s="41"/>
      <c r="EH16" s="47"/>
      <c r="EI16" s="222"/>
      <c r="EJ16" s="59">
        <f t="shared" si="62"/>
        <v>47483</v>
      </c>
      <c r="EK16" s="229"/>
      <c r="EL16" s="230"/>
      <c r="EM16" s="229"/>
      <c r="EN16" s="222"/>
      <c r="EO16" s="222"/>
      <c r="EP16" s="222"/>
      <c r="EQ16" s="231"/>
      <c r="ER16" s="213"/>
      <c r="ES16" s="220"/>
      <c r="ET16" s="220"/>
      <c r="EU16" s="220"/>
      <c r="EV16" s="220"/>
      <c r="EW16" s="220"/>
      <c r="EX16" s="220"/>
      <c r="EY16" s="220"/>
      <c r="EZ16" s="220"/>
      <c r="FA16" s="220"/>
      <c r="FB16" s="222"/>
      <c r="FC16" s="222"/>
      <c r="FD16" s="222"/>
      <c r="FE16" s="220"/>
      <c r="FF16" s="220"/>
      <c r="FG16" s="222"/>
      <c r="FH16" s="220"/>
      <c r="FI16" s="220"/>
      <c r="FJ16" s="220"/>
      <c r="FK16" s="220"/>
      <c r="FL16" s="215"/>
      <c r="FM16" s="172" t="s">
        <v>203</v>
      </c>
      <c r="FN16" s="224" t="s">
        <v>202</v>
      </c>
      <c r="FO16" s="224" t="s">
        <v>231</v>
      </c>
      <c r="FP16" s="172" t="s">
        <v>203</v>
      </c>
      <c r="FQ16" s="172" t="s">
        <v>183</v>
      </c>
      <c r="FR16" s="213" t="s">
        <v>184</v>
      </c>
      <c r="FS16" s="223"/>
      <c r="FT16" s="223"/>
      <c r="FU16" s="223"/>
    </row>
    <row r="17" spans="1:177" s="13" customFormat="1" ht="128">
      <c r="A17" s="63" t="s">
        <v>266</v>
      </c>
      <c r="B17" s="48" t="s">
        <v>205</v>
      </c>
      <c r="C17" s="64" t="s">
        <v>206</v>
      </c>
      <c r="D17" s="225" t="s">
        <v>207</v>
      </c>
      <c r="E17" s="226" t="s">
        <v>208</v>
      </c>
      <c r="F17" s="227">
        <f t="shared" si="66"/>
        <v>12</v>
      </c>
      <c r="G17" s="65" t="s">
        <v>241</v>
      </c>
      <c r="H17" s="65" t="s">
        <v>210</v>
      </c>
      <c r="I17" s="65" t="s">
        <v>267</v>
      </c>
      <c r="J17" s="48">
        <v>2028</v>
      </c>
      <c r="K17" s="48">
        <v>2030</v>
      </c>
      <c r="L17" s="48" t="s">
        <v>172</v>
      </c>
      <c r="M17" s="48" t="s">
        <v>173</v>
      </c>
      <c r="N17" s="63" t="s">
        <v>174</v>
      </c>
      <c r="O17" s="63" t="s">
        <v>259</v>
      </c>
      <c r="P17" s="63" t="s">
        <v>212</v>
      </c>
      <c r="Q17" s="63" t="s">
        <v>199</v>
      </c>
      <c r="R17" s="63" t="s">
        <v>229</v>
      </c>
      <c r="S17" s="63" t="str">
        <f t="shared" si="0"/>
        <v>Not Started</v>
      </c>
      <c r="T17" s="63" t="str">
        <f t="shared" si="1"/>
        <v>Not Started</v>
      </c>
      <c r="U17" s="63" t="str">
        <f t="shared" si="2"/>
        <v>Rizky Arga</v>
      </c>
      <c r="V17" s="67">
        <f t="shared" si="3"/>
        <v>0</v>
      </c>
      <c r="W17" s="66" t="s">
        <v>239</v>
      </c>
      <c r="X17" s="59">
        <f t="shared" si="4"/>
        <v>47848</v>
      </c>
      <c r="Y17" s="228">
        <v>0</v>
      </c>
      <c r="Z17" s="63"/>
      <c r="AA17" s="42">
        <v>46753</v>
      </c>
      <c r="AB17" s="42">
        <v>46842</v>
      </c>
      <c r="AC17" s="42">
        <v>46844</v>
      </c>
      <c r="AD17" s="42">
        <v>46873</v>
      </c>
      <c r="AE17" s="42"/>
      <c r="AF17" s="42"/>
      <c r="AG17" s="42"/>
      <c r="AH17" s="42"/>
      <c r="AI17" s="42"/>
      <c r="AJ17" s="42"/>
      <c r="AK17" s="42">
        <v>46874</v>
      </c>
      <c r="AL17" s="42">
        <v>47483</v>
      </c>
      <c r="AM17" s="42"/>
      <c r="AN17" s="42"/>
      <c r="AO17" s="42"/>
      <c r="AP17" s="42"/>
      <c r="AQ17" s="42"/>
      <c r="AR17" s="42">
        <v>47848</v>
      </c>
      <c r="AS17" s="63" t="str">
        <f t="shared" si="5"/>
        <v>Not Started</v>
      </c>
      <c r="AT17" s="63" t="str">
        <f t="shared" si="6"/>
        <v>Not Started</v>
      </c>
      <c r="AU17" s="63" t="str">
        <f t="shared" si="7"/>
        <v>Not Started</v>
      </c>
      <c r="AV17" s="63" t="str">
        <f t="shared" si="8"/>
        <v>Not Started</v>
      </c>
      <c r="AW17" s="63" t="str">
        <f t="shared" si="9"/>
        <v>Not Started</v>
      </c>
      <c r="AX17" s="63" t="str">
        <f t="shared" si="10"/>
        <v>Not Started</v>
      </c>
      <c r="AY17" s="63" t="str">
        <f t="shared" si="11"/>
        <v>Not Started</v>
      </c>
      <c r="AZ17" s="63" t="str">
        <f t="shared" si="12"/>
        <v>Not Started</v>
      </c>
      <c r="BA17" s="63" t="str">
        <f t="shared" si="13"/>
        <v>Not Started</v>
      </c>
      <c r="BB17" s="63" t="str">
        <f t="shared" si="14"/>
        <v>Not Started</v>
      </c>
      <c r="BC17" s="63" t="str">
        <f t="shared" si="15"/>
        <v>Not Started</v>
      </c>
      <c r="BD17" s="63" t="str">
        <f t="shared" si="16"/>
        <v>Not Started</v>
      </c>
      <c r="BE17" s="219">
        <v>0</v>
      </c>
      <c r="BF17" s="219">
        <v>0</v>
      </c>
      <c r="BG17" s="219">
        <v>0</v>
      </c>
      <c r="BH17" s="219">
        <v>0</v>
      </c>
      <c r="BI17" s="219">
        <v>0</v>
      </c>
      <c r="BJ17" s="219">
        <v>0</v>
      </c>
      <c r="BK17" s="219">
        <v>0</v>
      </c>
      <c r="BL17" s="219">
        <v>0</v>
      </c>
      <c r="BM17" s="219">
        <v>0</v>
      </c>
      <c r="BN17" s="219">
        <v>0</v>
      </c>
      <c r="BO17" s="219">
        <v>0</v>
      </c>
      <c r="BP17" s="219">
        <v>0</v>
      </c>
      <c r="BQ17" s="63" t="str">
        <f t="shared" si="17"/>
        <v>Not Started</v>
      </c>
      <c r="BR17" s="63" t="str">
        <f t="shared" si="18"/>
        <v>Not Started</v>
      </c>
      <c r="BS17" s="63" t="str">
        <f t="shared" si="19"/>
        <v>Not Started</v>
      </c>
      <c r="BT17" s="63" t="str">
        <f t="shared" si="20"/>
        <v>Not Started</v>
      </c>
      <c r="BU17" s="63" t="str">
        <f t="shared" si="21"/>
        <v>Not Started</v>
      </c>
      <c r="BV17" s="63" t="str">
        <f t="shared" si="22"/>
        <v>Proses Desain</v>
      </c>
      <c r="BW17" s="63" t="str">
        <f t="shared" si="23"/>
        <v>Not Started</v>
      </c>
      <c r="BX17" s="63" t="str">
        <f t="shared" si="24"/>
        <v>Not Started</v>
      </c>
      <c r="BY17" s="63" t="str">
        <f t="shared" si="25"/>
        <v>Not Started</v>
      </c>
      <c r="BZ17" s="63" t="str">
        <f t="shared" si="26"/>
        <v>Not Started</v>
      </c>
      <c r="CA17" s="63" t="str">
        <f t="shared" si="27"/>
        <v>Not Started</v>
      </c>
      <c r="CB17" s="63" t="str">
        <f t="shared" si="28"/>
        <v>Not Started</v>
      </c>
      <c r="CC17" s="44">
        <v>0</v>
      </c>
      <c r="CD17" s="44">
        <v>0</v>
      </c>
      <c r="CE17" s="44">
        <v>0</v>
      </c>
      <c r="CF17" s="44">
        <v>0</v>
      </c>
      <c r="CG17" s="44">
        <v>0</v>
      </c>
      <c r="CH17" s="242">
        <v>0.3075</v>
      </c>
      <c r="CI17" s="44">
        <v>0</v>
      </c>
      <c r="CJ17" s="44"/>
      <c r="CK17" s="44"/>
      <c r="CL17" s="44">
        <v>0</v>
      </c>
      <c r="CM17" s="44">
        <f t="shared" si="64"/>
        <v>0</v>
      </c>
      <c r="CN17" s="44">
        <f t="shared" si="64"/>
        <v>0</v>
      </c>
      <c r="CO17" s="45">
        <f t="shared" si="63"/>
        <v>1</v>
      </c>
      <c r="CP17" s="45">
        <f t="shared" si="65"/>
        <v>1</v>
      </c>
      <c r="CQ17" s="45">
        <f t="shared" si="29"/>
        <v>1</v>
      </c>
      <c r="CR17" s="45">
        <f t="shared" si="30"/>
        <v>1</v>
      </c>
      <c r="CS17" s="45">
        <f t="shared" si="31"/>
        <v>1</v>
      </c>
      <c r="CT17" s="45">
        <f t="shared" si="32"/>
        <v>1</v>
      </c>
      <c r="CU17" s="45">
        <f t="shared" si="33"/>
        <v>1</v>
      </c>
      <c r="CV17" s="45">
        <f t="shared" si="34"/>
        <v>1</v>
      </c>
      <c r="CW17" s="45">
        <f t="shared" si="35"/>
        <v>1</v>
      </c>
      <c r="CX17" s="45">
        <f t="shared" si="36"/>
        <v>1</v>
      </c>
      <c r="CY17" s="45">
        <f t="shared" si="37"/>
        <v>1</v>
      </c>
      <c r="CZ17" s="45"/>
      <c r="DA17" s="45" t="str">
        <f t="shared" si="38"/>
        <v>NS</v>
      </c>
      <c r="DB17" s="45" t="str">
        <f t="shared" si="39"/>
        <v>NS</v>
      </c>
      <c r="DC17" s="45" t="str">
        <f t="shared" si="40"/>
        <v>NS</v>
      </c>
      <c r="DD17" s="45" t="str">
        <f t="shared" si="41"/>
        <v>NS</v>
      </c>
      <c r="DE17" s="45" t="str">
        <f t="shared" si="42"/>
        <v>NS</v>
      </c>
      <c r="DF17" s="45" t="str">
        <f t="shared" si="43"/>
        <v>NS</v>
      </c>
      <c r="DG17" s="45" t="str">
        <f t="shared" si="44"/>
        <v>NS</v>
      </c>
      <c r="DH17" s="45" t="str">
        <f t="shared" si="45"/>
        <v>NS</v>
      </c>
      <c r="DI17" s="45" t="str">
        <f t="shared" si="46"/>
        <v>NS</v>
      </c>
      <c r="DJ17" s="45" t="str">
        <f t="shared" si="47"/>
        <v>NS</v>
      </c>
      <c r="DK17" s="45" t="str">
        <f t="shared" si="48"/>
        <v>NS</v>
      </c>
      <c r="DL17" s="45" t="str">
        <f t="shared" si="49"/>
        <v>NS</v>
      </c>
      <c r="DM17" s="45" t="e">
        <f t="shared" si="50"/>
        <v>#DIV/0!</v>
      </c>
      <c r="DN17" s="45" t="e">
        <f t="shared" si="51"/>
        <v>#DIV/0!</v>
      </c>
      <c r="DO17" s="45" t="e">
        <f t="shared" si="52"/>
        <v>#DIV/0!</v>
      </c>
      <c r="DP17" s="45" t="e">
        <f t="shared" si="53"/>
        <v>#DIV/0!</v>
      </c>
      <c r="DQ17" s="45" t="e">
        <f t="shared" si="54"/>
        <v>#DIV/0!</v>
      </c>
      <c r="DR17" s="45" t="e">
        <f t="shared" si="55"/>
        <v>#DIV/0!</v>
      </c>
      <c r="DS17" s="45" t="e">
        <f t="shared" si="56"/>
        <v>#DIV/0!</v>
      </c>
      <c r="DT17" s="45" t="e">
        <f t="shared" si="57"/>
        <v>#DIV/0!</v>
      </c>
      <c r="DU17" s="45" t="e">
        <f t="shared" si="58"/>
        <v>#DIV/0!</v>
      </c>
      <c r="DV17" s="45" t="e">
        <f t="shared" si="59"/>
        <v>#DIV/0!</v>
      </c>
      <c r="DW17" s="45" t="e">
        <f t="shared" si="60"/>
        <v>#DIV/0!</v>
      </c>
      <c r="DX17" s="45" t="e">
        <f t="shared" si="61"/>
        <v>#DIV/0!</v>
      </c>
      <c r="DY17" s="41"/>
      <c r="DZ17" s="41"/>
      <c r="EA17" s="41"/>
      <c r="EB17" s="41"/>
      <c r="EC17" s="41"/>
      <c r="ED17" s="41"/>
      <c r="EE17" s="41"/>
      <c r="EF17" s="41"/>
      <c r="EG17" s="41"/>
      <c r="EH17" s="47"/>
      <c r="EI17" s="222"/>
      <c r="EJ17" s="59">
        <f t="shared" si="62"/>
        <v>47848</v>
      </c>
      <c r="EK17" s="229"/>
      <c r="EL17" s="230"/>
      <c r="EM17" s="229"/>
      <c r="EN17" s="222"/>
      <c r="EO17" s="222"/>
      <c r="EP17" s="222"/>
      <c r="EQ17" s="231"/>
      <c r="ER17" s="213"/>
      <c r="ES17" s="220"/>
      <c r="ET17" s="220"/>
      <c r="EU17" s="220"/>
      <c r="EV17" s="220"/>
      <c r="EW17" s="220"/>
      <c r="EX17" s="220"/>
      <c r="EY17" s="220"/>
      <c r="EZ17" s="220"/>
      <c r="FA17" s="220"/>
      <c r="FB17" s="222"/>
      <c r="FC17" s="222"/>
      <c r="FD17" s="222"/>
      <c r="FE17" s="220"/>
      <c r="FF17" s="220"/>
      <c r="FG17" s="222"/>
      <c r="FH17" s="220"/>
      <c r="FI17" s="220"/>
      <c r="FJ17" s="220"/>
      <c r="FK17" s="220"/>
      <c r="FL17" s="215"/>
      <c r="FM17" s="172" t="s">
        <v>203</v>
      </c>
      <c r="FN17" s="224" t="s">
        <v>202</v>
      </c>
      <c r="FO17" s="224" t="s">
        <v>231</v>
      </c>
      <c r="FP17" s="172" t="s">
        <v>203</v>
      </c>
      <c r="FQ17" s="172" t="s">
        <v>183</v>
      </c>
      <c r="FR17" s="213" t="s">
        <v>184</v>
      </c>
      <c r="FS17" s="223"/>
      <c r="FT17" s="223"/>
      <c r="FU17" s="223"/>
    </row>
    <row r="18" spans="1:177" s="13" customFormat="1" ht="128">
      <c r="A18" s="63" t="s">
        <v>268</v>
      </c>
      <c r="B18" s="48" t="s">
        <v>205</v>
      </c>
      <c r="C18" s="64" t="s">
        <v>206</v>
      </c>
      <c r="D18" s="225" t="s">
        <v>207</v>
      </c>
      <c r="E18" s="226" t="s">
        <v>208</v>
      </c>
      <c r="F18" s="227">
        <f t="shared" si="66"/>
        <v>13</v>
      </c>
      <c r="G18" s="65" t="s">
        <v>241</v>
      </c>
      <c r="H18" s="65" t="s">
        <v>210</v>
      </c>
      <c r="I18" s="244" t="s">
        <v>269</v>
      </c>
      <c r="J18" s="48">
        <v>2026</v>
      </c>
      <c r="K18" s="48">
        <v>2028</v>
      </c>
      <c r="L18" s="48" t="s">
        <v>172</v>
      </c>
      <c r="M18" s="48" t="s">
        <v>173</v>
      </c>
      <c r="N18" s="63" t="s">
        <v>174</v>
      </c>
      <c r="O18" s="63" t="s">
        <v>227</v>
      </c>
      <c r="P18" s="63" t="s">
        <v>15</v>
      </c>
      <c r="Q18" s="63" t="s">
        <v>1598</v>
      </c>
      <c r="R18" s="63" t="s">
        <v>270</v>
      </c>
      <c r="S18" s="63" t="str">
        <f t="shared" si="0"/>
        <v>Not Started</v>
      </c>
      <c r="T18" s="63" t="str">
        <f t="shared" si="1"/>
        <v>Not Started</v>
      </c>
      <c r="U18" s="63" t="str">
        <f t="shared" si="2"/>
        <v>Rizky Arga</v>
      </c>
      <c r="V18" s="67">
        <f t="shared" si="3"/>
        <v>0</v>
      </c>
      <c r="W18" s="66" t="s">
        <v>260</v>
      </c>
      <c r="X18" s="59" t="str">
        <f t="shared" si="4"/>
        <v>Tahap I: 31-Dec-27
Tahap II:</v>
      </c>
      <c r="Y18" s="228">
        <v>0</v>
      </c>
      <c r="Z18" s="63"/>
      <c r="AA18" s="42">
        <v>46023</v>
      </c>
      <c r="AB18" s="42">
        <v>46111</v>
      </c>
      <c r="AC18" s="42">
        <v>46113</v>
      </c>
      <c r="AD18" s="42">
        <v>46142</v>
      </c>
      <c r="AE18" s="42"/>
      <c r="AF18" s="42"/>
      <c r="AG18" s="42"/>
      <c r="AH18" s="42"/>
      <c r="AI18" s="42" t="s">
        <v>271</v>
      </c>
      <c r="AJ18" s="42" t="s">
        <v>272</v>
      </c>
      <c r="AK18" s="42" t="s">
        <v>273</v>
      </c>
      <c r="AL18" s="42" t="s">
        <v>274</v>
      </c>
      <c r="AM18" s="42" t="s">
        <v>275</v>
      </c>
      <c r="AN18" s="42" t="s">
        <v>276</v>
      </c>
      <c r="AO18" s="42" t="s">
        <v>277</v>
      </c>
      <c r="AP18" s="42" t="s">
        <v>278</v>
      </c>
      <c r="AQ18" s="42" t="s">
        <v>279</v>
      </c>
      <c r="AR18" s="42" t="s">
        <v>280</v>
      </c>
      <c r="AS18" s="63" t="str">
        <f t="shared" si="5"/>
        <v>Selesai RBT-RBB</v>
      </c>
      <c r="AT18" s="63" t="str">
        <f t="shared" si="6"/>
        <v>Selesai RBT-RBL</v>
      </c>
      <c r="AU18" s="63" t="str">
        <f t="shared" si="7"/>
        <v>Selesai RBT-RBTD</v>
      </c>
      <c r="AV18" s="63" t="str">
        <f t="shared" si="8"/>
        <v>Selesai RPP</v>
      </c>
      <c r="AW18" s="63" t="str">
        <f t="shared" si="9"/>
        <v>Proses Desain</v>
      </c>
      <c r="AX18" s="63" t="str">
        <f t="shared" si="10"/>
        <v>Selesai Desain</v>
      </c>
      <c r="AY18" s="63" t="str">
        <f t="shared" si="11"/>
        <v>Selesai Pengembangan</v>
      </c>
      <c r="AZ18" s="63" t="str">
        <f t="shared" si="12"/>
        <v>Proses SIT</v>
      </c>
      <c r="BA18" s="63" t="str">
        <f t="shared" si="13"/>
        <v>Selesai SIT</v>
      </c>
      <c r="BB18" s="63" t="str">
        <f t="shared" si="14"/>
        <v>Proses UAT</v>
      </c>
      <c r="BC18" s="63" t="str">
        <f t="shared" si="15"/>
        <v>Selesai UAT</v>
      </c>
      <c r="BD18" s="63" t="str">
        <f t="shared" si="16"/>
        <v>Selesai Implementasi</v>
      </c>
      <c r="BE18" s="43">
        <v>0.05</v>
      </c>
      <c r="BF18" s="43">
        <v>0.1</v>
      </c>
      <c r="BG18" s="43">
        <v>0.15</v>
      </c>
      <c r="BH18" s="43">
        <v>0.2</v>
      </c>
      <c r="BI18" s="43">
        <v>0.375</v>
      </c>
      <c r="BJ18" s="43">
        <v>0.45</v>
      </c>
      <c r="BK18" s="43">
        <v>0.8</v>
      </c>
      <c r="BL18" s="43">
        <v>0.84</v>
      </c>
      <c r="BM18" s="43">
        <v>0.875</v>
      </c>
      <c r="BN18" s="43">
        <v>0.92</v>
      </c>
      <c r="BO18" s="219">
        <v>0.95</v>
      </c>
      <c r="BP18" s="43">
        <v>1</v>
      </c>
      <c r="BQ18" s="63" t="str">
        <f t="shared" si="17"/>
        <v>Not Started</v>
      </c>
      <c r="BR18" s="63" t="str">
        <f t="shared" si="18"/>
        <v>Not Started</v>
      </c>
      <c r="BS18" s="63" t="str">
        <f t="shared" si="19"/>
        <v>Not Started</v>
      </c>
      <c r="BT18" s="63" t="str">
        <f t="shared" si="20"/>
        <v>Not Started</v>
      </c>
      <c r="BU18" s="63" t="str">
        <f t="shared" si="21"/>
        <v>Not Started</v>
      </c>
      <c r="BV18" s="63" t="str">
        <f t="shared" si="22"/>
        <v>Not Started</v>
      </c>
      <c r="BW18" s="63" t="str">
        <f t="shared" si="23"/>
        <v>Not Started</v>
      </c>
      <c r="BX18" s="63" t="str">
        <f t="shared" si="24"/>
        <v>Not Started</v>
      </c>
      <c r="BY18" s="63" t="str">
        <f t="shared" si="25"/>
        <v>Not Started</v>
      </c>
      <c r="BZ18" s="63" t="str">
        <f t="shared" si="26"/>
        <v>Not Started</v>
      </c>
      <c r="CA18" s="63" t="str">
        <f t="shared" si="27"/>
        <v>Not Started</v>
      </c>
      <c r="CB18" s="63" t="str">
        <f t="shared" si="28"/>
        <v>Not Started</v>
      </c>
      <c r="CC18" s="44">
        <f>(($DY18/100%)*15%)+(($DZ18/100%)*5%)+(($EA18/100%)*5%)+(($EB18/100%)*5%)+(($EC18/100%)*15%)+(($ED18/100%)*35%)+(($EE18/100%)*7.5%)+(($EF18/100%)*7.5%)+(($EG18/100%)*5%)</f>
        <v>0</v>
      </c>
      <c r="CD18" s="44"/>
      <c r="CE18" s="44"/>
      <c r="CF18" s="44"/>
      <c r="CG18" s="44"/>
      <c r="CH18" s="242"/>
      <c r="CI18" s="44"/>
      <c r="CJ18" s="44"/>
      <c r="CK18" s="44"/>
      <c r="CL18" s="44"/>
      <c r="CM18" s="44"/>
      <c r="CN18" s="44"/>
      <c r="CO18" s="45">
        <f t="shared" si="63"/>
        <v>0</v>
      </c>
      <c r="CP18" s="45">
        <f t="shared" si="65"/>
        <v>0</v>
      </c>
      <c r="CQ18" s="45">
        <f t="shared" si="29"/>
        <v>0</v>
      </c>
      <c r="CR18" s="45">
        <f t="shared" si="30"/>
        <v>0</v>
      </c>
      <c r="CS18" s="45">
        <f t="shared" si="31"/>
        <v>0</v>
      </c>
      <c r="CT18" s="45">
        <f t="shared" si="32"/>
        <v>0</v>
      </c>
      <c r="CU18" s="45">
        <f t="shared" si="33"/>
        <v>0</v>
      </c>
      <c r="CV18" s="45">
        <f t="shared" si="34"/>
        <v>0</v>
      </c>
      <c r="CW18" s="45">
        <f t="shared" si="35"/>
        <v>0</v>
      </c>
      <c r="CX18" s="45">
        <f t="shared" si="36"/>
        <v>0</v>
      </c>
      <c r="CY18" s="45">
        <f t="shared" si="37"/>
        <v>0</v>
      </c>
      <c r="CZ18" s="45"/>
      <c r="DA18" s="45" t="str">
        <f t="shared" si="38"/>
        <v>BS</v>
      </c>
      <c r="DB18" s="45" t="str">
        <f t="shared" si="39"/>
        <v>BS</v>
      </c>
      <c r="DC18" s="45" t="str">
        <f t="shared" si="40"/>
        <v>BS</v>
      </c>
      <c r="DD18" s="45" t="str">
        <f t="shared" si="41"/>
        <v>BS</v>
      </c>
      <c r="DE18" s="45" t="str">
        <f t="shared" si="42"/>
        <v>BS</v>
      </c>
      <c r="DF18" s="45" t="str">
        <f t="shared" si="43"/>
        <v>BS</v>
      </c>
      <c r="DG18" s="45" t="str">
        <f t="shared" si="44"/>
        <v>BS</v>
      </c>
      <c r="DH18" s="45" t="str">
        <f t="shared" si="45"/>
        <v>BS</v>
      </c>
      <c r="DI18" s="45" t="str">
        <f t="shared" si="46"/>
        <v>BS</v>
      </c>
      <c r="DJ18" s="45" t="str">
        <f t="shared" si="47"/>
        <v>BS</v>
      </c>
      <c r="DK18" s="45" t="str">
        <f t="shared" si="48"/>
        <v>BS</v>
      </c>
      <c r="DL18" s="45" t="str">
        <f t="shared" si="49"/>
        <v>BS</v>
      </c>
      <c r="DM18" s="45">
        <f t="shared" si="50"/>
        <v>0</v>
      </c>
      <c r="DN18" s="45">
        <f t="shared" si="51"/>
        <v>0</v>
      </c>
      <c r="DO18" s="45">
        <f t="shared" si="52"/>
        <v>0</v>
      </c>
      <c r="DP18" s="45">
        <f t="shared" si="53"/>
        <v>0</v>
      </c>
      <c r="DQ18" s="45">
        <f t="shared" si="54"/>
        <v>0</v>
      </c>
      <c r="DR18" s="45">
        <f t="shared" si="55"/>
        <v>0</v>
      </c>
      <c r="DS18" s="45">
        <f t="shared" si="56"/>
        <v>0</v>
      </c>
      <c r="DT18" s="45">
        <f t="shared" si="57"/>
        <v>0</v>
      </c>
      <c r="DU18" s="45">
        <f t="shared" si="58"/>
        <v>0</v>
      </c>
      <c r="DV18" s="45">
        <f t="shared" si="59"/>
        <v>0</v>
      </c>
      <c r="DW18" s="45">
        <f t="shared" si="60"/>
        <v>0</v>
      </c>
      <c r="DX18" s="45">
        <f t="shared" si="61"/>
        <v>0</v>
      </c>
      <c r="DY18" s="41"/>
      <c r="DZ18" s="41"/>
      <c r="EA18" s="41"/>
      <c r="EB18" s="41"/>
      <c r="EC18" s="41"/>
      <c r="ED18" s="41"/>
      <c r="EE18" s="41"/>
      <c r="EF18" s="41"/>
      <c r="EG18" s="41"/>
      <c r="EH18" s="47"/>
      <c r="EI18" s="222"/>
      <c r="EJ18" s="59" t="str">
        <f t="shared" si="62"/>
        <v>Tahap I: 31-Dec-27
Tahap II:</v>
      </c>
      <c r="EK18" s="229"/>
      <c r="EL18" s="230"/>
      <c r="EM18" s="229"/>
      <c r="EN18" s="222"/>
      <c r="EO18" s="222"/>
      <c r="EP18" s="222"/>
      <c r="EQ18" s="231"/>
      <c r="ER18" s="213"/>
      <c r="ES18" s="220"/>
      <c r="ET18" s="220"/>
      <c r="EU18" s="220"/>
      <c r="EV18" s="220"/>
      <c r="EW18" s="220"/>
      <c r="EX18" s="220"/>
      <c r="EY18" s="220"/>
      <c r="EZ18" s="220"/>
      <c r="FA18" s="220"/>
      <c r="FB18" s="222"/>
      <c r="FC18" s="222"/>
      <c r="FD18" s="222"/>
      <c r="FE18" s="220"/>
      <c r="FF18" s="220"/>
      <c r="FG18" s="222"/>
      <c r="FH18" s="220"/>
      <c r="FI18" s="220"/>
      <c r="FJ18" s="220"/>
      <c r="FK18" s="220"/>
      <c r="FL18" s="215"/>
      <c r="FM18" s="172" t="s">
        <v>203</v>
      </c>
      <c r="FN18" s="224" t="s">
        <v>202</v>
      </c>
      <c r="FO18" s="224" t="s">
        <v>231</v>
      </c>
      <c r="FP18" s="172" t="s">
        <v>203</v>
      </c>
      <c r="FQ18" s="172" t="s">
        <v>183</v>
      </c>
      <c r="FR18" s="213" t="s">
        <v>184</v>
      </c>
      <c r="FS18" s="223"/>
      <c r="FT18" s="223"/>
      <c r="FU18" s="223"/>
    </row>
    <row r="19" spans="1:177" s="13" customFormat="1" ht="128">
      <c r="A19" s="63" t="s">
        <v>281</v>
      </c>
      <c r="B19" s="48" t="s">
        <v>205</v>
      </c>
      <c r="C19" s="64" t="s">
        <v>206</v>
      </c>
      <c r="D19" s="225" t="s">
        <v>207</v>
      </c>
      <c r="E19" s="226" t="s">
        <v>208</v>
      </c>
      <c r="F19" s="227">
        <f t="shared" si="66"/>
        <v>14</v>
      </c>
      <c r="G19" s="65" t="s">
        <v>241</v>
      </c>
      <c r="H19" s="65" t="s">
        <v>210</v>
      </c>
      <c r="I19" s="65" t="s">
        <v>282</v>
      </c>
      <c r="J19" s="48">
        <v>2026</v>
      </c>
      <c r="K19" s="48">
        <v>2027</v>
      </c>
      <c r="L19" s="48" t="s">
        <v>172</v>
      </c>
      <c r="M19" s="48" t="s">
        <v>173</v>
      </c>
      <c r="N19" s="63" t="s">
        <v>174</v>
      </c>
      <c r="O19" s="63" t="s">
        <v>227</v>
      </c>
      <c r="P19" s="63" t="s">
        <v>15</v>
      </c>
      <c r="Q19" s="63" t="s">
        <v>199</v>
      </c>
      <c r="R19" s="63" t="s">
        <v>229</v>
      </c>
      <c r="S19" s="63" t="str">
        <f t="shared" si="0"/>
        <v>Not Started</v>
      </c>
      <c r="T19" s="63" t="str">
        <f t="shared" si="1"/>
        <v>Not Started</v>
      </c>
      <c r="U19" s="63" t="str">
        <f t="shared" si="2"/>
        <v>Rizky Arga</v>
      </c>
      <c r="V19" s="67">
        <f t="shared" si="3"/>
        <v>0</v>
      </c>
      <c r="W19" s="66" t="s">
        <v>237</v>
      </c>
      <c r="X19" s="59">
        <f t="shared" si="4"/>
        <v>46752</v>
      </c>
      <c r="Y19" s="228">
        <v>0</v>
      </c>
      <c r="Z19" s="63"/>
      <c r="AA19" s="42">
        <v>46296</v>
      </c>
      <c r="AB19" s="42">
        <v>46387</v>
      </c>
      <c r="AC19" s="42">
        <v>46388</v>
      </c>
      <c r="AD19" s="42">
        <v>46417</v>
      </c>
      <c r="AE19" s="42"/>
      <c r="AF19" s="42"/>
      <c r="AG19" s="42"/>
      <c r="AH19" s="42"/>
      <c r="AI19" s="42"/>
      <c r="AJ19" s="42"/>
      <c r="AK19" s="42">
        <v>46419</v>
      </c>
      <c r="AL19" s="42">
        <v>46721</v>
      </c>
      <c r="AM19" s="42"/>
      <c r="AN19" s="42"/>
      <c r="AO19" s="42"/>
      <c r="AP19" s="42"/>
      <c r="AQ19" s="42">
        <v>46722</v>
      </c>
      <c r="AR19" s="42">
        <v>46752</v>
      </c>
      <c r="AS19" s="63" t="str">
        <f t="shared" si="5"/>
        <v>Not Started</v>
      </c>
      <c r="AT19" s="63" t="str">
        <f t="shared" si="6"/>
        <v>Not Started</v>
      </c>
      <c r="AU19" s="63" t="str">
        <f t="shared" si="7"/>
        <v>Not Started</v>
      </c>
      <c r="AV19" s="63" t="str">
        <f t="shared" si="8"/>
        <v>Not Started</v>
      </c>
      <c r="AW19" s="63" t="str">
        <f t="shared" si="9"/>
        <v>Not Started</v>
      </c>
      <c r="AX19" s="63" t="str">
        <f t="shared" si="10"/>
        <v>Not Started</v>
      </c>
      <c r="AY19" s="63" t="str">
        <f t="shared" si="11"/>
        <v>Not Started</v>
      </c>
      <c r="AZ19" s="63" t="str">
        <f t="shared" si="12"/>
        <v>Not Started</v>
      </c>
      <c r="BA19" s="63" t="str">
        <f t="shared" si="13"/>
        <v>Not Started</v>
      </c>
      <c r="BB19" s="63" t="str">
        <f t="shared" si="14"/>
        <v>Selesai RBT-RBB</v>
      </c>
      <c r="BC19" s="63" t="str">
        <f t="shared" si="15"/>
        <v>Selesai RBT-RBL</v>
      </c>
      <c r="BD19" s="63" t="str">
        <f t="shared" si="16"/>
        <v>Selesai RBT-RBTD</v>
      </c>
      <c r="BE19" s="43">
        <v>0</v>
      </c>
      <c r="BF19" s="43">
        <v>0</v>
      </c>
      <c r="BG19" s="43">
        <v>0</v>
      </c>
      <c r="BH19" s="43">
        <v>0</v>
      </c>
      <c r="BI19" s="43">
        <v>0</v>
      </c>
      <c r="BJ19" s="43">
        <v>0</v>
      </c>
      <c r="BK19" s="43">
        <v>0</v>
      </c>
      <c r="BL19" s="43">
        <v>0</v>
      </c>
      <c r="BM19" s="43">
        <v>0</v>
      </c>
      <c r="BN19" s="43">
        <v>0.05</v>
      </c>
      <c r="BO19" s="219">
        <v>0.1</v>
      </c>
      <c r="BP19" s="43">
        <v>0.15</v>
      </c>
      <c r="BQ19" s="63" t="str">
        <f t="shared" si="17"/>
        <v>Not Started</v>
      </c>
      <c r="BR19" s="63" t="str">
        <f t="shared" si="18"/>
        <v>Not Started</v>
      </c>
      <c r="BS19" s="63" t="str">
        <f t="shared" si="19"/>
        <v>Not Started</v>
      </c>
      <c r="BT19" s="63" t="str">
        <f t="shared" si="20"/>
        <v>Not Started</v>
      </c>
      <c r="BU19" s="63" t="str">
        <f t="shared" si="21"/>
        <v>Not Started</v>
      </c>
      <c r="BV19" s="63" t="str">
        <f t="shared" si="22"/>
        <v>Not Started</v>
      </c>
      <c r="BW19" s="63" t="str">
        <f t="shared" si="23"/>
        <v>Not Started</v>
      </c>
      <c r="BX19" s="63" t="str">
        <f t="shared" si="24"/>
        <v>Not Started</v>
      </c>
      <c r="BY19" s="63" t="str">
        <f t="shared" si="25"/>
        <v>Not Started</v>
      </c>
      <c r="BZ19" s="63" t="str">
        <f t="shared" si="26"/>
        <v>Not Started</v>
      </c>
      <c r="CA19" s="63" t="str">
        <f t="shared" si="27"/>
        <v>Not Started</v>
      </c>
      <c r="CB19" s="63" t="str">
        <f t="shared" si="28"/>
        <v>Not Started</v>
      </c>
      <c r="CC19" s="44">
        <f>(($DY19/100%)*15%)+(($DZ19/100%)*5%)+(($EA19/100%)*5%)+(($EB19/100%)*5%)+(($EC19/100%)*15%)+(($ED19/100%)*35%)+(($EE19/100%)*7.5%)+(($EF19/100%)*7.5%)+(($EG19/100%)*5%)</f>
        <v>0</v>
      </c>
      <c r="CD19" s="44"/>
      <c r="CE19" s="44"/>
      <c r="CF19" s="44"/>
      <c r="CG19" s="44"/>
      <c r="CH19" s="242"/>
      <c r="CI19" s="44"/>
      <c r="CJ19" s="44"/>
      <c r="CK19" s="44"/>
      <c r="CL19" s="44"/>
      <c r="CM19" s="44"/>
      <c r="CN19" s="44"/>
      <c r="CO19" s="45">
        <f t="shared" si="63"/>
        <v>1</v>
      </c>
      <c r="CP19" s="45">
        <f t="shared" si="65"/>
        <v>1</v>
      </c>
      <c r="CQ19" s="45">
        <f t="shared" si="29"/>
        <v>1</v>
      </c>
      <c r="CR19" s="45">
        <f t="shared" si="30"/>
        <v>1</v>
      </c>
      <c r="CS19" s="45">
        <f t="shared" si="31"/>
        <v>1</v>
      </c>
      <c r="CT19" s="45">
        <f t="shared" si="32"/>
        <v>1</v>
      </c>
      <c r="CU19" s="45">
        <f t="shared" si="33"/>
        <v>1</v>
      </c>
      <c r="CV19" s="45">
        <f t="shared" si="34"/>
        <v>1</v>
      </c>
      <c r="CW19" s="45">
        <f t="shared" si="35"/>
        <v>1</v>
      </c>
      <c r="CX19" s="45">
        <f t="shared" si="36"/>
        <v>0</v>
      </c>
      <c r="CY19" s="45">
        <f t="shared" si="37"/>
        <v>0</v>
      </c>
      <c r="CZ19" s="45"/>
      <c r="DA19" s="45" t="str">
        <f t="shared" si="38"/>
        <v>NS</v>
      </c>
      <c r="DB19" s="45" t="str">
        <f t="shared" si="39"/>
        <v>NS</v>
      </c>
      <c r="DC19" s="45" t="str">
        <f t="shared" si="40"/>
        <v>NS</v>
      </c>
      <c r="DD19" s="45" t="str">
        <f t="shared" si="41"/>
        <v>NS</v>
      </c>
      <c r="DE19" s="45" t="str">
        <f t="shared" si="42"/>
        <v>NS</v>
      </c>
      <c r="DF19" s="45" t="str">
        <f t="shared" si="43"/>
        <v>NS</v>
      </c>
      <c r="DG19" s="45" t="str">
        <f t="shared" si="44"/>
        <v>NS</v>
      </c>
      <c r="DH19" s="45" t="str">
        <f t="shared" si="45"/>
        <v>NS</v>
      </c>
      <c r="DI19" s="45" t="str">
        <f t="shared" si="46"/>
        <v>NS</v>
      </c>
      <c r="DJ19" s="45" t="str">
        <f t="shared" si="47"/>
        <v>BS</v>
      </c>
      <c r="DK19" s="45" t="str">
        <f t="shared" si="48"/>
        <v>BS</v>
      </c>
      <c r="DL19" s="45" t="str">
        <f t="shared" si="49"/>
        <v>BS</v>
      </c>
      <c r="DM19" s="45">
        <f t="shared" si="50"/>
        <v>0</v>
      </c>
      <c r="DN19" s="45">
        <f t="shared" si="51"/>
        <v>0</v>
      </c>
      <c r="DO19" s="45">
        <f t="shared" si="52"/>
        <v>0</v>
      </c>
      <c r="DP19" s="45">
        <f t="shared" si="53"/>
        <v>0</v>
      </c>
      <c r="DQ19" s="45">
        <f t="shared" si="54"/>
        <v>0</v>
      </c>
      <c r="DR19" s="45">
        <f t="shared" si="55"/>
        <v>0</v>
      </c>
      <c r="DS19" s="45">
        <f t="shared" si="56"/>
        <v>0</v>
      </c>
      <c r="DT19" s="45">
        <f t="shared" si="57"/>
        <v>0</v>
      </c>
      <c r="DU19" s="45">
        <f t="shared" si="58"/>
        <v>0</v>
      </c>
      <c r="DV19" s="45">
        <f t="shared" si="59"/>
        <v>0</v>
      </c>
      <c r="DW19" s="45">
        <f t="shared" si="60"/>
        <v>0</v>
      </c>
      <c r="DX19" s="45">
        <f t="shared" si="61"/>
        <v>0</v>
      </c>
      <c r="DY19" s="41"/>
      <c r="DZ19" s="41"/>
      <c r="EA19" s="41"/>
      <c r="EB19" s="41"/>
      <c r="EC19" s="41"/>
      <c r="ED19" s="41"/>
      <c r="EE19" s="41"/>
      <c r="EF19" s="41"/>
      <c r="EG19" s="41"/>
      <c r="EH19" s="47"/>
      <c r="EI19" s="222"/>
      <c r="EJ19" s="59">
        <f t="shared" si="62"/>
        <v>46752</v>
      </c>
      <c r="EK19" s="229"/>
      <c r="EL19" s="230"/>
      <c r="EM19" s="229"/>
      <c r="EN19" s="222"/>
      <c r="EO19" s="222"/>
      <c r="EP19" s="222"/>
      <c r="EQ19" s="231"/>
      <c r="ER19" s="213"/>
      <c r="ES19" s="220"/>
      <c r="ET19" s="220"/>
      <c r="EU19" s="220"/>
      <c r="EV19" s="220"/>
      <c r="EW19" s="220"/>
      <c r="EX19" s="220"/>
      <c r="EY19" s="220"/>
      <c r="EZ19" s="220"/>
      <c r="FA19" s="220"/>
      <c r="FB19" s="222"/>
      <c r="FC19" s="222"/>
      <c r="FD19" s="222"/>
      <c r="FE19" s="220"/>
      <c r="FF19" s="220"/>
      <c r="FG19" s="222"/>
      <c r="FH19" s="220"/>
      <c r="FI19" s="220"/>
      <c r="FJ19" s="220"/>
      <c r="FK19" s="220"/>
      <c r="FL19" s="215"/>
      <c r="FM19" s="172" t="s">
        <v>203</v>
      </c>
      <c r="FN19" s="224" t="s">
        <v>202</v>
      </c>
      <c r="FO19" s="224" t="s">
        <v>231</v>
      </c>
      <c r="FP19" s="172" t="s">
        <v>203</v>
      </c>
      <c r="FQ19" s="172" t="s">
        <v>183</v>
      </c>
      <c r="FR19" s="213" t="s">
        <v>184</v>
      </c>
      <c r="FS19" s="223"/>
      <c r="FT19" s="223"/>
      <c r="FU19" s="223"/>
    </row>
    <row r="20" spans="1:177" s="13" customFormat="1" ht="144">
      <c r="A20" s="63" t="s">
        <v>283</v>
      </c>
      <c r="B20" s="48" t="s">
        <v>205</v>
      </c>
      <c r="C20" s="64" t="s">
        <v>206</v>
      </c>
      <c r="D20" s="225" t="s">
        <v>207</v>
      </c>
      <c r="E20" s="226" t="s">
        <v>208</v>
      </c>
      <c r="F20" s="227">
        <f t="shared" si="66"/>
        <v>15</v>
      </c>
      <c r="G20" s="65" t="s">
        <v>241</v>
      </c>
      <c r="H20" s="65" t="s">
        <v>210</v>
      </c>
      <c r="I20" s="65" t="s">
        <v>284</v>
      </c>
      <c r="J20" s="48">
        <v>2028</v>
      </c>
      <c r="K20" s="48">
        <v>2030</v>
      </c>
      <c r="L20" s="48" t="s">
        <v>172</v>
      </c>
      <c r="M20" s="48" t="s">
        <v>173</v>
      </c>
      <c r="N20" s="63" t="s">
        <v>174</v>
      </c>
      <c r="O20" s="63" t="s">
        <v>259</v>
      </c>
      <c r="P20" s="63" t="s">
        <v>212</v>
      </c>
      <c r="Q20" s="63" t="s">
        <v>199</v>
      </c>
      <c r="R20" s="63" t="s">
        <v>229</v>
      </c>
      <c r="S20" s="63" t="str">
        <f t="shared" si="0"/>
        <v>Not Started</v>
      </c>
      <c r="T20" s="63" t="str">
        <f t="shared" si="1"/>
        <v>Not Started</v>
      </c>
      <c r="U20" s="63" t="str">
        <f t="shared" si="2"/>
        <v>Rizky Arga</v>
      </c>
      <c r="V20" s="67">
        <f t="shared" si="3"/>
        <v>0</v>
      </c>
      <c r="W20" s="66" t="s">
        <v>239</v>
      </c>
      <c r="X20" s="59">
        <f t="shared" si="4"/>
        <v>47848</v>
      </c>
      <c r="Y20" s="228">
        <v>0</v>
      </c>
      <c r="Z20" s="63"/>
      <c r="AA20" s="42">
        <v>46753</v>
      </c>
      <c r="AB20" s="42">
        <v>46842</v>
      </c>
      <c r="AC20" s="42">
        <v>46844</v>
      </c>
      <c r="AD20" s="42">
        <v>46873</v>
      </c>
      <c r="AE20" s="42"/>
      <c r="AF20" s="245"/>
      <c r="AG20" s="42"/>
      <c r="AH20" s="42"/>
      <c r="AI20" s="42"/>
      <c r="AJ20" s="42"/>
      <c r="AK20" s="42">
        <v>46874</v>
      </c>
      <c r="AL20" s="42">
        <v>47483</v>
      </c>
      <c r="AM20" s="42"/>
      <c r="AN20" s="42"/>
      <c r="AO20" s="42"/>
      <c r="AP20" s="42"/>
      <c r="AQ20" s="42"/>
      <c r="AR20" s="42">
        <v>47848</v>
      </c>
      <c r="AS20" s="63" t="str">
        <f t="shared" si="5"/>
        <v>Not Started</v>
      </c>
      <c r="AT20" s="63" t="str">
        <f t="shared" si="6"/>
        <v>Not Started</v>
      </c>
      <c r="AU20" s="63" t="str">
        <f t="shared" si="7"/>
        <v>Not Started</v>
      </c>
      <c r="AV20" s="63" t="str">
        <f t="shared" si="8"/>
        <v>Not Started</v>
      </c>
      <c r="AW20" s="63" t="str">
        <f t="shared" si="9"/>
        <v>Not Started</v>
      </c>
      <c r="AX20" s="63" t="str">
        <f t="shared" si="10"/>
        <v>Not Started</v>
      </c>
      <c r="AY20" s="63" t="str">
        <f t="shared" si="11"/>
        <v>Not Started</v>
      </c>
      <c r="AZ20" s="63" t="str">
        <f t="shared" si="12"/>
        <v>Not Started</v>
      </c>
      <c r="BA20" s="63" t="str">
        <f t="shared" si="13"/>
        <v>Not Started</v>
      </c>
      <c r="BB20" s="63" t="str">
        <f t="shared" si="14"/>
        <v>Not Started</v>
      </c>
      <c r="BC20" s="63" t="str">
        <f t="shared" si="15"/>
        <v>Not Started</v>
      </c>
      <c r="BD20" s="63" t="str">
        <f t="shared" si="16"/>
        <v>Not Started</v>
      </c>
      <c r="BE20" s="219">
        <v>0</v>
      </c>
      <c r="BF20" s="219">
        <v>0</v>
      </c>
      <c r="BG20" s="219">
        <v>0</v>
      </c>
      <c r="BH20" s="219">
        <v>0</v>
      </c>
      <c r="BI20" s="219">
        <v>0</v>
      </c>
      <c r="BJ20" s="219">
        <v>0</v>
      </c>
      <c r="BK20" s="219">
        <v>0</v>
      </c>
      <c r="BL20" s="219">
        <v>0</v>
      </c>
      <c r="BM20" s="219">
        <v>0</v>
      </c>
      <c r="BN20" s="219">
        <v>0</v>
      </c>
      <c r="BO20" s="219">
        <v>0</v>
      </c>
      <c r="BP20" s="219">
        <v>0</v>
      </c>
      <c r="BQ20" s="63" t="str">
        <f t="shared" si="17"/>
        <v>Not Started</v>
      </c>
      <c r="BR20" s="63" t="str">
        <f t="shared" si="18"/>
        <v>Not Started</v>
      </c>
      <c r="BS20" s="63" t="str">
        <f t="shared" si="19"/>
        <v>Not Started</v>
      </c>
      <c r="BT20" s="63" t="str">
        <f t="shared" si="20"/>
        <v>Not Started</v>
      </c>
      <c r="BU20" s="63" t="str">
        <f t="shared" si="21"/>
        <v>Not Started</v>
      </c>
      <c r="BV20" s="63" t="str">
        <f t="shared" si="22"/>
        <v>Selesai Implementasi</v>
      </c>
      <c r="BW20" s="63" t="str">
        <f t="shared" si="23"/>
        <v>Not Started</v>
      </c>
      <c r="BX20" s="63" t="str">
        <f t="shared" si="24"/>
        <v>Not Started</v>
      </c>
      <c r="BY20" s="63" t="str">
        <f t="shared" si="25"/>
        <v>Not Started</v>
      </c>
      <c r="BZ20" s="63" t="str">
        <f t="shared" si="26"/>
        <v>Not Started</v>
      </c>
      <c r="CA20" s="63" t="str">
        <f t="shared" si="27"/>
        <v>Not Started</v>
      </c>
      <c r="CB20" s="63" t="str">
        <f t="shared" si="28"/>
        <v>Not Started</v>
      </c>
      <c r="CC20" s="44">
        <v>0</v>
      </c>
      <c r="CD20" s="44">
        <v>0</v>
      </c>
      <c r="CE20" s="44">
        <v>0</v>
      </c>
      <c r="CF20" s="44">
        <v>0</v>
      </c>
      <c r="CG20" s="44">
        <v>0</v>
      </c>
      <c r="CH20" s="242">
        <v>0.99999999999999989</v>
      </c>
      <c r="CI20" s="44">
        <v>0</v>
      </c>
      <c r="CJ20" s="44"/>
      <c r="CK20" s="44"/>
      <c r="CL20" s="44">
        <v>0</v>
      </c>
      <c r="CM20" s="44">
        <f t="shared" si="64"/>
        <v>0</v>
      </c>
      <c r="CN20" s="44">
        <f t="shared" si="64"/>
        <v>0</v>
      </c>
      <c r="CO20" s="45">
        <f t="shared" si="63"/>
        <v>1</v>
      </c>
      <c r="CP20" s="45">
        <f t="shared" si="65"/>
        <v>1</v>
      </c>
      <c r="CQ20" s="45">
        <f t="shared" si="29"/>
        <v>1</v>
      </c>
      <c r="CR20" s="45">
        <f t="shared" si="30"/>
        <v>1</v>
      </c>
      <c r="CS20" s="45">
        <f t="shared" si="31"/>
        <v>1</v>
      </c>
      <c r="CT20" s="45">
        <f t="shared" si="32"/>
        <v>1</v>
      </c>
      <c r="CU20" s="45">
        <f t="shared" si="33"/>
        <v>1</v>
      </c>
      <c r="CV20" s="45">
        <f t="shared" si="34"/>
        <v>1</v>
      </c>
      <c r="CW20" s="45">
        <f t="shared" si="35"/>
        <v>1</v>
      </c>
      <c r="CX20" s="45">
        <f t="shared" si="36"/>
        <v>1</v>
      </c>
      <c r="CY20" s="45">
        <f t="shared" si="37"/>
        <v>1</v>
      </c>
      <c r="CZ20" s="45"/>
      <c r="DA20" s="45" t="str">
        <f t="shared" si="38"/>
        <v>NS</v>
      </c>
      <c r="DB20" s="45" t="str">
        <f t="shared" si="39"/>
        <v>NS</v>
      </c>
      <c r="DC20" s="45" t="str">
        <f t="shared" si="40"/>
        <v>NS</v>
      </c>
      <c r="DD20" s="45" t="str">
        <f t="shared" si="41"/>
        <v>NS</v>
      </c>
      <c r="DE20" s="45" t="str">
        <f t="shared" si="42"/>
        <v>NS</v>
      </c>
      <c r="DF20" s="45" t="str">
        <f t="shared" si="43"/>
        <v>NS</v>
      </c>
      <c r="DG20" s="45" t="str">
        <f t="shared" si="44"/>
        <v>NS</v>
      </c>
      <c r="DH20" s="45" t="str">
        <f t="shared" si="45"/>
        <v>NS</v>
      </c>
      <c r="DI20" s="45" t="str">
        <f t="shared" si="46"/>
        <v>NS</v>
      </c>
      <c r="DJ20" s="45" t="str">
        <f t="shared" si="47"/>
        <v>NS</v>
      </c>
      <c r="DK20" s="45" t="str">
        <f t="shared" si="48"/>
        <v>NS</v>
      </c>
      <c r="DL20" s="45" t="str">
        <f t="shared" si="49"/>
        <v>NS</v>
      </c>
      <c r="DM20" s="45" t="e">
        <f t="shared" si="50"/>
        <v>#DIV/0!</v>
      </c>
      <c r="DN20" s="45" t="e">
        <f t="shared" si="51"/>
        <v>#DIV/0!</v>
      </c>
      <c r="DO20" s="45" t="e">
        <f t="shared" si="52"/>
        <v>#DIV/0!</v>
      </c>
      <c r="DP20" s="45" t="e">
        <f t="shared" si="53"/>
        <v>#DIV/0!</v>
      </c>
      <c r="DQ20" s="45" t="e">
        <f t="shared" si="54"/>
        <v>#DIV/0!</v>
      </c>
      <c r="DR20" s="45" t="e">
        <f t="shared" si="55"/>
        <v>#DIV/0!</v>
      </c>
      <c r="DS20" s="45" t="e">
        <f t="shared" si="56"/>
        <v>#DIV/0!</v>
      </c>
      <c r="DT20" s="45" t="e">
        <f t="shared" si="57"/>
        <v>#DIV/0!</v>
      </c>
      <c r="DU20" s="45" t="e">
        <f t="shared" si="58"/>
        <v>#DIV/0!</v>
      </c>
      <c r="DV20" s="45" t="e">
        <f t="shared" si="59"/>
        <v>#DIV/0!</v>
      </c>
      <c r="DW20" s="45" t="e">
        <f t="shared" si="60"/>
        <v>#DIV/0!</v>
      </c>
      <c r="DX20" s="45" t="e">
        <f t="shared" si="61"/>
        <v>#DIV/0!</v>
      </c>
      <c r="DY20" s="41"/>
      <c r="DZ20" s="181"/>
      <c r="EA20" s="41"/>
      <c r="EB20" s="41"/>
      <c r="EC20" s="41"/>
      <c r="ED20" s="41"/>
      <c r="EE20" s="41"/>
      <c r="EF20" s="41"/>
      <c r="EG20" s="181"/>
      <c r="EH20" s="47"/>
      <c r="EI20" s="222"/>
      <c r="EJ20" s="59">
        <f t="shared" si="62"/>
        <v>47848</v>
      </c>
      <c r="EK20" s="229"/>
      <c r="EL20" s="230"/>
      <c r="EM20" s="229"/>
      <c r="EN20" s="222"/>
      <c r="EO20" s="222"/>
      <c r="EP20" s="222"/>
      <c r="EQ20" s="231"/>
      <c r="ER20" s="213"/>
      <c r="ES20" s="220"/>
      <c r="ET20" s="220"/>
      <c r="EU20" s="220"/>
      <c r="EV20" s="220"/>
      <c r="EW20" s="220"/>
      <c r="EX20" s="220"/>
      <c r="EY20" s="220"/>
      <c r="EZ20" s="220"/>
      <c r="FA20" s="220"/>
      <c r="FB20" s="222"/>
      <c r="FC20" s="222"/>
      <c r="FD20" s="222"/>
      <c r="FE20" s="220"/>
      <c r="FF20" s="220"/>
      <c r="FG20" s="222"/>
      <c r="FH20" s="220"/>
      <c r="FI20" s="220"/>
      <c r="FJ20" s="220"/>
      <c r="FK20" s="220"/>
      <c r="FL20" s="215"/>
      <c r="FM20" s="172" t="s">
        <v>203</v>
      </c>
      <c r="FN20" s="224" t="s">
        <v>202</v>
      </c>
      <c r="FO20" s="224" t="s">
        <v>231</v>
      </c>
      <c r="FP20" s="172" t="s">
        <v>203</v>
      </c>
      <c r="FQ20" s="172" t="s">
        <v>183</v>
      </c>
      <c r="FR20" s="213" t="s">
        <v>184</v>
      </c>
      <c r="FS20" s="223"/>
      <c r="FT20" s="223"/>
      <c r="FU20" s="223"/>
    </row>
    <row r="21" spans="1:177" s="13" customFormat="1" ht="80">
      <c r="A21" s="48"/>
      <c r="B21" s="48" t="s">
        <v>166</v>
      </c>
      <c r="C21" s="64" t="s">
        <v>167</v>
      </c>
      <c r="D21" s="48"/>
      <c r="E21" s="226" t="s">
        <v>285</v>
      </c>
      <c r="F21" s="48">
        <v>6</v>
      </c>
      <c r="G21" s="213" t="s">
        <v>286</v>
      </c>
      <c r="H21" s="213" t="s">
        <v>286</v>
      </c>
      <c r="I21" s="213" t="s">
        <v>287</v>
      </c>
      <c r="J21" s="48">
        <v>2026</v>
      </c>
      <c r="K21" s="48">
        <v>2028</v>
      </c>
      <c r="L21" s="48" t="s">
        <v>288</v>
      </c>
      <c r="M21" s="48" t="s">
        <v>173</v>
      </c>
      <c r="N21" s="48" t="s">
        <v>174</v>
      </c>
      <c r="O21" s="63" t="s">
        <v>289</v>
      </c>
      <c r="P21" s="48" t="s">
        <v>0</v>
      </c>
      <c r="Q21" s="214" t="s">
        <v>213</v>
      </c>
      <c r="R21" s="63" t="s">
        <v>214</v>
      </c>
      <c r="S21" s="63" t="str">
        <f t="shared" si="0"/>
        <v>Not Started</v>
      </c>
      <c r="T21" s="63" t="str">
        <f t="shared" si="1"/>
        <v>Not Started</v>
      </c>
      <c r="U21" s="63" t="str">
        <f t="shared" si="2"/>
        <v>Rifanda Yulio</v>
      </c>
      <c r="V21" s="67">
        <f t="shared" si="3"/>
        <v>0</v>
      </c>
      <c r="W21" s="59" t="s">
        <v>263</v>
      </c>
      <c r="X21" s="59">
        <f t="shared" si="4"/>
        <v>47118</v>
      </c>
      <c r="Y21" s="215"/>
      <c r="Z21" s="48" t="s">
        <v>179</v>
      </c>
      <c r="AA21" s="246">
        <v>46296</v>
      </c>
      <c r="AB21" s="218">
        <v>46477</v>
      </c>
      <c r="AC21" s="218">
        <v>46478</v>
      </c>
      <c r="AD21" s="218">
        <v>46507</v>
      </c>
      <c r="AE21" s="218">
        <v>46478</v>
      </c>
      <c r="AF21" s="218">
        <v>46507</v>
      </c>
      <c r="AG21" s="218">
        <v>46508</v>
      </c>
      <c r="AH21" s="218">
        <v>46691</v>
      </c>
      <c r="AI21" s="218">
        <v>46692</v>
      </c>
      <c r="AJ21" s="218">
        <v>46752</v>
      </c>
      <c r="AK21" s="218">
        <v>46753</v>
      </c>
      <c r="AL21" s="218">
        <v>46934</v>
      </c>
      <c r="AM21" s="218">
        <v>46935</v>
      </c>
      <c r="AN21" s="218">
        <v>46996</v>
      </c>
      <c r="AO21" s="218">
        <v>46997</v>
      </c>
      <c r="AP21" s="218">
        <v>47087</v>
      </c>
      <c r="AQ21" s="218">
        <v>47088</v>
      </c>
      <c r="AR21" s="218">
        <v>47118</v>
      </c>
      <c r="AS21" s="63" t="str">
        <f t="shared" si="5"/>
        <v>Not Started</v>
      </c>
      <c r="AT21" s="63" t="str">
        <f t="shared" si="6"/>
        <v>Not Started</v>
      </c>
      <c r="AU21" s="63" t="str">
        <f t="shared" si="7"/>
        <v>Not Started</v>
      </c>
      <c r="AV21" s="63" t="str">
        <f t="shared" si="8"/>
        <v>Not Started</v>
      </c>
      <c r="AW21" s="63" t="str">
        <f t="shared" si="9"/>
        <v>Not Started</v>
      </c>
      <c r="AX21" s="63" t="str">
        <f t="shared" si="10"/>
        <v>Not Started</v>
      </c>
      <c r="AY21" s="63" t="str">
        <f t="shared" si="11"/>
        <v>Not Started</v>
      </c>
      <c r="AZ21" s="63" t="str">
        <f t="shared" si="12"/>
        <v>Not Started</v>
      </c>
      <c r="BA21" s="63" t="str">
        <f t="shared" si="13"/>
        <v>Not Started</v>
      </c>
      <c r="BB21" s="63" t="str">
        <f t="shared" si="14"/>
        <v>Proses RBT-RBB</v>
      </c>
      <c r="BC21" s="63" t="str">
        <f t="shared" si="15"/>
        <v>Proses RBT-RBL</v>
      </c>
      <c r="BD21" s="63" t="str">
        <f t="shared" si="16"/>
        <v>Proses RBT-RBL</v>
      </c>
      <c r="BE21" s="43">
        <v>0</v>
      </c>
      <c r="BF21" s="43">
        <v>0</v>
      </c>
      <c r="BG21" s="43">
        <v>0</v>
      </c>
      <c r="BH21" s="43">
        <v>0</v>
      </c>
      <c r="BI21" s="43">
        <v>0</v>
      </c>
      <c r="BJ21" s="43">
        <v>0</v>
      </c>
      <c r="BK21" s="43">
        <v>0</v>
      </c>
      <c r="BL21" s="43">
        <v>0</v>
      </c>
      <c r="BM21" s="43">
        <v>0</v>
      </c>
      <c r="BN21" s="219">
        <v>0.03</v>
      </c>
      <c r="BO21" s="219">
        <v>0.06</v>
      </c>
      <c r="BP21" s="219">
        <v>0.09</v>
      </c>
      <c r="BQ21" s="63" t="str">
        <f t="shared" si="17"/>
        <v>Not Started</v>
      </c>
      <c r="BR21" s="63" t="str">
        <f t="shared" si="18"/>
        <v>Not Started</v>
      </c>
      <c r="BS21" s="63" t="str">
        <f t="shared" si="19"/>
        <v>Not Started</v>
      </c>
      <c r="BT21" s="63" t="str">
        <f t="shared" si="20"/>
        <v>Not Started</v>
      </c>
      <c r="BU21" s="63" t="str">
        <f t="shared" si="21"/>
        <v>Not Started</v>
      </c>
      <c r="BV21" s="63" t="str">
        <f t="shared" si="22"/>
        <v>Not Started</v>
      </c>
      <c r="BW21" s="63" t="str">
        <f t="shared" si="23"/>
        <v>Not Started</v>
      </c>
      <c r="BX21" s="63" t="str">
        <f t="shared" si="24"/>
        <v>Not Started</v>
      </c>
      <c r="BY21" s="63" t="str">
        <f t="shared" si="25"/>
        <v>Not Started</v>
      </c>
      <c r="BZ21" s="63" t="str">
        <f t="shared" si="26"/>
        <v>Not Started</v>
      </c>
      <c r="CA21" s="63" t="str">
        <f t="shared" si="27"/>
        <v>Not Started</v>
      </c>
      <c r="CB21" s="63" t="str">
        <f t="shared" si="28"/>
        <v>Not Started</v>
      </c>
      <c r="CC21" s="44">
        <f t="shared" ref="CC21:CC28" si="67">(($DY21/100%)*15%)+(($DZ21/100%)*5%)+(($EA21/100%)*5%)+(($EB21/100%)*5%)+(($EC21/100%)*15%)+(($ED21/100%)*35%)+(($EE21/100%)*7.5%)+(($EF21/100%)*7.5%)+(($EG21/100%)*5%)</f>
        <v>0</v>
      </c>
      <c r="CD21" s="48"/>
      <c r="CE21" s="220"/>
      <c r="CF21" s="220"/>
      <c r="CG21" s="220"/>
      <c r="CH21" s="220"/>
      <c r="CI21" s="220"/>
      <c r="CJ21" s="220"/>
      <c r="CK21" s="220"/>
      <c r="CL21" s="44"/>
      <c r="CM21" s="44"/>
      <c r="CN21" s="44"/>
      <c r="CO21" s="45">
        <f t="shared" si="63"/>
        <v>1</v>
      </c>
      <c r="CP21" s="45">
        <f t="shared" si="65"/>
        <v>1</v>
      </c>
      <c r="CQ21" s="45">
        <f t="shared" si="29"/>
        <v>1</v>
      </c>
      <c r="CR21" s="45">
        <f t="shared" si="30"/>
        <v>1</v>
      </c>
      <c r="CS21" s="45">
        <f t="shared" si="31"/>
        <v>1</v>
      </c>
      <c r="CT21" s="45">
        <f t="shared" si="32"/>
        <v>1</v>
      </c>
      <c r="CU21" s="45">
        <f t="shared" si="33"/>
        <v>1</v>
      </c>
      <c r="CV21" s="45">
        <f t="shared" si="34"/>
        <v>1</v>
      </c>
      <c r="CW21" s="45">
        <f t="shared" si="35"/>
        <v>1</v>
      </c>
      <c r="CX21" s="45">
        <f t="shared" si="36"/>
        <v>0</v>
      </c>
      <c r="CY21" s="45">
        <f t="shared" si="37"/>
        <v>0</v>
      </c>
      <c r="CZ21" s="220"/>
      <c r="DA21" s="45" t="str">
        <f t="shared" si="38"/>
        <v>NS</v>
      </c>
      <c r="DB21" s="45" t="str">
        <f t="shared" si="39"/>
        <v>NS</v>
      </c>
      <c r="DC21" s="45" t="str">
        <f t="shared" si="40"/>
        <v>NS</v>
      </c>
      <c r="DD21" s="45" t="str">
        <f t="shared" si="41"/>
        <v>NS</v>
      </c>
      <c r="DE21" s="45" t="str">
        <f t="shared" si="42"/>
        <v>NS</v>
      </c>
      <c r="DF21" s="45" t="str">
        <f t="shared" si="43"/>
        <v>NS</v>
      </c>
      <c r="DG21" s="45" t="str">
        <f t="shared" si="44"/>
        <v>NS</v>
      </c>
      <c r="DH21" s="45" t="str">
        <f t="shared" si="45"/>
        <v>NS</v>
      </c>
      <c r="DI21" s="45" t="str">
        <f t="shared" si="46"/>
        <v>NS</v>
      </c>
      <c r="DJ21" s="45" t="str">
        <f t="shared" si="47"/>
        <v>BS</v>
      </c>
      <c r="DK21" s="45" t="str">
        <f t="shared" si="48"/>
        <v>BS</v>
      </c>
      <c r="DL21" s="45" t="str">
        <f t="shared" si="49"/>
        <v>BS</v>
      </c>
      <c r="DM21" s="45">
        <f t="shared" si="50"/>
        <v>0</v>
      </c>
      <c r="DN21" s="45">
        <f t="shared" si="51"/>
        <v>0</v>
      </c>
      <c r="DO21" s="45">
        <f t="shared" si="52"/>
        <v>0</v>
      </c>
      <c r="DP21" s="45">
        <f t="shared" si="53"/>
        <v>0</v>
      </c>
      <c r="DQ21" s="45">
        <f t="shared" si="54"/>
        <v>0</v>
      </c>
      <c r="DR21" s="45">
        <f t="shared" si="55"/>
        <v>0</v>
      </c>
      <c r="DS21" s="45">
        <f t="shared" si="56"/>
        <v>0</v>
      </c>
      <c r="DT21" s="45">
        <f t="shared" si="57"/>
        <v>0</v>
      </c>
      <c r="DU21" s="45">
        <f t="shared" si="58"/>
        <v>0</v>
      </c>
      <c r="DV21" s="45">
        <f t="shared" si="59"/>
        <v>0</v>
      </c>
      <c r="DW21" s="45">
        <f t="shared" si="60"/>
        <v>0</v>
      </c>
      <c r="DX21" s="45">
        <f t="shared" si="61"/>
        <v>0</v>
      </c>
      <c r="DY21" s="61"/>
      <c r="DZ21" s="61"/>
      <c r="EA21" s="61"/>
      <c r="EB21" s="61"/>
      <c r="EC21" s="61"/>
      <c r="ED21" s="61"/>
      <c r="EE21" s="61"/>
      <c r="EF21" s="54"/>
      <c r="EG21" s="54"/>
      <c r="EH21" s="47"/>
      <c r="EI21" s="222"/>
      <c r="EJ21" s="59">
        <f t="shared" si="62"/>
        <v>47118</v>
      </c>
      <c r="EK21" s="63"/>
      <c r="EL21" s="63"/>
      <c r="EM21" s="63"/>
      <c r="EN21" s="222"/>
      <c r="EO21" s="222"/>
      <c r="EP21" s="220"/>
      <c r="EQ21" s="222"/>
      <c r="ER21" s="223"/>
      <c r="ES21" s="220"/>
      <c r="ET21" s="222"/>
      <c r="EU21" s="222"/>
      <c r="EV21" s="220"/>
      <c r="EW21" s="220"/>
      <c r="EX21" s="220"/>
      <c r="EY21" s="220"/>
      <c r="EZ21" s="220"/>
      <c r="FA21" s="222"/>
      <c r="FB21" s="220"/>
      <c r="FC21" s="222"/>
      <c r="FD21" s="220"/>
      <c r="FE21" s="220"/>
      <c r="FF21" s="222"/>
      <c r="FG21" s="222"/>
      <c r="FH21" s="220"/>
      <c r="FI21" s="220"/>
      <c r="FJ21" s="220"/>
      <c r="FK21" s="220"/>
      <c r="FL21" s="220"/>
      <c r="FM21" s="172"/>
      <c r="FN21" s="172" t="s">
        <v>220</v>
      </c>
      <c r="FO21" s="172" t="s">
        <v>181</v>
      </c>
      <c r="FP21" s="172"/>
      <c r="FQ21" s="172" t="s">
        <v>290</v>
      </c>
      <c r="FR21" s="223"/>
      <c r="FS21" s="223"/>
      <c r="FT21" s="223"/>
      <c r="FU21" s="48"/>
    </row>
    <row r="22" spans="1:177" s="13" customFormat="1" ht="96">
      <c r="A22" s="48"/>
      <c r="B22" s="48"/>
      <c r="C22" s="64" t="s">
        <v>291</v>
      </c>
      <c r="D22" s="48"/>
      <c r="E22" s="48" t="s">
        <v>292</v>
      </c>
      <c r="F22" s="48">
        <v>3</v>
      </c>
      <c r="G22" s="213" t="s">
        <v>293</v>
      </c>
      <c r="H22" s="213" t="s">
        <v>294</v>
      </c>
      <c r="I22" s="213" t="s">
        <v>295</v>
      </c>
      <c r="J22" s="48">
        <v>2026</v>
      </c>
      <c r="K22" s="48">
        <v>2027</v>
      </c>
      <c r="L22" s="48" t="s">
        <v>288</v>
      </c>
      <c r="M22" s="48" t="s">
        <v>173</v>
      </c>
      <c r="N22" s="48" t="s">
        <v>174</v>
      </c>
      <c r="O22" s="63" t="s">
        <v>1491</v>
      </c>
      <c r="P22" s="48" t="s">
        <v>296</v>
      </c>
      <c r="Q22" s="63" t="s">
        <v>297</v>
      </c>
      <c r="R22" s="63" t="s">
        <v>298</v>
      </c>
      <c r="S22" s="63" t="str">
        <f t="shared" si="0"/>
        <v>Proses RBT-RBTD</v>
      </c>
      <c r="T22" s="63" t="str">
        <f t="shared" si="1"/>
        <v>On Progress</v>
      </c>
      <c r="U22" s="63" t="str">
        <f t="shared" si="2"/>
        <v>Pahman Hasibuan</v>
      </c>
      <c r="V22" s="67">
        <f t="shared" si="3"/>
        <v>0.12</v>
      </c>
      <c r="W22" s="59" t="s">
        <v>260</v>
      </c>
      <c r="X22" s="59">
        <f t="shared" si="4"/>
        <v>46477</v>
      </c>
      <c r="Y22" s="215"/>
      <c r="Z22" s="48" t="s">
        <v>179</v>
      </c>
      <c r="AA22" s="246">
        <v>46023</v>
      </c>
      <c r="AB22" s="218">
        <v>46112</v>
      </c>
      <c r="AC22" s="218">
        <v>46113</v>
      </c>
      <c r="AD22" s="218">
        <v>46142</v>
      </c>
      <c r="AE22" s="218">
        <v>46113</v>
      </c>
      <c r="AF22" s="218">
        <v>46142</v>
      </c>
      <c r="AG22" s="218">
        <v>46143</v>
      </c>
      <c r="AH22" s="218">
        <v>46203</v>
      </c>
      <c r="AI22" s="218">
        <v>46204</v>
      </c>
      <c r="AJ22" s="218">
        <v>46234</v>
      </c>
      <c r="AK22" s="218">
        <v>46235</v>
      </c>
      <c r="AL22" s="218">
        <v>46387</v>
      </c>
      <c r="AM22" s="218">
        <v>46388</v>
      </c>
      <c r="AN22" s="218">
        <v>46418</v>
      </c>
      <c r="AO22" s="218">
        <v>46419</v>
      </c>
      <c r="AP22" s="218">
        <v>46446</v>
      </c>
      <c r="AQ22" s="218">
        <v>46447</v>
      </c>
      <c r="AR22" s="218">
        <v>46477</v>
      </c>
      <c r="AS22" s="63" t="str">
        <f t="shared" si="5"/>
        <v>Selesai RBT-RBB</v>
      </c>
      <c r="AT22" s="63" t="str">
        <f t="shared" si="6"/>
        <v>Selesai RBT-RBL</v>
      </c>
      <c r="AU22" s="63" t="str">
        <f t="shared" si="7"/>
        <v>Selesai RBT-RBTD</v>
      </c>
      <c r="AV22" s="63" t="str">
        <f t="shared" si="8"/>
        <v>Selesai KAK</v>
      </c>
      <c r="AW22" s="63" t="str">
        <f t="shared" si="9"/>
        <v>Proses Pengadaan</v>
      </c>
      <c r="AX22" s="63" t="str">
        <f t="shared" si="10"/>
        <v>Selesai Pengadaan</v>
      </c>
      <c r="AY22" s="63" t="str">
        <f t="shared" si="11"/>
        <v>Selesai Desain</v>
      </c>
      <c r="AZ22" s="63" t="str">
        <f t="shared" si="12"/>
        <v>Proses Pengembangan</v>
      </c>
      <c r="BA22" s="63" t="str">
        <f t="shared" si="13"/>
        <v>Proses Pengembangan</v>
      </c>
      <c r="BB22" s="63" t="str">
        <f t="shared" si="14"/>
        <v>Proses Pengembangan</v>
      </c>
      <c r="BC22" s="63" t="str">
        <f t="shared" si="15"/>
        <v>Proses Pengembangan</v>
      </c>
      <c r="BD22" s="63" t="str">
        <f t="shared" si="16"/>
        <v>Selesai Pengembangan</v>
      </c>
      <c r="BE22" s="43">
        <v>0.05</v>
      </c>
      <c r="BF22" s="43">
        <v>0.1</v>
      </c>
      <c r="BG22" s="43">
        <v>0.15</v>
      </c>
      <c r="BH22" s="219">
        <v>0.25</v>
      </c>
      <c r="BI22" s="219">
        <v>0.27500000000000002</v>
      </c>
      <c r="BJ22" s="219">
        <v>0.3</v>
      </c>
      <c r="BK22" s="219">
        <v>0.45</v>
      </c>
      <c r="BL22" s="219">
        <v>0.52</v>
      </c>
      <c r="BM22" s="219">
        <v>0.59</v>
      </c>
      <c r="BN22" s="219">
        <v>0.66</v>
      </c>
      <c r="BO22" s="219">
        <v>0.73</v>
      </c>
      <c r="BP22" s="219">
        <v>0.8</v>
      </c>
      <c r="BQ22" s="63" t="str">
        <f t="shared" si="17"/>
        <v>Proses RBT-RBTD</v>
      </c>
      <c r="BR22" s="63" t="str">
        <f t="shared" si="18"/>
        <v>Not Started</v>
      </c>
      <c r="BS22" s="63" t="str">
        <f t="shared" si="19"/>
        <v>Not Started</v>
      </c>
      <c r="BT22" s="63" t="str">
        <f t="shared" si="20"/>
        <v>Not Started</v>
      </c>
      <c r="BU22" s="63" t="str">
        <f t="shared" si="21"/>
        <v>Not Started</v>
      </c>
      <c r="BV22" s="63" t="str">
        <f t="shared" si="22"/>
        <v>Not Started</v>
      </c>
      <c r="BW22" s="63" t="str">
        <f t="shared" si="23"/>
        <v>Not Started</v>
      </c>
      <c r="BX22" s="63" t="str">
        <f t="shared" si="24"/>
        <v>Not Started</v>
      </c>
      <c r="BY22" s="63" t="str">
        <f t="shared" si="25"/>
        <v>Not Started</v>
      </c>
      <c r="BZ22" s="63" t="str">
        <f t="shared" si="26"/>
        <v>Not Started</v>
      </c>
      <c r="CA22" s="63" t="str">
        <f t="shared" si="27"/>
        <v>Not Started</v>
      </c>
      <c r="CB22" s="63" t="str">
        <f t="shared" si="28"/>
        <v>Not Started</v>
      </c>
      <c r="CC22" s="44">
        <f t="shared" si="67"/>
        <v>0.12</v>
      </c>
      <c r="CD22" s="48"/>
      <c r="CE22" s="220"/>
      <c r="CF22" s="220"/>
      <c r="CG22" s="220"/>
      <c r="CH22" s="220"/>
      <c r="CI22" s="220"/>
      <c r="CJ22" s="220"/>
      <c r="CK22" s="220"/>
      <c r="CL22" s="44"/>
      <c r="CM22" s="44"/>
      <c r="CN22" s="44"/>
      <c r="CO22" s="45">
        <f t="shared" si="63"/>
        <v>2.4</v>
      </c>
      <c r="CP22" s="45">
        <f t="shared" si="65"/>
        <v>0</v>
      </c>
      <c r="CQ22" s="45">
        <f t="shared" si="29"/>
        <v>0</v>
      </c>
      <c r="CR22" s="45">
        <f t="shared" si="30"/>
        <v>0</v>
      </c>
      <c r="CS22" s="45">
        <f t="shared" si="31"/>
        <v>0</v>
      </c>
      <c r="CT22" s="45">
        <f t="shared" si="32"/>
        <v>0</v>
      </c>
      <c r="CU22" s="45">
        <f t="shared" si="33"/>
        <v>0</v>
      </c>
      <c r="CV22" s="45">
        <f t="shared" si="34"/>
        <v>0</v>
      </c>
      <c r="CW22" s="45">
        <f t="shared" si="35"/>
        <v>0</v>
      </c>
      <c r="CX22" s="45">
        <f t="shared" si="36"/>
        <v>0</v>
      </c>
      <c r="CY22" s="45">
        <f t="shared" si="37"/>
        <v>0</v>
      </c>
      <c r="CZ22" s="220"/>
      <c r="DA22" s="45" t="str">
        <f t="shared" si="38"/>
        <v>AS</v>
      </c>
      <c r="DB22" s="45" t="str">
        <f t="shared" si="39"/>
        <v>BS</v>
      </c>
      <c r="DC22" s="45" t="str">
        <f t="shared" si="40"/>
        <v>BS</v>
      </c>
      <c r="DD22" s="45" t="str">
        <f t="shared" si="41"/>
        <v>BS</v>
      </c>
      <c r="DE22" s="45" t="str">
        <f t="shared" si="42"/>
        <v>BS</v>
      </c>
      <c r="DF22" s="45" t="str">
        <f t="shared" si="43"/>
        <v>BS</v>
      </c>
      <c r="DG22" s="45" t="str">
        <f t="shared" si="44"/>
        <v>BS</v>
      </c>
      <c r="DH22" s="45" t="str">
        <f t="shared" si="45"/>
        <v>BS</v>
      </c>
      <c r="DI22" s="45" t="str">
        <f t="shared" si="46"/>
        <v>BS</v>
      </c>
      <c r="DJ22" s="45" t="str">
        <f t="shared" si="47"/>
        <v>BS</v>
      </c>
      <c r="DK22" s="45" t="str">
        <f t="shared" si="48"/>
        <v>BS</v>
      </c>
      <c r="DL22" s="45" t="str">
        <f t="shared" si="49"/>
        <v>BS</v>
      </c>
      <c r="DM22" s="45">
        <f t="shared" si="50"/>
        <v>0.15</v>
      </c>
      <c r="DN22" s="45">
        <f t="shared" si="51"/>
        <v>0</v>
      </c>
      <c r="DO22" s="45">
        <f t="shared" si="52"/>
        <v>0</v>
      </c>
      <c r="DP22" s="45">
        <f t="shared" si="53"/>
        <v>0</v>
      </c>
      <c r="DQ22" s="45">
        <f t="shared" si="54"/>
        <v>0</v>
      </c>
      <c r="DR22" s="45">
        <f t="shared" si="55"/>
        <v>0</v>
      </c>
      <c r="DS22" s="45">
        <f t="shared" si="56"/>
        <v>0</v>
      </c>
      <c r="DT22" s="45">
        <f t="shared" si="57"/>
        <v>0</v>
      </c>
      <c r="DU22" s="45">
        <f t="shared" si="58"/>
        <v>0</v>
      </c>
      <c r="DV22" s="45">
        <f t="shared" si="59"/>
        <v>0</v>
      </c>
      <c r="DW22" s="45">
        <f t="shared" si="60"/>
        <v>0</v>
      </c>
      <c r="DX22" s="45">
        <f t="shared" si="61"/>
        <v>0</v>
      </c>
      <c r="DY22" s="575">
        <v>0.8</v>
      </c>
      <c r="DZ22" s="74">
        <v>0</v>
      </c>
      <c r="EA22" s="180">
        <v>0</v>
      </c>
      <c r="EB22" s="73">
        <v>0</v>
      </c>
      <c r="EC22" s="74">
        <v>0</v>
      </c>
      <c r="ED22" s="74">
        <v>0</v>
      </c>
      <c r="EE22" s="180">
        <v>0</v>
      </c>
      <c r="EF22" s="73">
        <v>0</v>
      </c>
      <c r="EG22" s="74">
        <v>0</v>
      </c>
      <c r="EH22" s="47" t="s">
        <v>1525</v>
      </c>
      <c r="EI22" s="222"/>
      <c r="EJ22" s="59">
        <f t="shared" si="62"/>
        <v>46477</v>
      </c>
      <c r="EK22" s="63"/>
      <c r="EL22" s="63"/>
      <c r="EM22" s="63"/>
      <c r="EN22" s="222"/>
      <c r="EO22" s="222"/>
      <c r="EP22" s="220"/>
      <c r="EQ22" s="222"/>
      <c r="ER22" s="223"/>
      <c r="ES22" s="220"/>
      <c r="ET22" s="222"/>
      <c r="EU22" s="222"/>
      <c r="EV22" s="220"/>
      <c r="EW22" s="220"/>
      <c r="EX22" s="220"/>
      <c r="EY22" s="220"/>
      <c r="EZ22" s="220"/>
      <c r="FA22" s="222"/>
      <c r="FB22" s="220"/>
      <c r="FC22" s="222"/>
      <c r="FD22" s="220"/>
      <c r="FE22" s="220"/>
      <c r="FF22" s="222"/>
      <c r="FG22" s="222"/>
      <c r="FH22" s="220"/>
      <c r="FI22" s="220"/>
      <c r="FJ22" s="220"/>
      <c r="FK22" s="220"/>
      <c r="FL22" s="220"/>
      <c r="FM22" s="172"/>
      <c r="FN22" s="172" t="s">
        <v>299</v>
      </c>
      <c r="FO22" s="224" t="s">
        <v>300</v>
      </c>
      <c r="FP22" s="172"/>
      <c r="FQ22" s="172" t="s">
        <v>301</v>
      </c>
      <c r="FR22" s="223"/>
      <c r="FS22" s="223"/>
      <c r="FT22" s="223"/>
      <c r="FU22" s="48"/>
    </row>
    <row r="23" spans="1:177" s="243" customFormat="1" ht="160">
      <c r="A23" s="48"/>
      <c r="B23" s="234" t="s">
        <v>302</v>
      </c>
      <c r="C23" s="64" t="s">
        <v>291</v>
      </c>
      <c r="D23" s="48"/>
      <c r="E23" s="48" t="s">
        <v>303</v>
      </c>
      <c r="F23" s="48">
        <v>4</v>
      </c>
      <c r="G23" s="213" t="s">
        <v>304</v>
      </c>
      <c r="H23" s="213" t="s">
        <v>305</v>
      </c>
      <c r="I23" s="213" t="s">
        <v>306</v>
      </c>
      <c r="J23" s="48">
        <v>2025</v>
      </c>
      <c r="K23" s="48">
        <v>2027</v>
      </c>
      <c r="L23" s="48" t="s">
        <v>288</v>
      </c>
      <c r="M23" s="48" t="s">
        <v>307</v>
      </c>
      <c r="N23" s="48" t="s">
        <v>308</v>
      </c>
      <c r="O23" s="63" t="s">
        <v>309</v>
      </c>
      <c r="P23" s="63" t="s">
        <v>212</v>
      </c>
      <c r="Q23" s="48" t="s">
        <v>297</v>
      </c>
      <c r="R23" s="48" t="s">
        <v>310</v>
      </c>
      <c r="S23" s="63" t="str">
        <f t="shared" si="0"/>
        <v>Proses RBT-RBTD</v>
      </c>
      <c r="T23" s="63" t="str">
        <f t="shared" si="1"/>
        <v>On Progress</v>
      </c>
      <c r="U23" s="63" t="str">
        <f t="shared" si="2"/>
        <v>Pahman Hasibuan</v>
      </c>
      <c r="V23" s="67">
        <f t="shared" si="3"/>
        <v>0.12</v>
      </c>
      <c r="W23" s="59" t="s">
        <v>260</v>
      </c>
      <c r="X23" s="59">
        <f t="shared" si="4"/>
        <v>46477</v>
      </c>
      <c r="Y23" s="215"/>
      <c r="Z23" s="48" t="s">
        <v>179</v>
      </c>
      <c r="AA23" s="246">
        <v>45839</v>
      </c>
      <c r="AB23" s="246">
        <v>46053</v>
      </c>
      <c r="AC23" s="218">
        <v>46023</v>
      </c>
      <c r="AD23" s="218">
        <v>46081</v>
      </c>
      <c r="AE23" s="218">
        <v>46082</v>
      </c>
      <c r="AF23" s="218">
        <v>46112</v>
      </c>
      <c r="AG23" s="218">
        <v>46113</v>
      </c>
      <c r="AH23" s="218">
        <v>37437</v>
      </c>
      <c r="AI23" s="218">
        <v>46204</v>
      </c>
      <c r="AJ23" s="218">
        <v>46234</v>
      </c>
      <c r="AK23" s="218">
        <v>46235</v>
      </c>
      <c r="AL23" s="218">
        <v>46387</v>
      </c>
      <c r="AM23" s="218">
        <v>46388</v>
      </c>
      <c r="AN23" s="218">
        <v>46418</v>
      </c>
      <c r="AO23" s="218">
        <v>46419</v>
      </c>
      <c r="AP23" s="218">
        <v>46446</v>
      </c>
      <c r="AQ23" s="218">
        <v>46447</v>
      </c>
      <c r="AR23" s="218">
        <v>46477</v>
      </c>
      <c r="AS23" s="63" t="str">
        <f t="shared" si="5"/>
        <v>Selesai RBT-RBTD</v>
      </c>
      <c r="AT23" s="63" t="str">
        <f t="shared" si="6"/>
        <v>Selesai RPP</v>
      </c>
      <c r="AU23" s="63" t="str">
        <f t="shared" si="7"/>
        <v>Selesai KAK</v>
      </c>
      <c r="AV23" s="63" t="str">
        <f t="shared" si="8"/>
        <v>Proses Pengadaan</v>
      </c>
      <c r="AW23" s="63" t="str">
        <f t="shared" si="9"/>
        <v>Proses Pengadaan</v>
      </c>
      <c r="AX23" s="63" t="str">
        <f t="shared" si="10"/>
        <v>Selesai Pengadaan</v>
      </c>
      <c r="AY23" s="63" t="str">
        <f t="shared" si="11"/>
        <v>Selesai Desain</v>
      </c>
      <c r="AZ23" s="63" t="str">
        <f t="shared" si="12"/>
        <v>Proses Pengembangan</v>
      </c>
      <c r="BA23" s="63" t="str">
        <f t="shared" si="13"/>
        <v>Proses Pengembangan</v>
      </c>
      <c r="BB23" s="63" t="str">
        <f t="shared" si="14"/>
        <v>Proses Pengembangan</v>
      </c>
      <c r="BC23" s="63" t="str">
        <f t="shared" si="15"/>
        <v>Proses Pengembangan</v>
      </c>
      <c r="BD23" s="63" t="str">
        <f t="shared" si="16"/>
        <v>Proses Pengembangan</v>
      </c>
      <c r="BE23" s="219">
        <v>0.15</v>
      </c>
      <c r="BF23" s="219">
        <v>0.2</v>
      </c>
      <c r="BG23" s="219">
        <v>0.25</v>
      </c>
      <c r="BH23" s="219">
        <v>0.26</v>
      </c>
      <c r="BI23" s="219">
        <v>0.28000000000000003</v>
      </c>
      <c r="BJ23" s="219">
        <v>0.3</v>
      </c>
      <c r="BK23" s="219">
        <v>0.45</v>
      </c>
      <c r="BL23" s="219">
        <v>0.51</v>
      </c>
      <c r="BM23" s="219">
        <v>0.56999999999999995</v>
      </c>
      <c r="BN23" s="219">
        <v>0.63</v>
      </c>
      <c r="BO23" s="219">
        <v>0.69</v>
      </c>
      <c r="BP23" s="219">
        <v>0.75</v>
      </c>
      <c r="BQ23" s="63" t="str">
        <f t="shared" si="17"/>
        <v>Proses RBT-RBTD</v>
      </c>
      <c r="BR23" s="63" t="str">
        <f t="shared" si="18"/>
        <v>Not Started</v>
      </c>
      <c r="BS23" s="63" t="str">
        <f t="shared" si="19"/>
        <v>Not Started</v>
      </c>
      <c r="BT23" s="63" t="str">
        <f t="shared" si="20"/>
        <v>Not Started</v>
      </c>
      <c r="BU23" s="63" t="str">
        <f t="shared" si="21"/>
        <v>Not Started</v>
      </c>
      <c r="BV23" s="63" t="str">
        <f t="shared" si="22"/>
        <v>Not Started</v>
      </c>
      <c r="BW23" s="63" t="str">
        <f t="shared" si="23"/>
        <v>Not Started</v>
      </c>
      <c r="BX23" s="63" t="str">
        <f t="shared" si="24"/>
        <v>Not Started</v>
      </c>
      <c r="BY23" s="63" t="str">
        <f t="shared" si="25"/>
        <v>Not Started</v>
      </c>
      <c r="BZ23" s="63" t="str">
        <f t="shared" si="26"/>
        <v>Not Started</v>
      </c>
      <c r="CA23" s="63" t="str">
        <f t="shared" si="27"/>
        <v>Not Started</v>
      </c>
      <c r="CB23" s="63" t="str">
        <f t="shared" si="28"/>
        <v>Not Started</v>
      </c>
      <c r="CC23" s="44">
        <f t="shared" si="67"/>
        <v>0.12</v>
      </c>
      <c r="CD23" s="48"/>
      <c r="CE23" s="220"/>
      <c r="CF23" s="220"/>
      <c r="CG23" s="220"/>
      <c r="CH23" s="220"/>
      <c r="CI23" s="220"/>
      <c r="CJ23" s="220"/>
      <c r="CK23" s="220"/>
      <c r="CL23" s="44"/>
      <c r="CM23" s="44"/>
      <c r="CN23" s="44"/>
      <c r="CO23" s="45">
        <f t="shared" si="63"/>
        <v>0.8</v>
      </c>
      <c r="CP23" s="45">
        <f t="shared" si="65"/>
        <v>0</v>
      </c>
      <c r="CQ23" s="45">
        <f t="shared" si="29"/>
        <v>0</v>
      </c>
      <c r="CR23" s="45">
        <f t="shared" si="30"/>
        <v>0</v>
      </c>
      <c r="CS23" s="45">
        <f t="shared" si="31"/>
        <v>0</v>
      </c>
      <c r="CT23" s="45">
        <f t="shared" si="32"/>
        <v>0</v>
      </c>
      <c r="CU23" s="45">
        <f t="shared" si="33"/>
        <v>0</v>
      </c>
      <c r="CV23" s="45">
        <f t="shared" si="34"/>
        <v>0</v>
      </c>
      <c r="CW23" s="45">
        <f t="shared" si="35"/>
        <v>0</v>
      </c>
      <c r="CX23" s="45">
        <f t="shared" si="36"/>
        <v>0</v>
      </c>
      <c r="CY23" s="45">
        <f t="shared" si="37"/>
        <v>0</v>
      </c>
      <c r="CZ23" s="220"/>
      <c r="DA23" s="45" t="str">
        <f t="shared" si="38"/>
        <v>AR</v>
      </c>
      <c r="DB23" s="45" t="str">
        <f t="shared" si="39"/>
        <v>BS</v>
      </c>
      <c r="DC23" s="45" t="str">
        <f t="shared" si="40"/>
        <v>BS</v>
      </c>
      <c r="DD23" s="45" t="str">
        <f t="shared" si="41"/>
        <v>BS</v>
      </c>
      <c r="DE23" s="45" t="str">
        <f t="shared" si="42"/>
        <v>BS</v>
      </c>
      <c r="DF23" s="45" t="str">
        <f t="shared" si="43"/>
        <v>BS</v>
      </c>
      <c r="DG23" s="45" t="str">
        <f t="shared" si="44"/>
        <v>BS</v>
      </c>
      <c r="DH23" s="45" t="str">
        <f t="shared" si="45"/>
        <v>BS</v>
      </c>
      <c r="DI23" s="45" t="str">
        <f t="shared" si="46"/>
        <v>BS</v>
      </c>
      <c r="DJ23" s="45" t="str">
        <f t="shared" si="47"/>
        <v>BS</v>
      </c>
      <c r="DK23" s="45" t="str">
        <f t="shared" si="48"/>
        <v>BS</v>
      </c>
      <c r="DL23" s="45" t="str">
        <f t="shared" si="49"/>
        <v>BS</v>
      </c>
      <c r="DM23" s="45">
        <f t="shared" si="50"/>
        <v>0.16</v>
      </c>
      <c r="DN23" s="45">
        <f t="shared" si="51"/>
        <v>0</v>
      </c>
      <c r="DO23" s="45">
        <f t="shared" si="52"/>
        <v>0</v>
      </c>
      <c r="DP23" s="45">
        <f t="shared" si="53"/>
        <v>0</v>
      </c>
      <c r="DQ23" s="45">
        <f t="shared" si="54"/>
        <v>0</v>
      </c>
      <c r="DR23" s="45">
        <f t="shared" si="55"/>
        <v>0</v>
      </c>
      <c r="DS23" s="45">
        <f t="shared" si="56"/>
        <v>0</v>
      </c>
      <c r="DT23" s="45">
        <f t="shared" si="57"/>
        <v>0</v>
      </c>
      <c r="DU23" s="45">
        <f t="shared" si="58"/>
        <v>0</v>
      </c>
      <c r="DV23" s="45">
        <f t="shared" si="59"/>
        <v>0</v>
      </c>
      <c r="DW23" s="45">
        <f t="shared" si="60"/>
        <v>0</v>
      </c>
      <c r="DX23" s="45">
        <f t="shared" si="61"/>
        <v>0</v>
      </c>
      <c r="DY23" s="46">
        <v>0.8</v>
      </c>
      <c r="DZ23" s="74">
        <v>0</v>
      </c>
      <c r="EA23" s="180">
        <v>0</v>
      </c>
      <c r="EB23" s="73">
        <v>0</v>
      </c>
      <c r="EC23" s="74">
        <v>0</v>
      </c>
      <c r="ED23" s="74">
        <v>0</v>
      </c>
      <c r="EE23" s="180">
        <v>0</v>
      </c>
      <c r="EF23" s="73">
        <v>0</v>
      </c>
      <c r="EG23" s="74">
        <v>0</v>
      </c>
      <c r="EH23" s="47" t="s">
        <v>1528</v>
      </c>
      <c r="EI23" s="222"/>
      <c r="EJ23" s="59">
        <f t="shared" si="62"/>
        <v>46477</v>
      </c>
      <c r="EK23" s="63"/>
      <c r="EL23" s="63"/>
      <c r="EM23" s="63"/>
      <c r="EN23" s="222"/>
      <c r="EO23" s="222"/>
      <c r="EP23" s="220"/>
      <c r="EQ23" s="222"/>
      <c r="ER23" s="223"/>
      <c r="ES23" s="220"/>
      <c r="ET23" s="222"/>
      <c r="EU23" s="222"/>
      <c r="EV23" s="220"/>
      <c r="EW23" s="220"/>
      <c r="EX23" s="220"/>
      <c r="EY23" s="220"/>
      <c r="EZ23" s="220"/>
      <c r="FA23" s="222"/>
      <c r="FB23" s="220"/>
      <c r="FC23" s="222"/>
      <c r="FD23" s="220"/>
      <c r="FE23" s="220"/>
      <c r="FF23" s="222"/>
      <c r="FG23" s="222"/>
      <c r="FH23" s="220"/>
      <c r="FI23" s="220"/>
      <c r="FJ23" s="220"/>
      <c r="FK23" s="220"/>
      <c r="FL23" s="220"/>
      <c r="FM23" s="247"/>
      <c r="FN23" s="248" t="s">
        <v>299</v>
      </c>
      <c r="FO23" s="247"/>
      <c r="FP23" s="247"/>
      <c r="FQ23" s="247"/>
      <c r="FR23" s="223"/>
      <c r="FS23" s="223"/>
      <c r="FT23" s="223"/>
      <c r="FU23" s="48"/>
    </row>
    <row r="24" spans="1:177" s="243" customFormat="1" ht="64">
      <c r="A24" s="48"/>
      <c r="B24" s="234" t="s">
        <v>302</v>
      </c>
      <c r="C24" s="64" t="s">
        <v>291</v>
      </c>
      <c r="D24" s="48"/>
      <c r="E24" s="48" t="s">
        <v>303</v>
      </c>
      <c r="F24" s="48">
        <v>5</v>
      </c>
      <c r="G24" s="213" t="s">
        <v>304</v>
      </c>
      <c r="H24" s="213" t="s">
        <v>305</v>
      </c>
      <c r="I24" s="213" t="s">
        <v>311</v>
      </c>
      <c r="J24" s="48">
        <v>2026</v>
      </c>
      <c r="K24" s="48">
        <v>2028</v>
      </c>
      <c r="L24" s="48" t="s">
        <v>288</v>
      </c>
      <c r="M24" s="48" t="s">
        <v>307</v>
      </c>
      <c r="N24" s="48" t="s">
        <v>308</v>
      </c>
      <c r="O24" s="63" t="s">
        <v>312</v>
      </c>
      <c r="P24" s="63" t="s">
        <v>212</v>
      </c>
      <c r="Q24" s="48" t="s">
        <v>297</v>
      </c>
      <c r="R24" s="48" t="s">
        <v>313</v>
      </c>
      <c r="S24" s="63" t="str">
        <f t="shared" si="0"/>
        <v>Not Started</v>
      </c>
      <c r="T24" s="63" t="str">
        <f t="shared" si="1"/>
        <v>Not Started</v>
      </c>
      <c r="U24" s="63" t="str">
        <f t="shared" si="2"/>
        <v>Yolanda Dini</v>
      </c>
      <c r="V24" s="67">
        <f t="shared" si="3"/>
        <v>0</v>
      </c>
      <c r="W24" s="59" t="s">
        <v>314</v>
      </c>
      <c r="X24" s="59">
        <f t="shared" si="4"/>
        <v>47118</v>
      </c>
      <c r="Y24" s="215"/>
      <c r="Z24" s="48" t="s">
        <v>179</v>
      </c>
      <c r="AA24" s="246">
        <v>46113</v>
      </c>
      <c r="AB24" s="246">
        <v>46295</v>
      </c>
      <c r="AC24" s="218">
        <v>46296</v>
      </c>
      <c r="AD24" s="218">
        <v>46356</v>
      </c>
      <c r="AE24" s="218">
        <v>46357</v>
      </c>
      <c r="AF24" s="218">
        <v>46387</v>
      </c>
      <c r="AG24" s="218">
        <v>46388</v>
      </c>
      <c r="AH24" s="218">
        <v>46477</v>
      </c>
      <c r="AI24" s="218">
        <v>46478</v>
      </c>
      <c r="AJ24" s="218">
        <v>46507</v>
      </c>
      <c r="AK24" s="218">
        <v>46508</v>
      </c>
      <c r="AL24" s="218">
        <v>46903</v>
      </c>
      <c r="AM24" s="218">
        <v>46905</v>
      </c>
      <c r="AN24" s="218">
        <v>46996</v>
      </c>
      <c r="AO24" s="218">
        <v>46997</v>
      </c>
      <c r="AP24" s="218">
        <v>47087</v>
      </c>
      <c r="AQ24" s="218">
        <v>47088</v>
      </c>
      <c r="AR24" s="218">
        <v>47118</v>
      </c>
      <c r="AS24" s="63" t="str">
        <f t="shared" si="5"/>
        <v>Not Started</v>
      </c>
      <c r="AT24" s="63" t="str">
        <f t="shared" si="6"/>
        <v>Not Started</v>
      </c>
      <c r="AU24" s="63" t="str">
        <f t="shared" si="7"/>
        <v>Not Started</v>
      </c>
      <c r="AV24" s="63" t="str">
        <f t="shared" si="8"/>
        <v>Proses RBT-RBB</v>
      </c>
      <c r="AW24" s="63" t="str">
        <f t="shared" si="9"/>
        <v>Selesai RBT-RBB</v>
      </c>
      <c r="AX24" s="63" t="str">
        <f t="shared" si="10"/>
        <v>Proses RBT-RBL</v>
      </c>
      <c r="AY24" s="63" t="str">
        <f t="shared" si="11"/>
        <v>Proses RBT-RBTD</v>
      </c>
      <c r="AZ24" s="63" t="str">
        <f t="shared" si="12"/>
        <v>Proses RBT-RBTD</v>
      </c>
      <c r="BA24" s="63" t="str">
        <f t="shared" si="13"/>
        <v>Selesai RBT-RBTD</v>
      </c>
      <c r="BB24" s="63" t="str">
        <f t="shared" si="14"/>
        <v>Proses RPP</v>
      </c>
      <c r="BC24" s="63" t="str">
        <f t="shared" si="15"/>
        <v>Selesai RPP</v>
      </c>
      <c r="BD24" s="63" t="str">
        <f t="shared" si="16"/>
        <v>Selesai KAK</v>
      </c>
      <c r="BE24" s="219">
        <v>0</v>
      </c>
      <c r="BF24" s="219">
        <v>0</v>
      </c>
      <c r="BG24" s="219">
        <v>0</v>
      </c>
      <c r="BH24" s="219">
        <v>0.02</v>
      </c>
      <c r="BI24" s="219">
        <v>0.05</v>
      </c>
      <c r="BJ24" s="219">
        <v>0.08</v>
      </c>
      <c r="BK24" s="219">
        <v>0.11</v>
      </c>
      <c r="BL24" s="219">
        <v>0.13</v>
      </c>
      <c r="BM24" s="219">
        <v>0.15</v>
      </c>
      <c r="BN24" s="219">
        <v>0.17499999999999999</v>
      </c>
      <c r="BO24" s="219">
        <v>0.2</v>
      </c>
      <c r="BP24" s="219">
        <v>0.25</v>
      </c>
      <c r="BQ24" s="63" t="str">
        <f t="shared" si="17"/>
        <v>Not Started</v>
      </c>
      <c r="BR24" s="63" t="str">
        <f t="shared" si="18"/>
        <v>Not Started</v>
      </c>
      <c r="BS24" s="63" t="str">
        <f t="shared" si="19"/>
        <v>Not Started</v>
      </c>
      <c r="BT24" s="63" t="str">
        <f t="shared" si="20"/>
        <v>Not Started</v>
      </c>
      <c r="BU24" s="63" t="str">
        <f t="shared" si="21"/>
        <v>Not Started</v>
      </c>
      <c r="BV24" s="63" t="str">
        <f t="shared" si="22"/>
        <v>Not Started</v>
      </c>
      <c r="BW24" s="63" t="str">
        <f t="shared" si="23"/>
        <v>Not Started</v>
      </c>
      <c r="BX24" s="63" t="str">
        <f t="shared" si="24"/>
        <v>Not Started</v>
      </c>
      <c r="BY24" s="63" t="str">
        <f t="shared" si="25"/>
        <v>Not Started</v>
      </c>
      <c r="BZ24" s="63" t="str">
        <f t="shared" si="26"/>
        <v>Not Started</v>
      </c>
      <c r="CA24" s="63" t="str">
        <f t="shared" si="27"/>
        <v>Not Started</v>
      </c>
      <c r="CB24" s="63" t="str">
        <f t="shared" si="28"/>
        <v>Not Started</v>
      </c>
      <c r="CC24" s="44">
        <f t="shared" si="67"/>
        <v>0</v>
      </c>
      <c r="CD24" s="48"/>
      <c r="CE24" s="220"/>
      <c r="CF24" s="220"/>
      <c r="CG24" s="220"/>
      <c r="CH24" s="220"/>
      <c r="CI24" s="220"/>
      <c r="CJ24" s="220"/>
      <c r="CK24" s="220"/>
      <c r="CL24" s="44"/>
      <c r="CM24" s="44"/>
      <c r="CN24" s="44"/>
      <c r="CO24" s="45">
        <f t="shared" si="63"/>
        <v>1</v>
      </c>
      <c r="CP24" s="45">
        <f t="shared" si="65"/>
        <v>1</v>
      </c>
      <c r="CQ24" s="45">
        <f t="shared" si="29"/>
        <v>1</v>
      </c>
      <c r="CR24" s="45">
        <f t="shared" si="30"/>
        <v>0</v>
      </c>
      <c r="CS24" s="45">
        <f t="shared" si="31"/>
        <v>0</v>
      </c>
      <c r="CT24" s="45">
        <f t="shared" si="32"/>
        <v>0</v>
      </c>
      <c r="CU24" s="45">
        <f t="shared" si="33"/>
        <v>0</v>
      </c>
      <c r="CV24" s="45">
        <f t="shared" si="34"/>
        <v>0</v>
      </c>
      <c r="CW24" s="45">
        <f t="shared" si="35"/>
        <v>0</v>
      </c>
      <c r="CX24" s="45">
        <f t="shared" si="36"/>
        <v>0</v>
      </c>
      <c r="CY24" s="45">
        <f t="shared" si="37"/>
        <v>0</v>
      </c>
      <c r="CZ24" s="220"/>
      <c r="DA24" s="45" t="str">
        <f t="shared" si="38"/>
        <v>NS</v>
      </c>
      <c r="DB24" s="45" t="str">
        <f t="shared" si="39"/>
        <v>NS</v>
      </c>
      <c r="DC24" s="45" t="str">
        <f t="shared" si="40"/>
        <v>NS</v>
      </c>
      <c r="DD24" s="45" t="str">
        <f t="shared" si="41"/>
        <v>BS</v>
      </c>
      <c r="DE24" s="45" t="str">
        <f t="shared" si="42"/>
        <v>BS</v>
      </c>
      <c r="DF24" s="45" t="str">
        <f t="shared" si="43"/>
        <v>BS</v>
      </c>
      <c r="DG24" s="45" t="str">
        <f t="shared" si="44"/>
        <v>BS</v>
      </c>
      <c r="DH24" s="45" t="str">
        <f t="shared" si="45"/>
        <v>BS</v>
      </c>
      <c r="DI24" s="45" t="str">
        <f t="shared" si="46"/>
        <v>BS</v>
      </c>
      <c r="DJ24" s="45" t="str">
        <f t="shared" si="47"/>
        <v>BS</v>
      </c>
      <c r="DK24" s="45" t="str">
        <f t="shared" si="48"/>
        <v>BS</v>
      </c>
      <c r="DL24" s="45" t="str">
        <f t="shared" si="49"/>
        <v>BS</v>
      </c>
      <c r="DM24" s="45">
        <f t="shared" si="50"/>
        <v>0</v>
      </c>
      <c r="DN24" s="45">
        <f t="shared" si="51"/>
        <v>0</v>
      </c>
      <c r="DO24" s="45">
        <f t="shared" si="52"/>
        <v>0</v>
      </c>
      <c r="DP24" s="45">
        <f t="shared" si="53"/>
        <v>0</v>
      </c>
      <c r="DQ24" s="45">
        <f t="shared" si="54"/>
        <v>0</v>
      </c>
      <c r="DR24" s="45">
        <f t="shared" si="55"/>
        <v>0</v>
      </c>
      <c r="DS24" s="45">
        <f t="shared" si="56"/>
        <v>0</v>
      </c>
      <c r="DT24" s="45">
        <f t="shared" si="57"/>
        <v>0</v>
      </c>
      <c r="DU24" s="45">
        <f t="shared" si="58"/>
        <v>0</v>
      </c>
      <c r="DV24" s="45">
        <f t="shared" si="59"/>
        <v>0</v>
      </c>
      <c r="DW24" s="45">
        <f t="shared" si="60"/>
        <v>0</v>
      </c>
      <c r="DX24" s="45">
        <f t="shared" si="61"/>
        <v>0</v>
      </c>
      <c r="DY24" s="61"/>
      <c r="DZ24" s="61"/>
      <c r="EA24" s="61"/>
      <c r="EB24" s="61"/>
      <c r="EC24" s="61"/>
      <c r="ED24" s="61"/>
      <c r="EE24" s="61"/>
      <c r="EF24" s="54"/>
      <c r="EG24" s="54"/>
      <c r="EH24" s="47"/>
      <c r="EI24" s="222"/>
      <c r="EJ24" s="59">
        <f t="shared" si="62"/>
        <v>47118</v>
      </c>
      <c r="EK24" s="63"/>
      <c r="EL24" s="63"/>
      <c r="EM24" s="63"/>
      <c r="EN24" s="222"/>
      <c r="EO24" s="222"/>
      <c r="EP24" s="220"/>
      <c r="EQ24" s="222"/>
      <c r="ER24" s="223"/>
      <c r="ES24" s="220"/>
      <c r="ET24" s="222"/>
      <c r="EU24" s="222"/>
      <c r="EV24" s="220"/>
      <c r="EW24" s="220"/>
      <c r="EX24" s="220"/>
      <c r="EY24" s="220"/>
      <c r="EZ24" s="220"/>
      <c r="FA24" s="222"/>
      <c r="FB24" s="220"/>
      <c r="FC24" s="222"/>
      <c r="FD24" s="220"/>
      <c r="FE24" s="220"/>
      <c r="FF24" s="222"/>
      <c r="FG24" s="222"/>
      <c r="FH24" s="220"/>
      <c r="FI24" s="220"/>
      <c r="FJ24" s="220"/>
      <c r="FK24" s="220"/>
      <c r="FL24" s="220"/>
      <c r="FM24" s="247"/>
      <c r="FN24" s="248" t="s">
        <v>315</v>
      </c>
      <c r="FO24" s="247"/>
      <c r="FP24" s="247"/>
      <c r="FQ24" s="247"/>
      <c r="FR24" s="223"/>
      <c r="FS24" s="223"/>
      <c r="FT24" s="223"/>
      <c r="FU24" s="48"/>
    </row>
    <row r="25" spans="1:177" s="16" customFormat="1" ht="240">
      <c r="A25" s="63" t="s">
        <v>316</v>
      </c>
      <c r="B25" s="48" t="s">
        <v>317</v>
      </c>
      <c r="C25" s="64" t="s">
        <v>291</v>
      </c>
      <c r="D25" s="63" t="s">
        <v>318</v>
      </c>
      <c r="E25" s="63" t="s">
        <v>319</v>
      </c>
      <c r="F25" s="249">
        <v>1</v>
      </c>
      <c r="G25" s="213" t="s">
        <v>320</v>
      </c>
      <c r="H25" s="213" t="s">
        <v>321</v>
      </c>
      <c r="I25" s="213" t="s">
        <v>322</v>
      </c>
      <c r="J25" s="48">
        <v>2025</v>
      </c>
      <c r="K25" s="48">
        <v>2026</v>
      </c>
      <c r="L25" s="63" t="s">
        <v>288</v>
      </c>
      <c r="M25" s="63" t="s">
        <v>323</v>
      </c>
      <c r="N25" s="63" t="s">
        <v>308</v>
      </c>
      <c r="O25" s="63" t="s">
        <v>324</v>
      </c>
      <c r="P25" s="63" t="s">
        <v>212</v>
      </c>
      <c r="Q25" s="63" t="s">
        <v>297</v>
      </c>
      <c r="R25" s="63" t="s">
        <v>325</v>
      </c>
      <c r="S25" s="63" t="str">
        <f t="shared" si="0"/>
        <v>Selesai Pengadaan</v>
      </c>
      <c r="T25" s="63" t="str">
        <f t="shared" si="1"/>
        <v>On Progress</v>
      </c>
      <c r="U25" s="63" t="str">
        <f t="shared" si="2"/>
        <v>Pahman Hasibuan</v>
      </c>
      <c r="V25" s="67">
        <f t="shared" si="3"/>
        <v>0.3</v>
      </c>
      <c r="W25" s="66" t="s">
        <v>243</v>
      </c>
      <c r="X25" s="59">
        <f t="shared" si="4"/>
        <v>46356</v>
      </c>
      <c r="Y25" s="228">
        <v>1</v>
      </c>
      <c r="Z25" s="63"/>
      <c r="AA25" s="62">
        <v>45658</v>
      </c>
      <c r="AB25" s="250">
        <v>45808</v>
      </c>
      <c r="AC25" s="251">
        <v>45809</v>
      </c>
      <c r="AD25" s="252">
        <v>45838</v>
      </c>
      <c r="AE25" s="62">
        <v>46054</v>
      </c>
      <c r="AF25" s="42">
        <v>46081</v>
      </c>
      <c r="AG25" s="42"/>
      <c r="AH25" s="42"/>
      <c r="AI25" s="42">
        <v>46082</v>
      </c>
      <c r="AJ25" s="42">
        <v>46112</v>
      </c>
      <c r="AK25" s="42">
        <v>46113</v>
      </c>
      <c r="AL25" s="42">
        <v>46234</v>
      </c>
      <c r="AM25" s="42">
        <v>46235</v>
      </c>
      <c r="AN25" s="42">
        <v>46280</v>
      </c>
      <c r="AO25" s="42">
        <v>46281</v>
      </c>
      <c r="AP25" s="42">
        <v>46326</v>
      </c>
      <c r="AQ25" s="42">
        <v>46327</v>
      </c>
      <c r="AR25" s="42">
        <v>46356</v>
      </c>
      <c r="AS25" s="63" t="str">
        <f t="shared" si="5"/>
        <v>Selesai RPP</v>
      </c>
      <c r="AT25" s="63" t="str">
        <f t="shared" si="6"/>
        <v>Selesai KAK</v>
      </c>
      <c r="AU25" s="63" t="str">
        <f t="shared" si="7"/>
        <v>Selesai Desain</v>
      </c>
      <c r="AV25" s="63" t="str">
        <f t="shared" si="8"/>
        <v>Proses Pengembangan</v>
      </c>
      <c r="AW25" s="63" t="str">
        <f t="shared" si="9"/>
        <v>Proses Pengembangan</v>
      </c>
      <c r="AX25" s="63" t="str">
        <f t="shared" si="10"/>
        <v>Proses Pengembangan</v>
      </c>
      <c r="AY25" s="63" t="str">
        <f t="shared" si="11"/>
        <v>Selesai Pengembangan</v>
      </c>
      <c r="AZ25" s="63" t="str">
        <f t="shared" si="12"/>
        <v>Proses SIT</v>
      </c>
      <c r="BA25" s="63" t="str">
        <f t="shared" si="13"/>
        <v>Proses UAT</v>
      </c>
      <c r="BB25" s="63" t="str">
        <f t="shared" si="14"/>
        <v>Selesai UAT</v>
      </c>
      <c r="BC25" s="63" t="str">
        <f t="shared" si="15"/>
        <v>Selesai Implementasi</v>
      </c>
      <c r="BD25" s="63" t="str">
        <f t="shared" si="16"/>
        <v>Selesai Implementasi</v>
      </c>
      <c r="BE25" s="43">
        <v>0.2</v>
      </c>
      <c r="BF25" s="43">
        <v>0.25</v>
      </c>
      <c r="BG25" s="43">
        <v>0.45</v>
      </c>
      <c r="BH25" s="43">
        <v>0.54</v>
      </c>
      <c r="BI25" s="43">
        <v>0.63</v>
      </c>
      <c r="BJ25" s="43">
        <v>0.72</v>
      </c>
      <c r="BK25" s="43">
        <v>0.8</v>
      </c>
      <c r="BL25" s="43">
        <v>0.84</v>
      </c>
      <c r="BM25" s="43">
        <v>0.9</v>
      </c>
      <c r="BN25" s="43">
        <v>0.95</v>
      </c>
      <c r="BO25" s="43">
        <v>1</v>
      </c>
      <c r="BP25" s="43">
        <v>1</v>
      </c>
      <c r="BQ25" s="63" t="str">
        <f t="shared" si="17"/>
        <v>Selesai Pengadaan</v>
      </c>
      <c r="BR25" s="63" t="str">
        <f t="shared" si="18"/>
        <v>Not Started</v>
      </c>
      <c r="BS25" s="63" t="str">
        <f t="shared" si="19"/>
        <v>Not Started</v>
      </c>
      <c r="BT25" s="63" t="str">
        <f t="shared" si="20"/>
        <v>Not Started</v>
      </c>
      <c r="BU25" s="63" t="str">
        <f t="shared" si="21"/>
        <v>Not Started</v>
      </c>
      <c r="BV25" s="63" t="str">
        <f t="shared" si="22"/>
        <v>Not Started</v>
      </c>
      <c r="BW25" s="63" t="str">
        <f t="shared" si="23"/>
        <v>Not Started</v>
      </c>
      <c r="BX25" s="63" t="str">
        <f t="shared" si="24"/>
        <v>Not Started</v>
      </c>
      <c r="BY25" s="63" t="str">
        <f t="shared" si="25"/>
        <v>Not Started</v>
      </c>
      <c r="BZ25" s="63" t="str">
        <f t="shared" si="26"/>
        <v>Not Started</v>
      </c>
      <c r="CA25" s="63" t="str">
        <f t="shared" si="27"/>
        <v>Not Started</v>
      </c>
      <c r="CB25" s="63" t="str">
        <f t="shared" si="28"/>
        <v>Not Started</v>
      </c>
      <c r="CC25" s="44">
        <f t="shared" si="67"/>
        <v>0.3</v>
      </c>
      <c r="CD25" s="44"/>
      <c r="CE25" s="44"/>
      <c r="CF25" s="44"/>
      <c r="CG25" s="44"/>
      <c r="CH25" s="44"/>
      <c r="CI25" s="44"/>
      <c r="CJ25" s="44"/>
      <c r="CK25" s="44"/>
      <c r="CL25" s="44"/>
      <c r="CM25" s="44"/>
      <c r="CN25" s="44"/>
      <c r="CO25" s="45">
        <f t="shared" si="63"/>
        <v>1.4999999999999998</v>
      </c>
      <c r="CP25" s="45">
        <f t="shared" si="65"/>
        <v>0</v>
      </c>
      <c r="CQ25" s="45">
        <f t="shared" si="29"/>
        <v>0</v>
      </c>
      <c r="CR25" s="45">
        <f t="shared" si="30"/>
        <v>0</v>
      </c>
      <c r="CS25" s="45">
        <f t="shared" si="31"/>
        <v>0</v>
      </c>
      <c r="CT25" s="45">
        <f t="shared" si="32"/>
        <v>0</v>
      </c>
      <c r="CU25" s="45">
        <f t="shared" si="33"/>
        <v>0</v>
      </c>
      <c r="CV25" s="45">
        <f t="shared" si="34"/>
        <v>0</v>
      </c>
      <c r="CW25" s="45">
        <f t="shared" si="35"/>
        <v>0</v>
      </c>
      <c r="CX25" s="45">
        <f t="shared" si="36"/>
        <v>0</v>
      </c>
      <c r="CY25" s="45">
        <f t="shared" si="37"/>
        <v>0</v>
      </c>
      <c r="CZ25" s="45"/>
      <c r="DA25" s="45" t="str">
        <f t="shared" si="38"/>
        <v>AS</v>
      </c>
      <c r="DB25" s="45" t="str">
        <f t="shared" si="39"/>
        <v>BS</v>
      </c>
      <c r="DC25" s="45" t="str">
        <f t="shared" si="40"/>
        <v>BS</v>
      </c>
      <c r="DD25" s="45" t="str">
        <f t="shared" si="41"/>
        <v>BS</v>
      </c>
      <c r="DE25" s="45" t="str">
        <f t="shared" si="42"/>
        <v>BS</v>
      </c>
      <c r="DF25" s="45" t="str">
        <f t="shared" si="43"/>
        <v>BS</v>
      </c>
      <c r="DG25" s="45" t="str">
        <f t="shared" si="44"/>
        <v>BS</v>
      </c>
      <c r="DH25" s="45" t="str">
        <f t="shared" si="45"/>
        <v>BS</v>
      </c>
      <c r="DI25" s="45" t="str">
        <f t="shared" si="46"/>
        <v>BS</v>
      </c>
      <c r="DJ25" s="45" t="str">
        <f t="shared" si="47"/>
        <v>BS</v>
      </c>
      <c r="DK25" s="45" t="str">
        <f t="shared" si="48"/>
        <v>BS</v>
      </c>
      <c r="DL25" s="45" t="str">
        <f t="shared" si="49"/>
        <v>BS</v>
      </c>
      <c r="DM25" s="45">
        <f t="shared" si="50"/>
        <v>0.3</v>
      </c>
      <c r="DN25" s="45">
        <f t="shared" si="51"/>
        <v>0</v>
      </c>
      <c r="DO25" s="45">
        <f t="shared" si="52"/>
        <v>0</v>
      </c>
      <c r="DP25" s="45">
        <f t="shared" si="53"/>
        <v>0</v>
      </c>
      <c r="DQ25" s="45">
        <f t="shared" si="54"/>
        <v>0</v>
      </c>
      <c r="DR25" s="45">
        <f t="shared" si="55"/>
        <v>0</v>
      </c>
      <c r="DS25" s="45">
        <f t="shared" si="56"/>
        <v>0</v>
      </c>
      <c r="DT25" s="45">
        <f t="shared" si="57"/>
        <v>0</v>
      </c>
      <c r="DU25" s="45">
        <f t="shared" si="58"/>
        <v>0</v>
      </c>
      <c r="DV25" s="45">
        <f t="shared" si="59"/>
        <v>0</v>
      </c>
      <c r="DW25" s="45">
        <f t="shared" si="60"/>
        <v>0</v>
      </c>
      <c r="DX25" s="45">
        <f t="shared" si="61"/>
        <v>0</v>
      </c>
      <c r="DY25" s="72">
        <v>1</v>
      </c>
      <c r="DZ25" s="72">
        <v>1</v>
      </c>
      <c r="EA25" s="576">
        <v>1</v>
      </c>
      <c r="EB25" s="575">
        <v>1</v>
      </c>
      <c r="EC25" s="73">
        <v>0</v>
      </c>
      <c r="ED25" s="74">
        <v>0</v>
      </c>
      <c r="EE25" s="180">
        <v>0</v>
      </c>
      <c r="EF25" s="73">
        <v>0</v>
      </c>
      <c r="EG25" s="74">
        <v>0</v>
      </c>
      <c r="EH25" s="605" t="s">
        <v>1590</v>
      </c>
      <c r="EI25" s="254"/>
      <c r="EJ25" s="59">
        <f t="shared" si="62"/>
        <v>46356</v>
      </c>
      <c r="EK25" s="229"/>
      <c r="EL25" s="230"/>
      <c r="EM25" s="229"/>
      <c r="EN25" s="222"/>
      <c r="EO25" s="222"/>
      <c r="EP25" s="222"/>
      <c r="EQ25" s="231"/>
      <c r="ER25" s="213"/>
      <c r="ES25" s="220"/>
      <c r="ET25" s="220"/>
      <c r="EU25" s="220"/>
      <c r="EV25" s="220"/>
      <c r="EW25" s="220"/>
      <c r="EX25" s="220"/>
      <c r="EY25" s="220"/>
      <c r="EZ25" s="220"/>
      <c r="FA25" s="222"/>
      <c r="FB25" s="222"/>
      <c r="FC25" s="222"/>
      <c r="FD25" s="222"/>
      <c r="FE25" s="220"/>
      <c r="FF25" s="220"/>
      <c r="FG25" s="222"/>
      <c r="FH25" s="220"/>
      <c r="FI25" s="220"/>
      <c r="FJ25" s="220"/>
      <c r="FK25" s="220"/>
      <c r="FL25" s="215"/>
      <c r="FM25" s="172" t="s">
        <v>326</v>
      </c>
      <c r="FN25" s="172" t="s">
        <v>299</v>
      </c>
      <c r="FO25" s="224" t="s">
        <v>300</v>
      </c>
      <c r="FP25" s="172" t="s">
        <v>327</v>
      </c>
      <c r="FQ25" s="172" t="s">
        <v>328</v>
      </c>
      <c r="FR25" s="213" t="s">
        <v>184</v>
      </c>
      <c r="FS25" s="256"/>
      <c r="FT25" s="257"/>
      <c r="FU25" s="258">
        <v>2</v>
      </c>
    </row>
    <row r="26" spans="1:177" s="16" customFormat="1" ht="409.5">
      <c r="A26" s="63" t="s">
        <v>329</v>
      </c>
      <c r="B26" s="48" t="s">
        <v>317</v>
      </c>
      <c r="C26" s="64" t="s">
        <v>291</v>
      </c>
      <c r="D26" s="63" t="s">
        <v>318</v>
      </c>
      <c r="E26" s="63" t="s">
        <v>319</v>
      </c>
      <c r="F26" s="249">
        <f>F25+1</f>
        <v>2</v>
      </c>
      <c r="G26" s="213" t="s">
        <v>320</v>
      </c>
      <c r="H26" s="213" t="s">
        <v>321</v>
      </c>
      <c r="I26" s="213" t="s">
        <v>330</v>
      </c>
      <c r="J26" s="48">
        <v>2025</v>
      </c>
      <c r="K26" s="48">
        <v>2026</v>
      </c>
      <c r="L26" s="63" t="s">
        <v>288</v>
      </c>
      <c r="M26" s="63" t="s">
        <v>323</v>
      </c>
      <c r="N26" s="63" t="s">
        <v>308</v>
      </c>
      <c r="O26" s="63" t="s">
        <v>331</v>
      </c>
      <c r="P26" s="63" t="s">
        <v>212</v>
      </c>
      <c r="Q26" s="63" t="s">
        <v>297</v>
      </c>
      <c r="R26" s="63" t="s">
        <v>310</v>
      </c>
      <c r="S26" s="63" t="str">
        <f t="shared" si="0"/>
        <v>Proses Pengadaan</v>
      </c>
      <c r="T26" s="63" t="str">
        <f t="shared" si="1"/>
        <v>On Progress</v>
      </c>
      <c r="U26" s="63" t="str">
        <f t="shared" si="2"/>
        <v>Pahman Hasibuan</v>
      </c>
      <c r="V26" s="67">
        <f t="shared" si="3"/>
        <v>0.27500000000000002</v>
      </c>
      <c r="W26" s="66" t="s">
        <v>243</v>
      </c>
      <c r="X26" s="59">
        <f t="shared" si="4"/>
        <v>46356</v>
      </c>
      <c r="Y26" s="228">
        <v>0</v>
      </c>
      <c r="Z26" s="63"/>
      <c r="AA26" s="62">
        <v>45658</v>
      </c>
      <c r="AB26" s="250">
        <v>45808</v>
      </c>
      <c r="AC26" s="251">
        <v>45809</v>
      </c>
      <c r="AD26" s="62">
        <v>45838</v>
      </c>
      <c r="AE26" s="42">
        <v>45809</v>
      </c>
      <c r="AF26" s="42">
        <v>45838</v>
      </c>
      <c r="AG26" s="42">
        <v>45839</v>
      </c>
      <c r="AH26" s="42">
        <v>46022</v>
      </c>
      <c r="AI26" s="42">
        <v>46023</v>
      </c>
      <c r="AJ26" s="42">
        <v>46081</v>
      </c>
      <c r="AK26" s="42">
        <v>46082</v>
      </c>
      <c r="AL26" s="42">
        <v>46234</v>
      </c>
      <c r="AM26" s="42">
        <v>46235</v>
      </c>
      <c r="AN26" s="42">
        <v>46280</v>
      </c>
      <c r="AO26" s="42">
        <v>46281</v>
      </c>
      <c r="AP26" s="42">
        <v>46326</v>
      </c>
      <c r="AQ26" s="42">
        <v>46327</v>
      </c>
      <c r="AR26" s="42">
        <v>46356</v>
      </c>
      <c r="AS26" s="63" t="str">
        <f t="shared" si="5"/>
        <v>Proses Desain</v>
      </c>
      <c r="AT26" s="63" t="str">
        <f t="shared" si="6"/>
        <v>Selesai Desain</v>
      </c>
      <c r="AU26" s="63" t="str">
        <f t="shared" si="7"/>
        <v>Proses Pengembangan</v>
      </c>
      <c r="AV26" s="63" t="str">
        <f t="shared" si="8"/>
        <v>Proses Pengembangan</v>
      </c>
      <c r="AW26" s="63" t="str">
        <f t="shared" si="9"/>
        <v>Proses Pengembangan</v>
      </c>
      <c r="AX26" s="63" t="str">
        <f t="shared" si="10"/>
        <v>Proses Pengembangan</v>
      </c>
      <c r="AY26" s="63" t="str">
        <f t="shared" si="11"/>
        <v>Selesai Pengembangan</v>
      </c>
      <c r="AZ26" s="63" t="str">
        <f t="shared" si="12"/>
        <v>Proses SIT</v>
      </c>
      <c r="BA26" s="63" t="str">
        <f t="shared" si="13"/>
        <v>Proses UAT</v>
      </c>
      <c r="BB26" s="63" t="str">
        <f t="shared" si="14"/>
        <v>Selesai UAT</v>
      </c>
      <c r="BC26" s="63" t="str">
        <f t="shared" si="15"/>
        <v>Selesai Implementasi</v>
      </c>
      <c r="BD26" s="63" t="str">
        <f t="shared" si="16"/>
        <v>Selesai Implementasi</v>
      </c>
      <c r="BE26" s="43">
        <v>0.375</v>
      </c>
      <c r="BF26" s="43">
        <v>0.45</v>
      </c>
      <c r="BG26" s="43">
        <v>0.52</v>
      </c>
      <c r="BH26" s="43">
        <v>0.59</v>
      </c>
      <c r="BI26" s="43">
        <v>0.66</v>
      </c>
      <c r="BJ26" s="43">
        <v>0.73</v>
      </c>
      <c r="BK26" s="43">
        <v>0.8</v>
      </c>
      <c r="BL26" s="43">
        <v>0.85</v>
      </c>
      <c r="BM26" s="43">
        <v>0.9</v>
      </c>
      <c r="BN26" s="43">
        <v>0.95</v>
      </c>
      <c r="BO26" s="43">
        <v>1</v>
      </c>
      <c r="BP26" s="43">
        <v>1</v>
      </c>
      <c r="BQ26" s="63" t="str">
        <f t="shared" si="17"/>
        <v>Proses Pengadaan</v>
      </c>
      <c r="BR26" s="63" t="str">
        <f t="shared" si="18"/>
        <v>Not Started</v>
      </c>
      <c r="BS26" s="63" t="str">
        <f t="shared" si="19"/>
        <v>Not Started</v>
      </c>
      <c r="BT26" s="63" t="str">
        <f t="shared" si="20"/>
        <v>Not Started</v>
      </c>
      <c r="BU26" s="63" t="str">
        <f t="shared" si="21"/>
        <v>Not Started</v>
      </c>
      <c r="BV26" s="63" t="str">
        <f t="shared" si="22"/>
        <v>Not Started</v>
      </c>
      <c r="BW26" s="63" t="str">
        <f t="shared" si="23"/>
        <v>Not Started</v>
      </c>
      <c r="BX26" s="63" t="str">
        <f t="shared" si="24"/>
        <v>Not Started</v>
      </c>
      <c r="BY26" s="63" t="str">
        <f t="shared" si="25"/>
        <v>Not Started</v>
      </c>
      <c r="BZ26" s="63" t="str">
        <f t="shared" si="26"/>
        <v>Not Started</v>
      </c>
      <c r="CA26" s="63" t="str">
        <f t="shared" si="27"/>
        <v>Not Started</v>
      </c>
      <c r="CB26" s="63" t="str">
        <f t="shared" si="28"/>
        <v>Not Started</v>
      </c>
      <c r="CC26" s="44">
        <f t="shared" si="67"/>
        <v>0.27500000000000002</v>
      </c>
      <c r="CD26" s="44"/>
      <c r="CE26" s="44"/>
      <c r="CF26" s="44"/>
      <c r="CG26" s="44"/>
      <c r="CH26" s="44"/>
      <c r="CI26" s="44"/>
      <c r="CJ26" s="44"/>
      <c r="CK26" s="44"/>
      <c r="CL26" s="44"/>
      <c r="CM26" s="44"/>
      <c r="CN26" s="44"/>
      <c r="CO26" s="45">
        <f t="shared" si="63"/>
        <v>0.73333333333333339</v>
      </c>
      <c r="CP26" s="45">
        <f t="shared" si="65"/>
        <v>0</v>
      </c>
      <c r="CQ26" s="45">
        <f t="shared" si="29"/>
        <v>0</v>
      </c>
      <c r="CR26" s="45">
        <f t="shared" si="30"/>
        <v>0</v>
      </c>
      <c r="CS26" s="45">
        <f t="shared" si="31"/>
        <v>0</v>
      </c>
      <c r="CT26" s="45">
        <f t="shared" si="32"/>
        <v>0</v>
      </c>
      <c r="CU26" s="45">
        <f t="shared" si="33"/>
        <v>0</v>
      </c>
      <c r="CV26" s="45">
        <f t="shared" si="34"/>
        <v>0</v>
      </c>
      <c r="CW26" s="45">
        <f t="shared" si="35"/>
        <v>0</v>
      </c>
      <c r="CX26" s="45">
        <f t="shared" si="36"/>
        <v>0</v>
      </c>
      <c r="CY26" s="45">
        <f t="shared" si="37"/>
        <v>0</v>
      </c>
      <c r="CZ26" s="45"/>
      <c r="DA26" s="45" t="str">
        <f t="shared" si="38"/>
        <v>BS</v>
      </c>
      <c r="DB26" s="45" t="str">
        <f t="shared" si="39"/>
        <v>BS</v>
      </c>
      <c r="DC26" s="45" t="str">
        <f t="shared" si="40"/>
        <v>BS</v>
      </c>
      <c r="DD26" s="45" t="str">
        <f t="shared" si="41"/>
        <v>BS</v>
      </c>
      <c r="DE26" s="45" t="str">
        <f t="shared" si="42"/>
        <v>BS</v>
      </c>
      <c r="DF26" s="45" t="str">
        <f t="shared" si="43"/>
        <v>BS</v>
      </c>
      <c r="DG26" s="45" t="str">
        <f t="shared" si="44"/>
        <v>BS</v>
      </c>
      <c r="DH26" s="45" t="str">
        <f t="shared" si="45"/>
        <v>BS</v>
      </c>
      <c r="DI26" s="45" t="str">
        <f t="shared" si="46"/>
        <v>BS</v>
      </c>
      <c r="DJ26" s="45" t="str">
        <f t="shared" si="47"/>
        <v>BS</v>
      </c>
      <c r="DK26" s="45" t="str">
        <f t="shared" si="48"/>
        <v>BS</v>
      </c>
      <c r="DL26" s="45" t="str">
        <f t="shared" si="49"/>
        <v>BS</v>
      </c>
      <c r="DM26" s="45">
        <f t="shared" si="50"/>
        <v>0.27500000000000002</v>
      </c>
      <c r="DN26" s="45">
        <f t="shared" si="51"/>
        <v>0</v>
      </c>
      <c r="DO26" s="45">
        <f t="shared" si="52"/>
        <v>0</v>
      </c>
      <c r="DP26" s="45">
        <f t="shared" si="53"/>
        <v>0</v>
      </c>
      <c r="DQ26" s="45">
        <f t="shared" si="54"/>
        <v>0</v>
      </c>
      <c r="DR26" s="45">
        <f t="shared" si="55"/>
        <v>0</v>
      </c>
      <c r="DS26" s="45">
        <f t="shared" si="56"/>
        <v>0</v>
      </c>
      <c r="DT26" s="45">
        <f t="shared" si="57"/>
        <v>0</v>
      </c>
      <c r="DU26" s="45">
        <f t="shared" si="58"/>
        <v>0</v>
      </c>
      <c r="DV26" s="45">
        <f t="shared" si="59"/>
        <v>0</v>
      </c>
      <c r="DW26" s="45">
        <f t="shared" si="60"/>
        <v>0</v>
      </c>
      <c r="DX26" s="45">
        <f t="shared" si="61"/>
        <v>0</v>
      </c>
      <c r="DY26" s="72">
        <v>1</v>
      </c>
      <c r="DZ26" s="72">
        <v>1</v>
      </c>
      <c r="EA26" s="181">
        <v>0.5</v>
      </c>
      <c r="EB26" s="575">
        <v>1</v>
      </c>
      <c r="EC26" s="41">
        <v>0</v>
      </c>
      <c r="ED26" s="41">
        <v>0</v>
      </c>
      <c r="EE26" s="41">
        <v>0</v>
      </c>
      <c r="EF26" s="41">
        <v>0</v>
      </c>
      <c r="EG26" s="74">
        <v>0</v>
      </c>
      <c r="EH26" s="47" t="s">
        <v>1522</v>
      </c>
      <c r="EI26" s="409"/>
      <c r="EJ26" s="59">
        <f>AR26</f>
        <v>46356</v>
      </c>
      <c r="EK26" s="506"/>
      <c r="EL26" s="259" t="s">
        <v>332</v>
      </c>
      <c r="EM26" s="260"/>
      <c r="EN26" s="229" t="e">
        <f>#REF!</f>
        <v>#REF!</v>
      </c>
      <c r="EO26" s="229"/>
      <c r="EP26" s="230"/>
      <c r="EQ26" s="229"/>
      <c r="ER26" s="222"/>
      <c r="ES26" s="222"/>
      <c r="ET26" s="222"/>
      <c r="EU26" s="231"/>
      <c r="EV26" s="213"/>
      <c r="EW26" s="220"/>
      <c r="EX26" s="220"/>
      <c r="EY26" s="220"/>
      <c r="EZ26" s="220"/>
      <c r="FA26" s="222"/>
      <c r="FB26" s="222"/>
      <c r="FC26" s="222"/>
      <c r="FD26" s="222"/>
      <c r="FE26" s="220"/>
      <c r="FF26" s="220"/>
      <c r="FG26" s="222"/>
      <c r="FH26" s="220"/>
      <c r="FI26" s="220"/>
      <c r="FJ26" s="220"/>
      <c r="FK26" s="220"/>
      <c r="FL26" s="215"/>
      <c r="FM26" s="172" t="s">
        <v>333</v>
      </c>
      <c r="FN26" s="172" t="s">
        <v>299</v>
      </c>
      <c r="FO26" s="224" t="s">
        <v>300</v>
      </c>
      <c r="FP26" s="172" t="s">
        <v>334</v>
      </c>
      <c r="FQ26" s="172" t="s">
        <v>290</v>
      </c>
      <c r="FR26" s="213" t="s">
        <v>184</v>
      </c>
      <c r="FS26" s="223"/>
      <c r="FT26" s="261" t="s">
        <v>335</v>
      </c>
      <c r="FU26" s="262">
        <v>5</v>
      </c>
    </row>
    <row r="27" spans="1:177" s="16" customFormat="1" ht="128">
      <c r="A27" s="63" t="s">
        <v>336</v>
      </c>
      <c r="B27" s="48" t="s">
        <v>337</v>
      </c>
      <c r="C27" s="64" t="s">
        <v>291</v>
      </c>
      <c r="D27" s="213" t="s">
        <v>338</v>
      </c>
      <c r="E27" s="63" t="s">
        <v>339</v>
      </c>
      <c r="F27" s="249">
        <v>1</v>
      </c>
      <c r="G27" s="213" t="s">
        <v>340</v>
      </c>
      <c r="H27" s="213" t="s">
        <v>341</v>
      </c>
      <c r="I27" s="213" t="s">
        <v>342</v>
      </c>
      <c r="J27" s="48">
        <v>2026</v>
      </c>
      <c r="K27" s="48">
        <v>2027</v>
      </c>
      <c r="L27" s="63" t="s">
        <v>288</v>
      </c>
      <c r="M27" s="63" t="s">
        <v>307</v>
      </c>
      <c r="N27" s="63" t="s">
        <v>308</v>
      </c>
      <c r="O27" s="63" t="s">
        <v>343</v>
      </c>
      <c r="P27" s="63" t="s">
        <v>212</v>
      </c>
      <c r="Q27" s="63" t="s">
        <v>297</v>
      </c>
      <c r="R27" s="63" t="s">
        <v>229</v>
      </c>
      <c r="S27" s="63" t="str">
        <f t="shared" si="0"/>
        <v>Not Started</v>
      </c>
      <c r="T27" s="63" t="str">
        <f t="shared" si="1"/>
        <v>Not Started</v>
      </c>
      <c r="U27" s="63" t="str">
        <f t="shared" si="2"/>
        <v>Yolanda Dini</v>
      </c>
      <c r="V27" s="67">
        <f t="shared" si="3"/>
        <v>0</v>
      </c>
      <c r="W27" s="66" t="s">
        <v>314</v>
      </c>
      <c r="X27" s="59">
        <f t="shared" si="4"/>
        <v>46752</v>
      </c>
      <c r="Y27" s="228">
        <v>0</v>
      </c>
      <c r="Z27" s="63"/>
      <c r="AA27" s="62">
        <v>46023</v>
      </c>
      <c r="AB27" s="42">
        <v>46295</v>
      </c>
      <c r="AC27" s="42">
        <v>46296</v>
      </c>
      <c r="AD27" s="42">
        <v>46326</v>
      </c>
      <c r="AE27" s="42">
        <v>46327</v>
      </c>
      <c r="AF27" s="42">
        <v>46387</v>
      </c>
      <c r="AG27" s="42">
        <v>46388</v>
      </c>
      <c r="AH27" s="42">
        <v>46477</v>
      </c>
      <c r="AI27" s="42">
        <v>46478</v>
      </c>
      <c r="AJ27" s="42">
        <v>46538</v>
      </c>
      <c r="AK27" s="42">
        <v>46539</v>
      </c>
      <c r="AL27" s="42">
        <v>46660</v>
      </c>
      <c r="AM27" s="42">
        <v>46661</v>
      </c>
      <c r="AN27" s="42">
        <v>46690</v>
      </c>
      <c r="AO27" s="42">
        <v>46692</v>
      </c>
      <c r="AP27" s="42">
        <v>46721</v>
      </c>
      <c r="AQ27" s="42">
        <v>46722</v>
      </c>
      <c r="AR27" s="42">
        <v>46752</v>
      </c>
      <c r="AS27" s="63" t="str">
        <f t="shared" si="5"/>
        <v>Proses RBT-RBB</v>
      </c>
      <c r="AT27" s="63" t="str">
        <f t="shared" si="6"/>
        <v>Proses RBT-RBB</v>
      </c>
      <c r="AU27" s="63" t="str">
        <f t="shared" si="7"/>
        <v>Proses RBT-RBB</v>
      </c>
      <c r="AV27" s="63" t="str">
        <f t="shared" si="8"/>
        <v>Proses RBT-RBL</v>
      </c>
      <c r="AW27" s="63" t="str">
        <f t="shared" si="9"/>
        <v>Proses RBT-RBL</v>
      </c>
      <c r="AX27" s="63" t="str">
        <f t="shared" si="10"/>
        <v>Proses RBT-RBL</v>
      </c>
      <c r="AY27" s="63" t="str">
        <f t="shared" si="11"/>
        <v>Proses RBT-RBTD</v>
      </c>
      <c r="AZ27" s="63" t="str">
        <f t="shared" si="12"/>
        <v>Proses RBT-RBTD</v>
      </c>
      <c r="BA27" s="63" t="str">
        <f t="shared" si="13"/>
        <v>Selesai RBT-RBTD</v>
      </c>
      <c r="BB27" s="63" t="str">
        <f t="shared" si="14"/>
        <v>Selesai RPP</v>
      </c>
      <c r="BC27" s="63" t="str">
        <f t="shared" si="15"/>
        <v>Proses KAK</v>
      </c>
      <c r="BD27" s="63" t="str">
        <f t="shared" si="16"/>
        <v>Selesai KAK</v>
      </c>
      <c r="BE27" s="43">
        <v>1.4999999999999999E-2</v>
      </c>
      <c r="BF27" s="43">
        <v>0.03</v>
      </c>
      <c r="BG27" s="43">
        <v>4.4999999999999998E-2</v>
      </c>
      <c r="BH27" s="43">
        <v>0.06</v>
      </c>
      <c r="BI27" s="43">
        <v>7.4999999999999997E-2</v>
      </c>
      <c r="BJ27" s="43">
        <v>0.09</v>
      </c>
      <c r="BK27" s="43">
        <v>0.105</v>
      </c>
      <c r="BL27" s="43">
        <v>0.13</v>
      </c>
      <c r="BM27" s="43">
        <v>0.15</v>
      </c>
      <c r="BN27" s="43">
        <v>0.2</v>
      </c>
      <c r="BO27" s="43">
        <v>0.22500000000000001</v>
      </c>
      <c r="BP27" s="43">
        <v>0.25</v>
      </c>
      <c r="BQ27" s="63" t="str">
        <f t="shared" si="17"/>
        <v>Not Started</v>
      </c>
      <c r="BR27" s="63" t="str">
        <f t="shared" si="18"/>
        <v>Not Started</v>
      </c>
      <c r="BS27" s="63" t="str">
        <f t="shared" si="19"/>
        <v>Not Started</v>
      </c>
      <c r="BT27" s="63" t="str">
        <f t="shared" si="20"/>
        <v>Not Started</v>
      </c>
      <c r="BU27" s="63" t="str">
        <f t="shared" si="21"/>
        <v>Not Started</v>
      </c>
      <c r="BV27" s="63" t="str">
        <f t="shared" si="22"/>
        <v>Not Started</v>
      </c>
      <c r="BW27" s="63" t="str">
        <f t="shared" si="23"/>
        <v>Not Started</v>
      </c>
      <c r="BX27" s="63" t="str">
        <f t="shared" si="24"/>
        <v>Not Started</v>
      </c>
      <c r="BY27" s="63" t="str">
        <f t="shared" si="25"/>
        <v>Not Started</v>
      </c>
      <c r="BZ27" s="63" t="str">
        <f t="shared" si="26"/>
        <v>Not Started</v>
      </c>
      <c r="CA27" s="63" t="str">
        <f t="shared" si="27"/>
        <v>Not Started</v>
      </c>
      <c r="CB27" s="63" t="str">
        <f t="shared" si="28"/>
        <v>Not Started</v>
      </c>
      <c r="CC27" s="44">
        <f t="shared" si="67"/>
        <v>0</v>
      </c>
      <c r="CD27" s="44"/>
      <c r="CE27" s="44"/>
      <c r="CF27" s="44"/>
      <c r="CG27" s="44"/>
      <c r="CH27" s="242"/>
      <c r="CI27" s="44"/>
      <c r="CJ27" s="44"/>
      <c r="CK27" s="44"/>
      <c r="CL27" s="44"/>
      <c r="CM27" s="44"/>
      <c r="CN27" s="44"/>
      <c r="CO27" s="45">
        <f t="shared" si="63"/>
        <v>0</v>
      </c>
      <c r="CP27" s="45">
        <f t="shared" si="65"/>
        <v>0</v>
      </c>
      <c r="CQ27" s="45">
        <f t="shared" si="29"/>
        <v>0</v>
      </c>
      <c r="CR27" s="45">
        <f t="shared" si="30"/>
        <v>0</v>
      </c>
      <c r="CS27" s="45">
        <f t="shared" si="31"/>
        <v>0</v>
      </c>
      <c r="CT27" s="45">
        <f t="shared" si="32"/>
        <v>0</v>
      </c>
      <c r="CU27" s="45">
        <f t="shared" si="33"/>
        <v>0</v>
      </c>
      <c r="CV27" s="45">
        <f t="shared" si="34"/>
        <v>0</v>
      </c>
      <c r="CW27" s="45">
        <f t="shared" si="35"/>
        <v>0</v>
      </c>
      <c r="CX27" s="45">
        <f t="shared" si="36"/>
        <v>0</v>
      </c>
      <c r="CY27" s="45">
        <f t="shared" si="37"/>
        <v>0</v>
      </c>
      <c r="CZ27" s="45"/>
      <c r="DA27" s="45" t="str">
        <f t="shared" si="38"/>
        <v>BS</v>
      </c>
      <c r="DB27" s="45" t="str">
        <f t="shared" si="39"/>
        <v>BS</v>
      </c>
      <c r="DC27" s="45" t="str">
        <f t="shared" si="40"/>
        <v>BS</v>
      </c>
      <c r="DD27" s="45" t="str">
        <f t="shared" si="41"/>
        <v>BS</v>
      </c>
      <c r="DE27" s="45" t="str">
        <f t="shared" si="42"/>
        <v>BS</v>
      </c>
      <c r="DF27" s="45" t="str">
        <f t="shared" si="43"/>
        <v>BS</v>
      </c>
      <c r="DG27" s="45" t="str">
        <f t="shared" si="44"/>
        <v>BS</v>
      </c>
      <c r="DH27" s="45" t="str">
        <f t="shared" si="45"/>
        <v>BS</v>
      </c>
      <c r="DI27" s="45" t="str">
        <f t="shared" si="46"/>
        <v>BS</v>
      </c>
      <c r="DJ27" s="45" t="str">
        <f t="shared" si="47"/>
        <v>BS</v>
      </c>
      <c r="DK27" s="45" t="str">
        <f t="shared" si="48"/>
        <v>BS</v>
      </c>
      <c r="DL27" s="45" t="str">
        <f t="shared" si="49"/>
        <v>BS</v>
      </c>
      <c r="DM27" s="45">
        <f t="shared" si="50"/>
        <v>0</v>
      </c>
      <c r="DN27" s="45">
        <f t="shared" si="51"/>
        <v>0</v>
      </c>
      <c r="DO27" s="45">
        <f t="shared" si="52"/>
        <v>0</v>
      </c>
      <c r="DP27" s="45">
        <f t="shared" si="53"/>
        <v>0</v>
      </c>
      <c r="DQ27" s="45">
        <f t="shared" si="54"/>
        <v>0</v>
      </c>
      <c r="DR27" s="45">
        <f t="shared" si="55"/>
        <v>0</v>
      </c>
      <c r="DS27" s="45">
        <f t="shared" si="56"/>
        <v>0</v>
      </c>
      <c r="DT27" s="45">
        <f t="shared" si="57"/>
        <v>0</v>
      </c>
      <c r="DU27" s="45">
        <f t="shared" si="58"/>
        <v>0</v>
      </c>
      <c r="DV27" s="45">
        <f t="shared" si="59"/>
        <v>0</v>
      </c>
      <c r="DW27" s="45">
        <f t="shared" si="60"/>
        <v>0</v>
      </c>
      <c r="DX27" s="45">
        <f t="shared" si="61"/>
        <v>0</v>
      </c>
      <c r="DY27" s="41"/>
      <c r="DZ27" s="41"/>
      <c r="EA27" s="41"/>
      <c r="EB27" s="41"/>
      <c r="EC27" s="41"/>
      <c r="ED27" s="41"/>
      <c r="EE27" s="41"/>
      <c r="EF27" s="41"/>
      <c r="EG27" s="41"/>
      <c r="EH27" s="47"/>
      <c r="EI27" s="222"/>
      <c r="EJ27" s="59">
        <f t="shared" si="62"/>
        <v>46752</v>
      </c>
      <c r="EK27" s="229"/>
      <c r="EL27" s="230"/>
      <c r="EM27" s="229"/>
      <c r="EN27" s="222"/>
      <c r="EO27" s="222"/>
      <c r="EP27" s="222"/>
      <c r="EQ27" s="231"/>
      <c r="ER27" s="213"/>
      <c r="ES27" s="220"/>
      <c r="ET27" s="220"/>
      <c r="EU27" s="220"/>
      <c r="EV27" s="220"/>
      <c r="EW27" s="220"/>
      <c r="EX27" s="220"/>
      <c r="EY27" s="220"/>
      <c r="EZ27" s="220"/>
      <c r="FA27" s="222"/>
      <c r="FB27" s="222"/>
      <c r="FC27" s="222"/>
      <c r="FD27" s="222"/>
      <c r="FE27" s="220"/>
      <c r="FF27" s="220"/>
      <c r="FG27" s="222"/>
      <c r="FH27" s="220"/>
      <c r="FI27" s="220"/>
      <c r="FJ27" s="220"/>
      <c r="FK27" s="220"/>
      <c r="FL27" s="215"/>
      <c r="FM27" s="172" t="s">
        <v>333</v>
      </c>
      <c r="FN27" s="340" t="s">
        <v>315</v>
      </c>
      <c r="FO27" s="224" t="s">
        <v>300</v>
      </c>
      <c r="FP27" s="172" t="s">
        <v>344</v>
      </c>
      <c r="FQ27" s="172" t="s">
        <v>328</v>
      </c>
      <c r="FR27" s="268" t="s">
        <v>184</v>
      </c>
      <c r="FS27" s="213" t="s">
        <v>345</v>
      </c>
      <c r="FT27" s="267" t="s">
        <v>346</v>
      </c>
      <c r="FU27" s="269">
        <v>5</v>
      </c>
    </row>
    <row r="28" spans="1:177" s="16" customFormat="1" ht="160">
      <c r="A28" s="63" t="s">
        <v>347</v>
      </c>
      <c r="B28" s="48" t="s">
        <v>337</v>
      </c>
      <c r="C28" s="64" t="s">
        <v>291</v>
      </c>
      <c r="D28" s="213" t="s">
        <v>338</v>
      </c>
      <c r="E28" s="63" t="s">
        <v>348</v>
      </c>
      <c r="F28" s="249">
        <v>1</v>
      </c>
      <c r="G28" s="213" t="s">
        <v>349</v>
      </c>
      <c r="H28" s="213" t="s">
        <v>350</v>
      </c>
      <c r="I28" s="213" t="s">
        <v>351</v>
      </c>
      <c r="J28" s="48">
        <v>2026</v>
      </c>
      <c r="K28" s="48">
        <v>2028</v>
      </c>
      <c r="L28" s="63" t="s">
        <v>352</v>
      </c>
      <c r="M28" s="63" t="s">
        <v>173</v>
      </c>
      <c r="N28" s="63" t="s">
        <v>174</v>
      </c>
      <c r="O28" s="63" t="s">
        <v>343</v>
      </c>
      <c r="P28" s="63" t="s">
        <v>212</v>
      </c>
      <c r="Q28" s="63" t="s">
        <v>297</v>
      </c>
      <c r="R28" s="63" t="s">
        <v>353</v>
      </c>
      <c r="S28" s="63" t="str">
        <f t="shared" si="0"/>
        <v>Not Started</v>
      </c>
      <c r="T28" s="63" t="str">
        <f t="shared" si="1"/>
        <v>Not Started</v>
      </c>
      <c r="U28" s="63" t="str">
        <f t="shared" si="2"/>
        <v>Yolanda Dini</v>
      </c>
      <c r="V28" s="67">
        <f t="shared" si="3"/>
        <v>0</v>
      </c>
      <c r="W28" s="66" t="s">
        <v>314</v>
      </c>
      <c r="X28" s="59">
        <f t="shared" si="4"/>
        <v>46752</v>
      </c>
      <c r="Y28" s="228">
        <v>0</v>
      </c>
      <c r="Z28" s="63"/>
      <c r="AA28" s="62">
        <v>46023</v>
      </c>
      <c r="AB28" s="42">
        <v>46295</v>
      </c>
      <c r="AC28" s="42">
        <v>46296</v>
      </c>
      <c r="AD28" s="42">
        <v>46326</v>
      </c>
      <c r="AE28" s="42">
        <v>46327</v>
      </c>
      <c r="AF28" s="42">
        <v>46387</v>
      </c>
      <c r="AG28" s="42">
        <v>46388</v>
      </c>
      <c r="AH28" s="42">
        <v>46477</v>
      </c>
      <c r="AI28" s="42">
        <v>46478</v>
      </c>
      <c r="AJ28" s="42">
        <v>46538</v>
      </c>
      <c r="AK28" s="42">
        <v>46539</v>
      </c>
      <c r="AL28" s="42">
        <v>46660</v>
      </c>
      <c r="AM28" s="42">
        <v>46661</v>
      </c>
      <c r="AN28" s="42">
        <v>46690</v>
      </c>
      <c r="AO28" s="42">
        <v>46692</v>
      </c>
      <c r="AP28" s="42">
        <v>46721</v>
      </c>
      <c r="AQ28" s="42">
        <v>46722</v>
      </c>
      <c r="AR28" s="42">
        <v>46752</v>
      </c>
      <c r="AS28" s="63" t="str">
        <f t="shared" si="5"/>
        <v>Proses RBT-RBB</v>
      </c>
      <c r="AT28" s="63" t="str">
        <f t="shared" si="6"/>
        <v>Proses RBT-RBB</v>
      </c>
      <c r="AU28" s="63" t="str">
        <f t="shared" si="7"/>
        <v>Proses RBT-RBB</v>
      </c>
      <c r="AV28" s="63" t="str">
        <f t="shared" si="8"/>
        <v>Proses RBT-RBL</v>
      </c>
      <c r="AW28" s="63" t="str">
        <f t="shared" si="9"/>
        <v>Proses RBT-RBL</v>
      </c>
      <c r="AX28" s="63" t="str">
        <f t="shared" si="10"/>
        <v>Proses RBT-RBL</v>
      </c>
      <c r="AY28" s="63" t="str">
        <f t="shared" si="11"/>
        <v>Proses RBT-RBTD</v>
      </c>
      <c r="AZ28" s="63" t="str">
        <f t="shared" si="12"/>
        <v>Proses RBT-RBTD</v>
      </c>
      <c r="BA28" s="63" t="str">
        <f t="shared" si="13"/>
        <v>Selesai RBT-RBTD</v>
      </c>
      <c r="BB28" s="63" t="str">
        <f t="shared" si="14"/>
        <v>Selesai RPP</v>
      </c>
      <c r="BC28" s="63" t="str">
        <f t="shared" si="15"/>
        <v>Selesai RPP</v>
      </c>
      <c r="BD28" s="63" t="str">
        <f t="shared" si="16"/>
        <v>Selesai KAK</v>
      </c>
      <c r="BE28" s="43">
        <v>1.4999999999999999E-2</v>
      </c>
      <c r="BF28" s="43">
        <v>0.03</v>
      </c>
      <c r="BG28" s="43">
        <v>4.4999999999999998E-2</v>
      </c>
      <c r="BH28" s="43">
        <v>0.06</v>
      </c>
      <c r="BI28" s="43">
        <v>7.4999999999999997E-2</v>
      </c>
      <c r="BJ28" s="43">
        <v>0.09</v>
      </c>
      <c r="BK28" s="43">
        <v>0.105</v>
      </c>
      <c r="BL28" s="43">
        <v>0.13</v>
      </c>
      <c r="BM28" s="43">
        <v>0.15</v>
      </c>
      <c r="BN28" s="43">
        <v>0.2</v>
      </c>
      <c r="BO28" s="43">
        <v>0.2</v>
      </c>
      <c r="BP28" s="43">
        <v>0.25</v>
      </c>
      <c r="BQ28" s="63" t="str">
        <f t="shared" si="17"/>
        <v>Not Started</v>
      </c>
      <c r="BR28" s="63" t="str">
        <f t="shared" si="18"/>
        <v>Not Started</v>
      </c>
      <c r="BS28" s="63" t="str">
        <f t="shared" si="19"/>
        <v>Not Started</v>
      </c>
      <c r="BT28" s="63" t="str">
        <f t="shared" si="20"/>
        <v>Not Started</v>
      </c>
      <c r="BU28" s="63" t="str">
        <f t="shared" si="21"/>
        <v>Not Started</v>
      </c>
      <c r="BV28" s="63" t="str">
        <f t="shared" si="22"/>
        <v>Not Started</v>
      </c>
      <c r="BW28" s="63" t="str">
        <f t="shared" si="23"/>
        <v>Not Started</v>
      </c>
      <c r="BX28" s="63" t="str">
        <f t="shared" si="24"/>
        <v>Not Started</v>
      </c>
      <c r="BY28" s="63" t="str">
        <f t="shared" si="25"/>
        <v>Not Started</v>
      </c>
      <c r="BZ28" s="63" t="str">
        <f t="shared" si="26"/>
        <v>Not Started</v>
      </c>
      <c r="CA28" s="63" t="str">
        <f t="shared" si="27"/>
        <v>Not Started</v>
      </c>
      <c r="CB28" s="63" t="str">
        <f t="shared" si="28"/>
        <v>Not Started</v>
      </c>
      <c r="CC28" s="44">
        <f t="shared" si="67"/>
        <v>0</v>
      </c>
      <c r="CD28" s="44"/>
      <c r="CE28" s="44"/>
      <c r="CF28" s="44"/>
      <c r="CG28" s="44"/>
      <c r="CH28" s="242"/>
      <c r="CI28" s="44"/>
      <c r="CJ28" s="44"/>
      <c r="CK28" s="44"/>
      <c r="CL28" s="44"/>
      <c r="CM28" s="44"/>
      <c r="CN28" s="44"/>
      <c r="CO28" s="45">
        <f t="shared" si="63"/>
        <v>0</v>
      </c>
      <c r="CP28" s="45">
        <f t="shared" si="65"/>
        <v>0</v>
      </c>
      <c r="CQ28" s="45">
        <f t="shared" si="29"/>
        <v>0</v>
      </c>
      <c r="CR28" s="45">
        <f t="shared" si="30"/>
        <v>0</v>
      </c>
      <c r="CS28" s="45">
        <f t="shared" si="31"/>
        <v>0</v>
      </c>
      <c r="CT28" s="45">
        <f t="shared" si="32"/>
        <v>0</v>
      </c>
      <c r="CU28" s="45">
        <f t="shared" si="33"/>
        <v>0</v>
      </c>
      <c r="CV28" s="45">
        <f t="shared" si="34"/>
        <v>0</v>
      </c>
      <c r="CW28" s="45">
        <f t="shared" si="35"/>
        <v>0</v>
      </c>
      <c r="CX28" s="45">
        <f t="shared" si="36"/>
        <v>0</v>
      </c>
      <c r="CY28" s="45">
        <f t="shared" si="37"/>
        <v>0</v>
      </c>
      <c r="CZ28" s="45"/>
      <c r="DA28" s="45" t="str">
        <f t="shared" si="38"/>
        <v>BS</v>
      </c>
      <c r="DB28" s="45" t="str">
        <f t="shared" si="39"/>
        <v>BS</v>
      </c>
      <c r="DC28" s="45" t="str">
        <f t="shared" si="40"/>
        <v>BS</v>
      </c>
      <c r="DD28" s="45" t="str">
        <f t="shared" si="41"/>
        <v>BS</v>
      </c>
      <c r="DE28" s="45" t="str">
        <f t="shared" si="42"/>
        <v>BS</v>
      </c>
      <c r="DF28" s="45" t="str">
        <f t="shared" si="43"/>
        <v>BS</v>
      </c>
      <c r="DG28" s="45" t="str">
        <f t="shared" si="44"/>
        <v>BS</v>
      </c>
      <c r="DH28" s="45" t="str">
        <f t="shared" si="45"/>
        <v>BS</v>
      </c>
      <c r="DI28" s="45" t="str">
        <f t="shared" si="46"/>
        <v>BS</v>
      </c>
      <c r="DJ28" s="45" t="str">
        <f t="shared" si="47"/>
        <v>BS</v>
      </c>
      <c r="DK28" s="45" t="str">
        <f t="shared" si="48"/>
        <v>BS</v>
      </c>
      <c r="DL28" s="45" t="str">
        <f t="shared" si="49"/>
        <v>BS</v>
      </c>
      <c r="DM28" s="45">
        <f t="shared" si="50"/>
        <v>0</v>
      </c>
      <c r="DN28" s="45">
        <f t="shared" si="51"/>
        <v>0</v>
      </c>
      <c r="DO28" s="45">
        <f t="shared" si="52"/>
        <v>0</v>
      </c>
      <c r="DP28" s="45">
        <f t="shared" si="53"/>
        <v>0</v>
      </c>
      <c r="DQ28" s="45">
        <f t="shared" si="54"/>
        <v>0</v>
      </c>
      <c r="DR28" s="45">
        <f t="shared" si="55"/>
        <v>0</v>
      </c>
      <c r="DS28" s="45">
        <f t="shared" si="56"/>
        <v>0</v>
      </c>
      <c r="DT28" s="45">
        <f t="shared" si="57"/>
        <v>0</v>
      </c>
      <c r="DU28" s="45">
        <f t="shared" si="58"/>
        <v>0</v>
      </c>
      <c r="DV28" s="45">
        <f t="shared" si="59"/>
        <v>0</v>
      </c>
      <c r="DW28" s="45">
        <f t="shared" si="60"/>
        <v>0</v>
      </c>
      <c r="DX28" s="45">
        <f t="shared" si="61"/>
        <v>0</v>
      </c>
      <c r="DY28" s="41"/>
      <c r="DZ28" s="41"/>
      <c r="EA28" s="41"/>
      <c r="EB28" s="41"/>
      <c r="EC28" s="41"/>
      <c r="ED28" s="41"/>
      <c r="EE28" s="41"/>
      <c r="EF28" s="41"/>
      <c r="EG28" s="41"/>
      <c r="EH28" s="49" t="s">
        <v>354</v>
      </c>
      <c r="EI28" s="222"/>
      <c r="EJ28" s="59">
        <f t="shared" si="62"/>
        <v>46752</v>
      </c>
      <c r="EK28" s="229"/>
      <c r="EL28" s="230"/>
      <c r="EM28" s="229"/>
      <c r="EN28" s="222"/>
      <c r="EO28" s="222"/>
      <c r="EP28" s="222"/>
      <c r="EQ28" s="231"/>
      <c r="ER28" s="213"/>
      <c r="ES28" s="220"/>
      <c r="ET28" s="220"/>
      <c r="EU28" s="220"/>
      <c r="EV28" s="220"/>
      <c r="EW28" s="220"/>
      <c r="EX28" s="220"/>
      <c r="EY28" s="220"/>
      <c r="EZ28" s="220"/>
      <c r="FA28" s="222"/>
      <c r="FB28" s="222"/>
      <c r="FC28" s="222"/>
      <c r="FD28" s="222"/>
      <c r="FE28" s="220"/>
      <c r="FF28" s="220"/>
      <c r="FG28" s="222"/>
      <c r="FH28" s="220"/>
      <c r="FI28" s="220"/>
      <c r="FJ28" s="220"/>
      <c r="FK28" s="220"/>
      <c r="FL28" s="215"/>
      <c r="FM28" s="172" t="s">
        <v>333</v>
      </c>
      <c r="FN28" s="340" t="s">
        <v>315</v>
      </c>
      <c r="FO28" s="224" t="s">
        <v>300</v>
      </c>
      <c r="FP28" s="172" t="s">
        <v>355</v>
      </c>
      <c r="FQ28" s="172" t="s">
        <v>328</v>
      </c>
      <c r="FR28" s="223"/>
      <c r="FS28" s="223"/>
      <c r="FT28" s="267" t="s">
        <v>346</v>
      </c>
      <c r="FU28" s="269"/>
    </row>
    <row r="29" spans="1:177" s="16" customFormat="1" ht="160">
      <c r="A29" s="63" t="s">
        <v>356</v>
      </c>
      <c r="B29" s="48" t="s">
        <v>337</v>
      </c>
      <c r="C29" s="64" t="s">
        <v>291</v>
      </c>
      <c r="D29" s="213" t="s">
        <v>338</v>
      </c>
      <c r="E29" s="63" t="s">
        <v>348</v>
      </c>
      <c r="F29" s="249">
        <f>F28+1</f>
        <v>2</v>
      </c>
      <c r="G29" s="213" t="s">
        <v>349</v>
      </c>
      <c r="H29" s="213" t="s">
        <v>350</v>
      </c>
      <c r="I29" s="213" t="s">
        <v>357</v>
      </c>
      <c r="J29" s="48">
        <v>2027</v>
      </c>
      <c r="K29" s="48">
        <v>2028</v>
      </c>
      <c r="L29" s="63" t="s">
        <v>352</v>
      </c>
      <c r="M29" s="63" t="s">
        <v>173</v>
      </c>
      <c r="N29" s="63" t="s">
        <v>174</v>
      </c>
      <c r="O29" s="63" t="s">
        <v>343</v>
      </c>
      <c r="P29" s="63" t="s">
        <v>212</v>
      </c>
      <c r="Q29" s="63" t="s">
        <v>297</v>
      </c>
      <c r="R29" s="63" t="s">
        <v>358</v>
      </c>
      <c r="S29" s="63" t="str">
        <f t="shared" si="0"/>
        <v>Not Started</v>
      </c>
      <c r="T29" s="63" t="str">
        <f t="shared" si="1"/>
        <v>Not Started</v>
      </c>
      <c r="U29" s="63" t="str">
        <f t="shared" si="2"/>
        <v>Yolanda Dini</v>
      </c>
      <c r="V29" s="67">
        <f t="shared" si="3"/>
        <v>0</v>
      </c>
      <c r="W29" s="66" t="s">
        <v>359</v>
      </c>
      <c r="X29" s="59">
        <f t="shared" si="4"/>
        <v>47118</v>
      </c>
      <c r="Y29" s="228">
        <v>1</v>
      </c>
      <c r="Z29" s="63"/>
      <c r="AA29" s="62">
        <v>46388</v>
      </c>
      <c r="AB29" s="42">
        <v>46660</v>
      </c>
      <c r="AC29" s="42">
        <v>46661</v>
      </c>
      <c r="AD29" s="42">
        <v>46691</v>
      </c>
      <c r="AE29" s="42">
        <v>46692</v>
      </c>
      <c r="AF29" s="42">
        <v>46752</v>
      </c>
      <c r="AG29" s="42">
        <v>46753</v>
      </c>
      <c r="AH29" s="42">
        <v>46843</v>
      </c>
      <c r="AI29" s="42">
        <v>46844</v>
      </c>
      <c r="AJ29" s="42">
        <v>46904</v>
      </c>
      <c r="AK29" s="42">
        <v>46905</v>
      </c>
      <c r="AL29" s="42">
        <v>47026</v>
      </c>
      <c r="AM29" s="42">
        <v>47027</v>
      </c>
      <c r="AN29" s="42">
        <v>47056</v>
      </c>
      <c r="AO29" s="42">
        <v>47058</v>
      </c>
      <c r="AP29" s="42">
        <v>47087</v>
      </c>
      <c r="AQ29" s="42">
        <v>47088</v>
      </c>
      <c r="AR29" s="42">
        <v>47118</v>
      </c>
      <c r="AS29" s="63" t="str">
        <f t="shared" si="5"/>
        <v>Not Started</v>
      </c>
      <c r="AT29" s="63" t="str">
        <f t="shared" si="6"/>
        <v>Not Started</v>
      </c>
      <c r="AU29" s="63" t="str">
        <f t="shared" si="7"/>
        <v>Not Started</v>
      </c>
      <c r="AV29" s="63" t="str">
        <f t="shared" si="8"/>
        <v>Not Started</v>
      </c>
      <c r="AW29" s="63" t="str">
        <f t="shared" si="9"/>
        <v>Not Started</v>
      </c>
      <c r="AX29" s="63" t="str">
        <f t="shared" si="10"/>
        <v>Not Started</v>
      </c>
      <c r="AY29" s="63" t="str">
        <f t="shared" si="11"/>
        <v>Not Started</v>
      </c>
      <c r="AZ29" s="63" t="str">
        <f t="shared" si="12"/>
        <v>Not Started</v>
      </c>
      <c r="BA29" s="63" t="str">
        <f t="shared" si="13"/>
        <v>Not Started</v>
      </c>
      <c r="BB29" s="63" t="str">
        <f t="shared" si="14"/>
        <v>Not Started</v>
      </c>
      <c r="BC29" s="63" t="str">
        <f t="shared" si="15"/>
        <v>Not Started</v>
      </c>
      <c r="BD29" s="63" t="str">
        <f t="shared" si="16"/>
        <v>Not Started</v>
      </c>
      <c r="BE29" s="219">
        <v>0</v>
      </c>
      <c r="BF29" s="219">
        <v>0</v>
      </c>
      <c r="BG29" s="219">
        <v>0</v>
      </c>
      <c r="BH29" s="219">
        <v>0</v>
      </c>
      <c r="BI29" s="219">
        <v>0</v>
      </c>
      <c r="BJ29" s="219">
        <v>0</v>
      </c>
      <c r="BK29" s="219">
        <v>0</v>
      </c>
      <c r="BL29" s="219">
        <v>0</v>
      </c>
      <c r="BM29" s="219">
        <v>0</v>
      </c>
      <c r="BN29" s="219">
        <v>0</v>
      </c>
      <c r="BO29" s="219">
        <v>0</v>
      </c>
      <c r="BP29" s="219">
        <v>0</v>
      </c>
      <c r="BQ29" s="63" t="str">
        <f t="shared" si="17"/>
        <v>Not Started</v>
      </c>
      <c r="BR29" s="63" t="str">
        <f t="shared" si="18"/>
        <v>Not Started</v>
      </c>
      <c r="BS29" s="63" t="str">
        <f t="shared" si="19"/>
        <v>Not Started</v>
      </c>
      <c r="BT29" s="63" t="str">
        <f t="shared" si="20"/>
        <v>Not Started</v>
      </c>
      <c r="BU29" s="63" t="str">
        <f t="shared" si="21"/>
        <v>Not Started</v>
      </c>
      <c r="BV29" s="63" t="str">
        <f t="shared" si="22"/>
        <v>Selesai Implementasi</v>
      </c>
      <c r="BW29" s="63" t="str">
        <f t="shared" si="23"/>
        <v>Not Started</v>
      </c>
      <c r="BX29" s="63" t="str">
        <f t="shared" si="24"/>
        <v>Not Started</v>
      </c>
      <c r="BY29" s="63" t="str">
        <f t="shared" si="25"/>
        <v>Not Started</v>
      </c>
      <c r="BZ29" s="63" t="str">
        <f t="shared" si="26"/>
        <v>Not Started</v>
      </c>
      <c r="CA29" s="63" t="str">
        <f t="shared" si="27"/>
        <v>Not Started</v>
      </c>
      <c r="CB29" s="63" t="str">
        <f t="shared" si="28"/>
        <v>Not Started</v>
      </c>
      <c r="CC29" s="44">
        <v>0</v>
      </c>
      <c r="CD29" s="44">
        <v>0</v>
      </c>
      <c r="CE29" s="44">
        <v>0</v>
      </c>
      <c r="CF29" s="44">
        <v>0</v>
      </c>
      <c r="CG29" s="44">
        <v>0</v>
      </c>
      <c r="CH29" s="242">
        <v>0.99999999999999989</v>
      </c>
      <c r="CI29" s="44">
        <v>0</v>
      </c>
      <c r="CJ29" s="44"/>
      <c r="CK29" s="44"/>
      <c r="CL29" s="44">
        <v>0</v>
      </c>
      <c r="CM29" s="44">
        <f t="shared" ref="CM29:CN38" si="68">(($DY29/100%)*15%)+(($DZ29/100%)*5%)+(($EA29/100%)*5%)+(($EB29/100%)*5%)+(($EC29/100%)*15%)+(($ED29/100%)*35%)+(($EE29/100%)*7.5%)+(($EF29/100%)*7.5%)+(($EG29/100%)*5%)</f>
        <v>0</v>
      </c>
      <c r="CN29" s="44">
        <f t="shared" si="68"/>
        <v>0</v>
      </c>
      <c r="CO29" s="45">
        <f t="shared" si="63"/>
        <v>1</v>
      </c>
      <c r="CP29" s="45">
        <f t="shared" si="65"/>
        <v>1</v>
      </c>
      <c r="CQ29" s="45">
        <f t="shared" si="29"/>
        <v>1</v>
      </c>
      <c r="CR29" s="45">
        <f t="shared" si="30"/>
        <v>1</v>
      </c>
      <c r="CS29" s="45">
        <f t="shared" si="31"/>
        <v>1</v>
      </c>
      <c r="CT29" s="45">
        <f t="shared" si="32"/>
        <v>1</v>
      </c>
      <c r="CU29" s="45">
        <f t="shared" si="33"/>
        <v>1</v>
      </c>
      <c r="CV29" s="45">
        <f t="shared" si="34"/>
        <v>1</v>
      </c>
      <c r="CW29" s="45">
        <f t="shared" si="35"/>
        <v>1</v>
      </c>
      <c r="CX29" s="45">
        <f t="shared" si="36"/>
        <v>1</v>
      </c>
      <c r="CY29" s="45">
        <f t="shared" si="37"/>
        <v>1</v>
      </c>
      <c r="CZ29" s="45"/>
      <c r="DA29" s="45" t="str">
        <f t="shared" si="38"/>
        <v>NS</v>
      </c>
      <c r="DB29" s="45" t="str">
        <f t="shared" si="39"/>
        <v>NS</v>
      </c>
      <c r="DC29" s="45" t="str">
        <f t="shared" si="40"/>
        <v>NS</v>
      </c>
      <c r="DD29" s="45" t="str">
        <f t="shared" si="41"/>
        <v>NS</v>
      </c>
      <c r="DE29" s="45" t="str">
        <f t="shared" si="42"/>
        <v>NS</v>
      </c>
      <c r="DF29" s="45" t="str">
        <f t="shared" si="43"/>
        <v>NS</v>
      </c>
      <c r="DG29" s="45" t="str">
        <f t="shared" si="44"/>
        <v>NS</v>
      </c>
      <c r="DH29" s="45" t="str">
        <f t="shared" si="45"/>
        <v>NS</v>
      </c>
      <c r="DI29" s="45" t="str">
        <f t="shared" si="46"/>
        <v>NS</v>
      </c>
      <c r="DJ29" s="45" t="str">
        <f t="shared" si="47"/>
        <v>NS</v>
      </c>
      <c r="DK29" s="45" t="str">
        <f t="shared" si="48"/>
        <v>NS</v>
      </c>
      <c r="DL29" s="45" t="str">
        <f t="shared" si="49"/>
        <v>NS</v>
      </c>
      <c r="DM29" s="45" t="e">
        <f t="shared" si="50"/>
        <v>#DIV/0!</v>
      </c>
      <c r="DN29" s="45" t="e">
        <f t="shared" si="51"/>
        <v>#DIV/0!</v>
      </c>
      <c r="DO29" s="45" t="e">
        <f t="shared" si="52"/>
        <v>#DIV/0!</v>
      </c>
      <c r="DP29" s="45" t="e">
        <f t="shared" si="53"/>
        <v>#DIV/0!</v>
      </c>
      <c r="DQ29" s="45" t="e">
        <f t="shared" si="54"/>
        <v>#DIV/0!</v>
      </c>
      <c r="DR29" s="45" t="e">
        <f t="shared" si="55"/>
        <v>#DIV/0!</v>
      </c>
      <c r="DS29" s="45" t="e">
        <f t="shared" si="56"/>
        <v>#DIV/0!</v>
      </c>
      <c r="DT29" s="45" t="e">
        <f t="shared" si="57"/>
        <v>#DIV/0!</v>
      </c>
      <c r="DU29" s="45" t="e">
        <f t="shared" si="58"/>
        <v>#DIV/0!</v>
      </c>
      <c r="DV29" s="45" t="e">
        <f t="shared" si="59"/>
        <v>#DIV/0!</v>
      </c>
      <c r="DW29" s="45" t="e">
        <f t="shared" si="60"/>
        <v>#DIV/0!</v>
      </c>
      <c r="DX29" s="45" t="e">
        <f t="shared" si="61"/>
        <v>#DIV/0!</v>
      </c>
      <c r="DY29" s="41"/>
      <c r="DZ29" s="41"/>
      <c r="EA29" s="41"/>
      <c r="EB29" s="41"/>
      <c r="EC29" s="41"/>
      <c r="ED29" s="41"/>
      <c r="EE29" s="41"/>
      <c r="EF29" s="41"/>
      <c r="EG29" s="41"/>
      <c r="EH29" s="57" t="s">
        <v>360</v>
      </c>
      <c r="EI29" s="222"/>
      <c r="EJ29" s="59">
        <f t="shared" si="62"/>
        <v>47118</v>
      </c>
      <c r="EK29" s="229"/>
      <c r="EL29" s="230"/>
      <c r="EM29" s="229"/>
      <c r="EN29" s="222"/>
      <c r="EO29" s="222"/>
      <c r="EP29" s="222"/>
      <c r="EQ29" s="231"/>
      <c r="ER29" s="213"/>
      <c r="ES29" s="220"/>
      <c r="ET29" s="220"/>
      <c r="EU29" s="220"/>
      <c r="EV29" s="220"/>
      <c r="EW29" s="220"/>
      <c r="EX29" s="220"/>
      <c r="EY29" s="220"/>
      <c r="EZ29" s="220"/>
      <c r="FA29" s="222"/>
      <c r="FB29" s="222"/>
      <c r="FC29" s="222"/>
      <c r="FD29" s="222"/>
      <c r="FE29" s="220"/>
      <c r="FF29" s="220"/>
      <c r="FG29" s="222"/>
      <c r="FH29" s="220"/>
      <c r="FI29" s="220"/>
      <c r="FJ29" s="220"/>
      <c r="FK29" s="220"/>
      <c r="FL29" s="215"/>
      <c r="FM29" s="172" t="s">
        <v>333</v>
      </c>
      <c r="FN29" s="340" t="s">
        <v>315</v>
      </c>
      <c r="FO29" s="224" t="s">
        <v>300</v>
      </c>
      <c r="FP29" s="172" t="s">
        <v>355</v>
      </c>
      <c r="FQ29" s="172" t="s">
        <v>328</v>
      </c>
      <c r="FR29" s="213" t="s">
        <v>184</v>
      </c>
      <c r="FS29" s="268" t="s">
        <v>361</v>
      </c>
      <c r="FT29" s="267" t="s">
        <v>346</v>
      </c>
      <c r="FU29" s="269"/>
    </row>
    <row r="30" spans="1:177" s="13" customFormat="1" ht="409.5">
      <c r="A30" s="63" t="s">
        <v>362</v>
      </c>
      <c r="B30" s="48" t="s">
        <v>363</v>
      </c>
      <c r="C30" s="64" t="s">
        <v>206</v>
      </c>
      <c r="D30" s="225" t="s">
        <v>207</v>
      </c>
      <c r="E30" s="63" t="s">
        <v>364</v>
      </c>
      <c r="F30" s="249">
        <v>1</v>
      </c>
      <c r="G30" s="65" t="s">
        <v>365</v>
      </c>
      <c r="H30" s="65" t="s">
        <v>366</v>
      </c>
      <c r="I30" s="65" t="s">
        <v>26</v>
      </c>
      <c r="J30" s="48">
        <v>2024</v>
      </c>
      <c r="K30" s="48">
        <v>2025</v>
      </c>
      <c r="L30" s="63" t="s">
        <v>172</v>
      </c>
      <c r="M30" s="63" t="s">
        <v>173</v>
      </c>
      <c r="N30" s="63" t="s">
        <v>174</v>
      </c>
      <c r="O30" s="63" t="s">
        <v>367</v>
      </c>
      <c r="P30" s="63" t="s">
        <v>212</v>
      </c>
      <c r="Q30" s="63" t="s">
        <v>199</v>
      </c>
      <c r="R30" s="63" t="s">
        <v>368</v>
      </c>
      <c r="S30" s="63" t="str">
        <f t="shared" si="0"/>
        <v>Selesai Implementasi</v>
      </c>
      <c r="T30" s="63" t="str">
        <f t="shared" si="1"/>
        <v>DONE</v>
      </c>
      <c r="U30" s="63" t="str">
        <f t="shared" si="2"/>
        <v>Rizky Arga</v>
      </c>
      <c r="V30" s="67">
        <f t="shared" si="3"/>
        <v>0.99999999999999989</v>
      </c>
      <c r="W30" s="66" t="s">
        <v>215</v>
      </c>
      <c r="X30" s="59">
        <f t="shared" si="4"/>
        <v>45744</v>
      </c>
      <c r="Y30" s="68" t="s">
        <v>224</v>
      </c>
      <c r="Z30" s="48"/>
      <c r="AA30" s="271"/>
      <c r="AB30" s="42">
        <v>45746</v>
      </c>
      <c r="AC30" s="42"/>
      <c r="AD30" s="42">
        <v>45746</v>
      </c>
      <c r="AE30" s="42"/>
      <c r="AF30" s="42"/>
      <c r="AG30" s="42"/>
      <c r="AH30" s="42"/>
      <c r="AI30" s="42">
        <v>45658</v>
      </c>
      <c r="AJ30" s="42">
        <v>45688</v>
      </c>
      <c r="AK30" s="42">
        <v>45689</v>
      </c>
      <c r="AL30" s="42">
        <v>45709</v>
      </c>
      <c r="AM30" s="42">
        <v>45712</v>
      </c>
      <c r="AN30" s="42">
        <v>45716</v>
      </c>
      <c r="AO30" s="42">
        <v>45719</v>
      </c>
      <c r="AP30" s="42">
        <v>45737</v>
      </c>
      <c r="AQ30" s="42">
        <v>45740</v>
      </c>
      <c r="AR30" s="42">
        <v>45744</v>
      </c>
      <c r="AS30" s="63" t="str">
        <f t="shared" si="5"/>
        <v>Selesai Desain</v>
      </c>
      <c r="AT30" s="63" t="str">
        <f t="shared" si="6"/>
        <v>Selesai Pengembangan</v>
      </c>
      <c r="AU30" s="63" t="str">
        <f t="shared" si="7"/>
        <v>Selesai Implementasi</v>
      </c>
      <c r="AV30" s="63" t="str">
        <f t="shared" si="8"/>
        <v>Selesai Implementasi</v>
      </c>
      <c r="AW30" s="63" t="str">
        <f t="shared" si="9"/>
        <v>Selesai Implementasi</v>
      </c>
      <c r="AX30" s="63" t="str">
        <f t="shared" si="10"/>
        <v>Selesai Implementasi</v>
      </c>
      <c r="AY30" s="63" t="str">
        <f t="shared" si="11"/>
        <v>Selesai Implementasi</v>
      </c>
      <c r="AZ30" s="63" t="str">
        <f t="shared" si="12"/>
        <v>Selesai Implementasi</v>
      </c>
      <c r="BA30" s="63" t="str">
        <f t="shared" si="13"/>
        <v>Selesai Implementasi</v>
      </c>
      <c r="BB30" s="63" t="str">
        <f t="shared" si="14"/>
        <v>Selesai Implementasi</v>
      </c>
      <c r="BC30" s="63" t="str">
        <f t="shared" si="15"/>
        <v>Selesai Implementasi</v>
      </c>
      <c r="BD30" s="63" t="str">
        <f t="shared" si="16"/>
        <v>Selesai Implementasi</v>
      </c>
      <c r="BE30" s="43">
        <v>0.45</v>
      </c>
      <c r="BF30" s="43">
        <f>(35%)+BE30</f>
        <v>0.8</v>
      </c>
      <c r="BG30" s="43">
        <v>1</v>
      </c>
      <c r="BH30" s="43">
        <v>1</v>
      </c>
      <c r="BI30" s="43">
        <v>1</v>
      </c>
      <c r="BJ30" s="43">
        <v>1</v>
      </c>
      <c r="BK30" s="43">
        <v>1</v>
      </c>
      <c r="BL30" s="43">
        <v>1</v>
      </c>
      <c r="BM30" s="43">
        <v>1</v>
      </c>
      <c r="BN30" s="43">
        <v>1</v>
      </c>
      <c r="BO30" s="43">
        <v>1</v>
      </c>
      <c r="BP30" s="43">
        <v>1</v>
      </c>
      <c r="BQ30" s="63" t="str">
        <f t="shared" si="17"/>
        <v>Selesai Implementasi</v>
      </c>
      <c r="BR30" s="63" t="str">
        <f t="shared" si="18"/>
        <v>Not Started</v>
      </c>
      <c r="BS30" s="63" t="str">
        <f t="shared" si="19"/>
        <v>Not Started</v>
      </c>
      <c r="BT30" s="63" t="str">
        <f t="shared" si="20"/>
        <v>Not Started</v>
      </c>
      <c r="BU30" s="63" t="str">
        <f t="shared" si="21"/>
        <v>Not Started</v>
      </c>
      <c r="BV30" s="63" t="str">
        <f t="shared" si="22"/>
        <v>Not Started</v>
      </c>
      <c r="BW30" s="63" t="str">
        <f t="shared" si="23"/>
        <v>Not Started</v>
      </c>
      <c r="BX30" s="63" t="str">
        <f t="shared" si="24"/>
        <v>Not Started</v>
      </c>
      <c r="BY30" s="63" t="str">
        <f t="shared" si="25"/>
        <v>Not Started</v>
      </c>
      <c r="BZ30" s="63" t="str">
        <f t="shared" si="26"/>
        <v>Not Started</v>
      </c>
      <c r="CA30" s="63" t="str">
        <f t="shared" si="27"/>
        <v>Not Started</v>
      </c>
      <c r="CB30" s="63" t="str">
        <f t="shared" si="28"/>
        <v>Not Started</v>
      </c>
      <c r="CC30" s="44">
        <f t="shared" ref="CC30:CC36" si="69">(($DY30/100%)*15%)+(($DZ30/100%)*5%)+(($EA30/100%)*5%)+(($EB30/100%)*5%)+(($EC30/100%)*15%)+(($ED30/100%)*35%)+(($EE30/100%)*7.5%)+(($EF30/100%)*7.5%)+(($EG30/100%)*5%)</f>
        <v>0.99999999999999989</v>
      </c>
      <c r="CD30" s="44"/>
      <c r="CE30" s="44"/>
      <c r="CF30" s="44"/>
      <c r="CG30" s="44"/>
      <c r="CH30" s="44"/>
      <c r="CI30" s="44"/>
      <c r="CJ30" s="44"/>
      <c r="CK30" s="44"/>
      <c r="CL30" s="44"/>
      <c r="CM30" s="44"/>
      <c r="CN30" s="44"/>
      <c r="CO30" s="45">
        <f t="shared" si="63"/>
        <v>2.2222222222222219</v>
      </c>
      <c r="CP30" s="45">
        <f t="shared" si="65"/>
        <v>0</v>
      </c>
      <c r="CQ30" s="45">
        <f t="shared" si="29"/>
        <v>0</v>
      </c>
      <c r="CR30" s="45">
        <f t="shared" si="30"/>
        <v>0</v>
      </c>
      <c r="CS30" s="45">
        <f t="shared" si="31"/>
        <v>0</v>
      </c>
      <c r="CT30" s="45">
        <f t="shared" si="32"/>
        <v>0</v>
      </c>
      <c r="CU30" s="45">
        <f t="shared" si="33"/>
        <v>0</v>
      </c>
      <c r="CV30" s="45">
        <f t="shared" si="34"/>
        <v>0</v>
      </c>
      <c r="CW30" s="45">
        <f t="shared" si="35"/>
        <v>0</v>
      </c>
      <c r="CX30" s="45">
        <f t="shared" si="36"/>
        <v>0</v>
      </c>
      <c r="CY30" s="45">
        <f t="shared" si="37"/>
        <v>0</v>
      </c>
      <c r="CZ30" s="45"/>
      <c r="DA30" s="45" t="str">
        <f t="shared" si="38"/>
        <v>DONE</v>
      </c>
      <c r="DB30" s="45" t="str">
        <f t="shared" si="39"/>
        <v>BS</v>
      </c>
      <c r="DC30" s="45" t="str">
        <f t="shared" si="40"/>
        <v>BS</v>
      </c>
      <c r="DD30" s="45" t="str">
        <f t="shared" si="41"/>
        <v>BS</v>
      </c>
      <c r="DE30" s="45" t="str">
        <f t="shared" si="42"/>
        <v>BS</v>
      </c>
      <c r="DF30" s="45" t="str">
        <f t="shared" si="43"/>
        <v>BS</v>
      </c>
      <c r="DG30" s="45" t="str">
        <f t="shared" si="44"/>
        <v>BS</v>
      </c>
      <c r="DH30" s="45" t="str">
        <f t="shared" si="45"/>
        <v>BS</v>
      </c>
      <c r="DI30" s="45" t="str">
        <f t="shared" si="46"/>
        <v>BS</v>
      </c>
      <c r="DJ30" s="45" t="str">
        <f t="shared" si="47"/>
        <v>BS</v>
      </c>
      <c r="DK30" s="45" t="str">
        <f t="shared" si="48"/>
        <v>BS</v>
      </c>
      <c r="DL30" s="45" t="str">
        <f t="shared" si="49"/>
        <v>BS</v>
      </c>
      <c r="DM30" s="45">
        <f t="shared" si="50"/>
        <v>0.99999999999999989</v>
      </c>
      <c r="DN30" s="45">
        <f t="shared" si="51"/>
        <v>0</v>
      </c>
      <c r="DO30" s="45">
        <f t="shared" si="52"/>
        <v>0</v>
      </c>
      <c r="DP30" s="45">
        <f t="shared" si="53"/>
        <v>0</v>
      </c>
      <c r="DQ30" s="45">
        <f t="shared" si="54"/>
        <v>0</v>
      </c>
      <c r="DR30" s="45">
        <f t="shared" si="55"/>
        <v>0</v>
      </c>
      <c r="DS30" s="45">
        <f t="shared" si="56"/>
        <v>0</v>
      </c>
      <c r="DT30" s="45">
        <f t="shared" si="57"/>
        <v>0</v>
      </c>
      <c r="DU30" s="45">
        <f t="shared" si="58"/>
        <v>0</v>
      </c>
      <c r="DV30" s="45">
        <f t="shared" si="59"/>
        <v>0</v>
      </c>
      <c r="DW30" s="45">
        <f t="shared" si="60"/>
        <v>0</v>
      </c>
      <c r="DX30" s="45">
        <f t="shared" si="61"/>
        <v>0</v>
      </c>
      <c r="DY30" s="46">
        <v>1</v>
      </c>
      <c r="DZ30" s="46">
        <v>1</v>
      </c>
      <c r="EA30" s="46">
        <v>1</v>
      </c>
      <c r="EB30" s="46">
        <v>1</v>
      </c>
      <c r="EC30" s="46">
        <v>1</v>
      </c>
      <c r="ED30" s="46">
        <v>1</v>
      </c>
      <c r="EE30" s="46">
        <v>1</v>
      </c>
      <c r="EF30" s="46">
        <v>1</v>
      </c>
      <c r="EG30" s="182">
        <v>1</v>
      </c>
      <c r="EH30" s="493" t="s">
        <v>369</v>
      </c>
      <c r="EI30" s="230">
        <v>45740</v>
      </c>
      <c r="EJ30" s="59">
        <f t="shared" si="62"/>
        <v>45744</v>
      </c>
      <c r="EK30" s="229">
        <v>45657</v>
      </c>
      <c r="EL30" s="230"/>
      <c r="EM30" s="229"/>
      <c r="EN30" s="222" t="s">
        <v>370</v>
      </c>
      <c r="EO30" s="222" t="s">
        <v>371</v>
      </c>
      <c r="EP30" s="222"/>
      <c r="EQ30" s="231"/>
      <c r="ER30" s="213"/>
      <c r="ES30" s="220"/>
      <c r="ET30" s="220"/>
      <c r="EU30" s="220"/>
      <c r="EV30" s="220"/>
      <c r="EW30" s="220"/>
      <c r="EX30" s="220"/>
      <c r="EY30" s="220"/>
      <c r="EZ30" s="220"/>
      <c r="FA30" s="222" t="s">
        <v>372</v>
      </c>
      <c r="FB30" s="222"/>
      <c r="FC30" s="222"/>
      <c r="FD30" s="222"/>
      <c r="FE30" s="220"/>
      <c r="FF30" s="220"/>
      <c r="FG30" s="222"/>
      <c r="FH30" s="220"/>
      <c r="FI30" s="220"/>
      <c r="FJ30" s="220"/>
      <c r="FK30" s="220"/>
      <c r="FL30" s="215"/>
      <c r="FM30" s="172" t="s">
        <v>373</v>
      </c>
      <c r="FN30" s="224" t="s">
        <v>202</v>
      </c>
      <c r="FO30" s="236" t="s">
        <v>231</v>
      </c>
      <c r="FP30" s="172" t="s">
        <v>374</v>
      </c>
      <c r="FQ30" s="172" t="s">
        <v>375</v>
      </c>
      <c r="FR30" s="272" t="s">
        <v>224</v>
      </c>
      <c r="FS30" s="273" t="s">
        <v>246</v>
      </c>
      <c r="FT30" s="267" t="s">
        <v>376</v>
      </c>
      <c r="FU30" s="48">
        <v>6</v>
      </c>
    </row>
    <row r="31" spans="1:177" s="13" customFormat="1" ht="336">
      <c r="A31" s="63" t="s">
        <v>377</v>
      </c>
      <c r="B31" s="48" t="s">
        <v>205</v>
      </c>
      <c r="C31" s="64" t="s">
        <v>206</v>
      </c>
      <c r="D31" s="225" t="s">
        <v>207</v>
      </c>
      <c r="E31" s="63" t="s">
        <v>364</v>
      </c>
      <c r="F31" s="249">
        <f t="shared" ref="F31:F43" si="70">F30+1</f>
        <v>2</v>
      </c>
      <c r="G31" s="65" t="s">
        <v>366</v>
      </c>
      <c r="H31" s="65" t="s">
        <v>366</v>
      </c>
      <c r="I31" s="244" t="s">
        <v>27</v>
      </c>
      <c r="J31" s="48">
        <v>2025</v>
      </c>
      <c r="K31" s="48">
        <v>2025</v>
      </c>
      <c r="L31" s="48" t="s">
        <v>172</v>
      </c>
      <c r="M31" s="48" t="s">
        <v>173</v>
      </c>
      <c r="N31" s="63" t="s">
        <v>174</v>
      </c>
      <c r="O31" s="63" t="s">
        <v>378</v>
      </c>
      <c r="P31" s="63" t="s">
        <v>212</v>
      </c>
      <c r="Q31" s="63" t="s">
        <v>199</v>
      </c>
      <c r="R31" s="63" t="s">
        <v>379</v>
      </c>
      <c r="S31" s="63" t="str">
        <f t="shared" si="0"/>
        <v>Selesai Implementasi</v>
      </c>
      <c r="T31" s="63" t="str">
        <f t="shared" si="1"/>
        <v>DONE</v>
      </c>
      <c r="U31" s="63" t="str">
        <f t="shared" si="2"/>
        <v>Rizky Arga</v>
      </c>
      <c r="V31" s="67">
        <f t="shared" si="3"/>
        <v>0.99999999999999989</v>
      </c>
      <c r="W31" s="66" t="s">
        <v>380</v>
      </c>
      <c r="X31" s="59">
        <f t="shared" si="4"/>
        <v>45972</v>
      </c>
      <c r="Y31" s="68" t="s">
        <v>381</v>
      </c>
      <c r="Z31" s="48"/>
      <c r="AA31" s="42">
        <v>45809</v>
      </c>
      <c r="AB31" s="42">
        <v>45823</v>
      </c>
      <c r="AC31" s="42">
        <v>45823</v>
      </c>
      <c r="AD31" s="42">
        <v>45838</v>
      </c>
      <c r="AE31" s="42">
        <v>45778</v>
      </c>
      <c r="AF31" s="42">
        <v>45807</v>
      </c>
      <c r="AG31" s="274"/>
      <c r="AH31" s="274"/>
      <c r="AI31" s="274"/>
      <c r="AJ31" s="274"/>
      <c r="AK31" s="42">
        <v>45839</v>
      </c>
      <c r="AL31" s="42">
        <v>45868</v>
      </c>
      <c r="AM31" s="42">
        <v>45870</v>
      </c>
      <c r="AN31" s="42">
        <v>45883</v>
      </c>
      <c r="AO31" s="42">
        <v>45884</v>
      </c>
      <c r="AP31" s="42">
        <v>45914</v>
      </c>
      <c r="AQ31" s="42">
        <v>45915</v>
      </c>
      <c r="AR31" s="42">
        <v>45972</v>
      </c>
      <c r="AS31" s="63" t="str">
        <f t="shared" si="5"/>
        <v>Selesai Implementasi</v>
      </c>
      <c r="AT31" s="63" t="str">
        <f t="shared" si="6"/>
        <v>Selesai Implementasi</v>
      </c>
      <c r="AU31" s="63" t="str">
        <f t="shared" si="7"/>
        <v>Selesai Implementasi</v>
      </c>
      <c r="AV31" s="63" t="str">
        <f t="shared" si="8"/>
        <v>Selesai Implementasi</v>
      </c>
      <c r="AW31" s="63" t="str">
        <f t="shared" si="9"/>
        <v>Selesai Implementasi</v>
      </c>
      <c r="AX31" s="63" t="str">
        <f t="shared" si="10"/>
        <v>Selesai Implementasi</v>
      </c>
      <c r="AY31" s="63" t="str">
        <f t="shared" si="11"/>
        <v>Selesai Implementasi</v>
      </c>
      <c r="AZ31" s="63" t="str">
        <f t="shared" si="12"/>
        <v>Selesai Implementasi</v>
      </c>
      <c r="BA31" s="63" t="str">
        <f t="shared" si="13"/>
        <v>Selesai Implementasi</v>
      </c>
      <c r="BB31" s="63" t="str">
        <f t="shared" si="14"/>
        <v>Selesai Implementasi</v>
      </c>
      <c r="BC31" s="63" t="str">
        <f t="shared" si="15"/>
        <v>Selesai Implementasi</v>
      </c>
      <c r="BD31" s="63" t="str">
        <f t="shared" si="16"/>
        <v>Selesai Implementasi</v>
      </c>
      <c r="BE31" s="43">
        <v>1</v>
      </c>
      <c r="BF31" s="43">
        <v>1</v>
      </c>
      <c r="BG31" s="43">
        <v>1</v>
      </c>
      <c r="BH31" s="43">
        <v>1</v>
      </c>
      <c r="BI31" s="43">
        <v>1</v>
      </c>
      <c r="BJ31" s="43">
        <v>1</v>
      </c>
      <c r="BK31" s="43">
        <v>1</v>
      </c>
      <c r="BL31" s="43">
        <v>1</v>
      </c>
      <c r="BM31" s="43">
        <v>1</v>
      </c>
      <c r="BN31" s="43">
        <v>1</v>
      </c>
      <c r="BO31" s="43">
        <v>1</v>
      </c>
      <c r="BP31" s="43">
        <v>1</v>
      </c>
      <c r="BQ31" s="63" t="str">
        <f t="shared" si="17"/>
        <v>Selesai Implementasi</v>
      </c>
      <c r="BR31" s="63" t="str">
        <f t="shared" si="18"/>
        <v>Not Started</v>
      </c>
      <c r="BS31" s="63" t="str">
        <f t="shared" si="19"/>
        <v>Not Started</v>
      </c>
      <c r="BT31" s="63" t="str">
        <f t="shared" si="20"/>
        <v>Not Started</v>
      </c>
      <c r="BU31" s="63" t="str">
        <f t="shared" si="21"/>
        <v>Not Started</v>
      </c>
      <c r="BV31" s="63" t="str">
        <f t="shared" si="22"/>
        <v>Not Started</v>
      </c>
      <c r="BW31" s="63" t="str">
        <f t="shared" si="23"/>
        <v>Not Started</v>
      </c>
      <c r="BX31" s="63" t="str">
        <f t="shared" si="24"/>
        <v>Not Started</v>
      </c>
      <c r="BY31" s="63" t="str">
        <f t="shared" si="25"/>
        <v>Not Started</v>
      </c>
      <c r="BZ31" s="63" t="str">
        <f t="shared" si="26"/>
        <v>Not Started</v>
      </c>
      <c r="CA31" s="63" t="str">
        <f t="shared" si="27"/>
        <v>Not Started</v>
      </c>
      <c r="CB31" s="63" t="str">
        <f t="shared" si="28"/>
        <v>Not Started</v>
      </c>
      <c r="CC31" s="44">
        <f t="shared" si="69"/>
        <v>0.99999999999999989</v>
      </c>
      <c r="CD31" s="44"/>
      <c r="CE31" s="44"/>
      <c r="CF31" s="44"/>
      <c r="CG31" s="44"/>
      <c r="CH31" s="44"/>
      <c r="CI31" s="44"/>
      <c r="CJ31" s="44"/>
      <c r="CK31" s="44"/>
      <c r="CL31" s="44"/>
      <c r="CM31" s="44"/>
      <c r="CN31" s="44"/>
      <c r="CO31" s="45">
        <f t="shared" si="63"/>
        <v>0.99999999999999989</v>
      </c>
      <c r="CP31" s="45">
        <f t="shared" si="65"/>
        <v>0</v>
      </c>
      <c r="CQ31" s="45">
        <f t="shared" si="29"/>
        <v>0</v>
      </c>
      <c r="CR31" s="45">
        <f t="shared" si="30"/>
        <v>0</v>
      </c>
      <c r="CS31" s="45">
        <f t="shared" si="31"/>
        <v>0</v>
      </c>
      <c r="CT31" s="45">
        <f t="shared" si="32"/>
        <v>0</v>
      </c>
      <c r="CU31" s="45">
        <f t="shared" si="33"/>
        <v>0</v>
      </c>
      <c r="CV31" s="45">
        <f t="shared" si="34"/>
        <v>0</v>
      </c>
      <c r="CW31" s="45">
        <f t="shared" si="35"/>
        <v>0</v>
      </c>
      <c r="CX31" s="45">
        <f t="shared" si="36"/>
        <v>0</v>
      </c>
      <c r="CY31" s="45">
        <f t="shared" si="37"/>
        <v>0</v>
      </c>
      <c r="CZ31" s="45"/>
      <c r="DA31" s="45" t="str">
        <f t="shared" si="38"/>
        <v>DONE</v>
      </c>
      <c r="DB31" s="45" t="str">
        <f t="shared" si="39"/>
        <v>BS</v>
      </c>
      <c r="DC31" s="45" t="str">
        <f t="shared" si="40"/>
        <v>BS</v>
      </c>
      <c r="DD31" s="45" t="str">
        <f t="shared" si="41"/>
        <v>BS</v>
      </c>
      <c r="DE31" s="45" t="str">
        <f t="shared" si="42"/>
        <v>BS</v>
      </c>
      <c r="DF31" s="45" t="str">
        <f t="shared" si="43"/>
        <v>BS</v>
      </c>
      <c r="DG31" s="45" t="str">
        <f t="shared" si="44"/>
        <v>BS</v>
      </c>
      <c r="DH31" s="45" t="str">
        <f t="shared" si="45"/>
        <v>BS</v>
      </c>
      <c r="DI31" s="45" t="str">
        <f t="shared" si="46"/>
        <v>BS</v>
      </c>
      <c r="DJ31" s="45" t="str">
        <f t="shared" si="47"/>
        <v>BS</v>
      </c>
      <c r="DK31" s="45" t="str">
        <f t="shared" si="48"/>
        <v>BS</v>
      </c>
      <c r="DL31" s="45" t="str">
        <f t="shared" si="49"/>
        <v>BS</v>
      </c>
      <c r="DM31" s="45">
        <f t="shared" si="50"/>
        <v>0.99999999999999989</v>
      </c>
      <c r="DN31" s="45">
        <f t="shared" si="51"/>
        <v>0</v>
      </c>
      <c r="DO31" s="45">
        <f t="shared" si="52"/>
        <v>0</v>
      </c>
      <c r="DP31" s="45">
        <f t="shared" si="53"/>
        <v>0</v>
      </c>
      <c r="DQ31" s="45">
        <f t="shared" si="54"/>
        <v>0</v>
      </c>
      <c r="DR31" s="45">
        <f t="shared" si="55"/>
        <v>0</v>
      </c>
      <c r="DS31" s="45">
        <f t="shared" si="56"/>
        <v>0</v>
      </c>
      <c r="DT31" s="45">
        <f t="shared" si="57"/>
        <v>0</v>
      </c>
      <c r="DU31" s="45">
        <f t="shared" si="58"/>
        <v>0</v>
      </c>
      <c r="DV31" s="45">
        <f t="shared" si="59"/>
        <v>0</v>
      </c>
      <c r="DW31" s="45">
        <f t="shared" si="60"/>
        <v>0</v>
      </c>
      <c r="DX31" s="45">
        <f t="shared" si="61"/>
        <v>0</v>
      </c>
      <c r="DY31" s="46">
        <v>1</v>
      </c>
      <c r="DZ31" s="46">
        <v>1</v>
      </c>
      <c r="EA31" s="46">
        <v>1</v>
      </c>
      <c r="EB31" s="46">
        <v>1</v>
      </c>
      <c r="EC31" s="46">
        <v>1</v>
      </c>
      <c r="ED31" s="46">
        <v>1</v>
      </c>
      <c r="EE31" s="46">
        <v>1</v>
      </c>
      <c r="EF31" s="46">
        <v>1</v>
      </c>
      <c r="EG31" s="182">
        <v>1</v>
      </c>
      <c r="EH31" s="490" t="s">
        <v>1637</v>
      </c>
      <c r="EI31" s="230">
        <v>45957</v>
      </c>
      <c r="EJ31" s="59">
        <f t="shared" si="62"/>
        <v>45972</v>
      </c>
      <c r="EK31" s="229"/>
      <c r="EL31" s="230"/>
      <c r="EM31" s="229"/>
      <c r="EN31" s="222"/>
      <c r="EO31" s="222"/>
      <c r="EP31" s="222"/>
      <c r="EQ31" s="231"/>
      <c r="ER31" s="213"/>
      <c r="ES31" s="220"/>
      <c r="ET31" s="220"/>
      <c r="EU31" s="220"/>
      <c r="EV31" s="220"/>
      <c r="EW31" s="220"/>
      <c r="EX31" s="220"/>
      <c r="EY31" s="220"/>
      <c r="EZ31" s="220"/>
      <c r="FA31" s="220"/>
      <c r="FB31" s="222"/>
      <c r="FC31" s="222"/>
      <c r="FD31" s="222"/>
      <c r="FE31" s="220"/>
      <c r="FF31" s="220"/>
      <c r="FG31" s="222"/>
      <c r="FH31" s="220"/>
      <c r="FI31" s="220"/>
      <c r="FJ31" s="220"/>
      <c r="FK31" s="220"/>
      <c r="FL31" s="215"/>
      <c r="FM31" s="172" t="s">
        <v>382</v>
      </c>
      <c r="FN31" s="224" t="s">
        <v>202</v>
      </c>
      <c r="FO31" s="224" t="s">
        <v>231</v>
      </c>
      <c r="FP31" s="172" t="s">
        <v>383</v>
      </c>
      <c r="FQ31" s="172" t="s">
        <v>384</v>
      </c>
      <c r="FR31" s="239" t="s">
        <v>184</v>
      </c>
      <c r="FS31" s="213" t="s">
        <v>385</v>
      </c>
      <c r="FT31" s="267" t="s">
        <v>386</v>
      </c>
      <c r="FU31" s="48">
        <v>4</v>
      </c>
    </row>
    <row r="32" spans="1:177" s="13" customFormat="1" ht="409.5">
      <c r="A32" s="63" t="s">
        <v>387</v>
      </c>
      <c r="B32" s="48" t="s">
        <v>205</v>
      </c>
      <c r="C32" s="64" t="s">
        <v>206</v>
      </c>
      <c r="D32" s="225" t="s">
        <v>207</v>
      </c>
      <c r="E32" s="63" t="s">
        <v>364</v>
      </c>
      <c r="F32" s="249">
        <f t="shared" si="70"/>
        <v>3</v>
      </c>
      <c r="G32" s="65" t="s">
        <v>366</v>
      </c>
      <c r="H32" s="65" t="s">
        <v>366</v>
      </c>
      <c r="I32" s="244" t="s">
        <v>28</v>
      </c>
      <c r="J32" s="48">
        <v>2025</v>
      </c>
      <c r="K32" s="48">
        <v>2025</v>
      </c>
      <c r="L32" s="48" t="s">
        <v>172</v>
      </c>
      <c r="M32" s="48" t="s">
        <v>173</v>
      </c>
      <c r="N32" s="63" t="s">
        <v>174</v>
      </c>
      <c r="O32" s="63" t="s">
        <v>388</v>
      </c>
      <c r="P32" s="63" t="s">
        <v>212</v>
      </c>
      <c r="Q32" s="63" t="s">
        <v>389</v>
      </c>
      <c r="R32" s="63" t="s">
        <v>390</v>
      </c>
      <c r="S32" s="63" t="str">
        <f t="shared" si="0"/>
        <v>Selesai Implementasi</v>
      </c>
      <c r="T32" s="63" t="str">
        <f t="shared" si="1"/>
        <v>DONE</v>
      </c>
      <c r="U32" s="63" t="str">
        <f t="shared" si="2"/>
        <v>Rizky Arga</v>
      </c>
      <c r="V32" s="67">
        <f t="shared" si="3"/>
        <v>0.99999999999999989</v>
      </c>
      <c r="W32" s="66" t="s">
        <v>215</v>
      </c>
      <c r="X32" s="59">
        <f t="shared" si="4"/>
        <v>45991</v>
      </c>
      <c r="Y32" s="68">
        <v>0</v>
      </c>
      <c r="Z32" s="48"/>
      <c r="AA32" s="62">
        <v>45658</v>
      </c>
      <c r="AB32" s="42">
        <v>45688</v>
      </c>
      <c r="AC32" s="42">
        <v>45677</v>
      </c>
      <c r="AD32" s="42">
        <v>45688</v>
      </c>
      <c r="AE32" s="42">
        <v>45689</v>
      </c>
      <c r="AF32" s="42">
        <v>45716</v>
      </c>
      <c r="AG32" s="274"/>
      <c r="AH32" s="274"/>
      <c r="AI32" s="42">
        <v>45717</v>
      </c>
      <c r="AJ32" s="42">
        <v>45746</v>
      </c>
      <c r="AK32" s="42">
        <v>45755</v>
      </c>
      <c r="AL32" s="42">
        <v>45838</v>
      </c>
      <c r="AM32" s="42">
        <v>45839</v>
      </c>
      <c r="AN32" s="42">
        <v>45869</v>
      </c>
      <c r="AO32" s="42">
        <v>45870</v>
      </c>
      <c r="AP32" s="42">
        <v>45919</v>
      </c>
      <c r="AQ32" s="42">
        <v>45915</v>
      </c>
      <c r="AR32" s="42">
        <v>45991</v>
      </c>
      <c r="AS32" s="63" t="str">
        <f t="shared" si="5"/>
        <v>Selesai Implementasi</v>
      </c>
      <c r="AT32" s="63" t="str">
        <f t="shared" si="6"/>
        <v>Selesai Implementasi</v>
      </c>
      <c r="AU32" s="63" t="str">
        <f t="shared" si="7"/>
        <v>Selesai Implementasi</v>
      </c>
      <c r="AV32" s="63" t="str">
        <f t="shared" si="8"/>
        <v>Selesai Implementasi</v>
      </c>
      <c r="AW32" s="63" t="str">
        <f t="shared" si="9"/>
        <v>Selesai Implementasi</v>
      </c>
      <c r="AX32" s="63" t="str">
        <f t="shared" si="10"/>
        <v>Selesai Implementasi</v>
      </c>
      <c r="AY32" s="63" t="str">
        <f t="shared" si="11"/>
        <v>Selesai Implementasi</v>
      </c>
      <c r="AZ32" s="63" t="str">
        <f t="shared" si="12"/>
        <v>Selesai Implementasi</v>
      </c>
      <c r="BA32" s="63" t="str">
        <f t="shared" si="13"/>
        <v>Selesai Implementasi</v>
      </c>
      <c r="BB32" s="63" t="str">
        <f t="shared" si="14"/>
        <v>Selesai Implementasi</v>
      </c>
      <c r="BC32" s="63" t="str">
        <f t="shared" si="15"/>
        <v>Selesai Implementasi</v>
      </c>
      <c r="BD32" s="63" t="str">
        <f t="shared" si="16"/>
        <v>Selesai Implementasi</v>
      </c>
      <c r="BE32" s="43">
        <v>1</v>
      </c>
      <c r="BF32" s="43">
        <v>1</v>
      </c>
      <c r="BG32" s="43">
        <v>1</v>
      </c>
      <c r="BH32" s="43">
        <v>1</v>
      </c>
      <c r="BI32" s="43">
        <v>1</v>
      </c>
      <c r="BJ32" s="43">
        <v>1</v>
      </c>
      <c r="BK32" s="43">
        <v>1</v>
      </c>
      <c r="BL32" s="43">
        <v>1</v>
      </c>
      <c r="BM32" s="43">
        <v>1</v>
      </c>
      <c r="BN32" s="43">
        <v>1</v>
      </c>
      <c r="BO32" s="43">
        <v>1</v>
      </c>
      <c r="BP32" s="43">
        <v>1</v>
      </c>
      <c r="BQ32" s="63" t="str">
        <f t="shared" si="17"/>
        <v>Selesai Implementasi</v>
      </c>
      <c r="BR32" s="63" t="str">
        <f t="shared" si="18"/>
        <v>Not Started</v>
      </c>
      <c r="BS32" s="63" t="str">
        <f t="shared" si="19"/>
        <v>Not Started</v>
      </c>
      <c r="BT32" s="63" t="str">
        <f t="shared" si="20"/>
        <v>Not Started</v>
      </c>
      <c r="BU32" s="63" t="str">
        <f t="shared" si="21"/>
        <v>Not Started</v>
      </c>
      <c r="BV32" s="63" t="str">
        <f t="shared" si="22"/>
        <v>Not Started</v>
      </c>
      <c r="BW32" s="63" t="str">
        <f t="shared" si="23"/>
        <v>Not Started</v>
      </c>
      <c r="BX32" s="63" t="str">
        <f t="shared" si="24"/>
        <v>Not Started</v>
      </c>
      <c r="BY32" s="63" t="str">
        <f t="shared" si="25"/>
        <v>Not Started</v>
      </c>
      <c r="BZ32" s="63" t="str">
        <f t="shared" si="26"/>
        <v>Not Started</v>
      </c>
      <c r="CA32" s="63" t="str">
        <f t="shared" si="27"/>
        <v>Not Started</v>
      </c>
      <c r="CB32" s="63" t="str">
        <f t="shared" si="28"/>
        <v>Not Started</v>
      </c>
      <c r="CC32" s="44">
        <f t="shared" si="69"/>
        <v>0.99999999999999989</v>
      </c>
      <c r="CD32" s="44"/>
      <c r="CE32" s="44"/>
      <c r="CF32" s="44"/>
      <c r="CG32" s="44"/>
      <c r="CH32" s="44"/>
      <c r="CI32" s="44"/>
      <c r="CJ32" s="44"/>
      <c r="CK32" s="44"/>
      <c r="CL32" s="44"/>
      <c r="CM32" s="44"/>
      <c r="CN32" s="44"/>
      <c r="CO32" s="45">
        <f t="shared" si="63"/>
        <v>0.99999999999999989</v>
      </c>
      <c r="CP32" s="45">
        <f t="shared" si="65"/>
        <v>0</v>
      </c>
      <c r="CQ32" s="45">
        <f t="shared" si="29"/>
        <v>0</v>
      </c>
      <c r="CR32" s="45">
        <f t="shared" si="30"/>
        <v>0</v>
      </c>
      <c r="CS32" s="45">
        <f t="shared" si="31"/>
        <v>0</v>
      </c>
      <c r="CT32" s="45">
        <f t="shared" si="32"/>
        <v>0</v>
      </c>
      <c r="CU32" s="45">
        <f t="shared" si="33"/>
        <v>0</v>
      </c>
      <c r="CV32" s="45">
        <f t="shared" si="34"/>
        <v>0</v>
      </c>
      <c r="CW32" s="45">
        <f t="shared" si="35"/>
        <v>0</v>
      </c>
      <c r="CX32" s="45">
        <f t="shared" si="36"/>
        <v>0</v>
      </c>
      <c r="CY32" s="45">
        <f t="shared" si="37"/>
        <v>0</v>
      </c>
      <c r="CZ32" s="45"/>
      <c r="DA32" s="45" t="str">
        <f t="shared" si="38"/>
        <v>DONE</v>
      </c>
      <c r="DB32" s="45" t="str">
        <f t="shared" si="39"/>
        <v>BS</v>
      </c>
      <c r="DC32" s="45" t="str">
        <f t="shared" si="40"/>
        <v>BS</v>
      </c>
      <c r="DD32" s="45" t="str">
        <f t="shared" si="41"/>
        <v>BS</v>
      </c>
      <c r="DE32" s="45" t="str">
        <f t="shared" si="42"/>
        <v>BS</v>
      </c>
      <c r="DF32" s="45" t="str">
        <f t="shared" si="43"/>
        <v>BS</v>
      </c>
      <c r="DG32" s="45" t="str">
        <f t="shared" si="44"/>
        <v>BS</v>
      </c>
      <c r="DH32" s="45" t="str">
        <f t="shared" si="45"/>
        <v>BS</v>
      </c>
      <c r="DI32" s="45" t="str">
        <f t="shared" si="46"/>
        <v>BS</v>
      </c>
      <c r="DJ32" s="45" t="str">
        <f t="shared" si="47"/>
        <v>BS</v>
      </c>
      <c r="DK32" s="45" t="str">
        <f t="shared" si="48"/>
        <v>BS</v>
      </c>
      <c r="DL32" s="45" t="str">
        <f t="shared" si="49"/>
        <v>BS</v>
      </c>
      <c r="DM32" s="45">
        <f t="shared" si="50"/>
        <v>0.99999999999999989</v>
      </c>
      <c r="DN32" s="45">
        <f t="shared" si="51"/>
        <v>0</v>
      </c>
      <c r="DO32" s="45">
        <f t="shared" si="52"/>
        <v>0</v>
      </c>
      <c r="DP32" s="45">
        <f t="shared" si="53"/>
        <v>0</v>
      </c>
      <c r="DQ32" s="45">
        <f t="shared" si="54"/>
        <v>0</v>
      </c>
      <c r="DR32" s="45">
        <f t="shared" si="55"/>
        <v>0</v>
      </c>
      <c r="DS32" s="45">
        <f t="shared" si="56"/>
        <v>0</v>
      </c>
      <c r="DT32" s="45">
        <f t="shared" si="57"/>
        <v>0</v>
      </c>
      <c r="DU32" s="45">
        <f t="shared" si="58"/>
        <v>0</v>
      </c>
      <c r="DV32" s="45">
        <f t="shared" si="59"/>
        <v>0</v>
      </c>
      <c r="DW32" s="45">
        <f t="shared" si="60"/>
        <v>0</v>
      </c>
      <c r="DX32" s="45">
        <f t="shared" si="61"/>
        <v>0</v>
      </c>
      <c r="DY32" s="46">
        <v>1</v>
      </c>
      <c r="DZ32" s="46">
        <v>1</v>
      </c>
      <c r="EA32" s="46">
        <v>1</v>
      </c>
      <c r="EB32" s="46">
        <v>1</v>
      </c>
      <c r="EC32" s="46">
        <v>1</v>
      </c>
      <c r="ED32" s="46">
        <v>1</v>
      </c>
      <c r="EE32" s="46">
        <v>1</v>
      </c>
      <c r="EF32" s="46">
        <v>1</v>
      </c>
      <c r="EG32" s="41">
        <v>1</v>
      </c>
      <c r="EH32" s="530" t="s">
        <v>1524</v>
      </c>
      <c r="EI32" s="230">
        <v>45978</v>
      </c>
      <c r="EJ32" s="59">
        <f t="shared" si="62"/>
        <v>45991</v>
      </c>
      <c r="EK32" s="229">
        <v>45688</v>
      </c>
      <c r="EL32" s="230"/>
      <c r="EM32" s="229"/>
      <c r="EN32" s="222"/>
      <c r="EO32" s="222"/>
      <c r="EP32" s="222"/>
      <c r="EQ32" s="231"/>
      <c r="ER32" s="213"/>
      <c r="ES32" s="220"/>
      <c r="ET32" s="220"/>
      <c r="EU32" s="220"/>
      <c r="EV32" s="220"/>
      <c r="EW32" s="220"/>
      <c r="EX32" s="220"/>
      <c r="EY32" s="220"/>
      <c r="EZ32" s="220"/>
      <c r="FA32" s="220"/>
      <c r="FB32" s="222"/>
      <c r="FC32" s="222"/>
      <c r="FD32" s="222"/>
      <c r="FE32" s="220"/>
      <c r="FF32" s="220"/>
      <c r="FG32" s="222"/>
      <c r="FH32" s="220"/>
      <c r="FI32" s="220"/>
      <c r="FJ32" s="220"/>
      <c r="FK32" s="220"/>
      <c r="FL32" s="215"/>
      <c r="FM32" s="172" t="s">
        <v>391</v>
      </c>
      <c r="FN32" s="224" t="s">
        <v>202</v>
      </c>
      <c r="FO32" s="224" t="s">
        <v>231</v>
      </c>
      <c r="FP32" s="172" t="s">
        <v>392</v>
      </c>
      <c r="FQ32" s="172" t="s">
        <v>393</v>
      </c>
      <c r="FR32" s="239" t="s">
        <v>184</v>
      </c>
      <c r="FS32" s="273" t="s">
        <v>394</v>
      </c>
      <c r="FT32" s="267" t="s">
        <v>395</v>
      </c>
      <c r="FU32" s="48">
        <v>10</v>
      </c>
    </row>
    <row r="33" spans="1:177" s="603" customFormat="1" ht="128">
      <c r="A33" s="63" t="s">
        <v>396</v>
      </c>
      <c r="B33" s="48" t="s">
        <v>205</v>
      </c>
      <c r="C33" s="64" t="s">
        <v>206</v>
      </c>
      <c r="D33" s="225" t="s">
        <v>207</v>
      </c>
      <c r="E33" s="463" t="s">
        <v>364</v>
      </c>
      <c r="F33" s="249">
        <f t="shared" si="70"/>
        <v>4</v>
      </c>
      <c r="G33" s="584" t="s">
        <v>366</v>
      </c>
      <c r="H33" s="584" t="s">
        <v>366</v>
      </c>
      <c r="I33" s="584" t="s">
        <v>29</v>
      </c>
      <c r="J33" s="48">
        <v>2026</v>
      </c>
      <c r="K33" s="48">
        <v>2028</v>
      </c>
      <c r="L33" s="48" t="s">
        <v>172</v>
      </c>
      <c r="M33" s="48" t="s">
        <v>173</v>
      </c>
      <c r="N33" s="63" t="s">
        <v>174</v>
      </c>
      <c r="O33" s="63" t="s">
        <v>397</v>
      </c>
      <c r="P33" s="63" t="s">
        <v>212</v>
      </c>
      <c r="Q33" s="63" t="s">
        <v>199</v>
      </c>
      <c r="R33" s="63" t="s">
        <v>398</v>
      </c>
      <c r="S33" s="63" t="str">
        <f t="shared" si="0"/>
        <v>Not Started</v>
      </c>
      <c r="T33" s="63" t="str">
        <f t="shared" si="1"/>
        <v>Not Started</v>
      </c>
      <c r="U33" s="63" t="str">
        <f t="shared" si="2"/>
        <v>Rizky Arga</v>
      </c>
      <c r="V33" s="67">
        <f t="shared" si="3"/>
        <v>0</v>
      </c>
      <c r="W33" s="66" t="s">
        <v>191</v>
      </c>
      <c r="X33" s="59">
        <f t="shared" si="4"/>
        <v>46904</v>
      </c>
      <c r="Y33" s="585">
        <v>0</v>
      </c>
      <c r="Z33" s="586"/>
      <c r="AA33" s="587">
        <v>46357</v>
      </c>
      <c r="AB33" s="588">
        <v>46507</v>
      </c>
      <c r="AC33" s="588">
        <v>46508</v>
      </c>
      <c r="AD33" s="588">
        <v>46537</v>
      </c>
      <c r="AE33" s="588"/>
      <c r="AF33" s="588"/>
      <c r="AG33" s="588"/>
      <c r="AH33" s="588"/>
      <c r="AI33" s="588">
        <v>46539</v>
      </c>
      <c r="AJ33" s="588">
        <v>46691</v>
      </c>
      <c r="AK33" s="588">
        <v>46388</v>
      </c>
      <c r="AL33" s="588">
        <v>46811</v>
      </c>
      <c r="AM33" s="588">
        <v>46813</v>
      </c>
      <c r="AN33" s="588">
        <v>46842</v>
      </c>
      <c r="AO33" s="588">
        <v>46844</v>
      </c>
      <c r="AP33" s="588">
        <v>46873</v>
      </c>
      <c r="AQ33" s="588">
        <v>46874</v>
      </c>
      <c r="AR33" s="588">
        <v>46904</v>
      </c>
      <c r="AS33" s="63" t="str">
        <f t="shared" si="5"/>
        <v>Not Started</v>
      </c>
      <c r="AT33" s="63" t="str">
        <f t="shared" si="6"/>
        <v>Not Started</v>
      </c>
      <c r="AU33" s="63" t="str">
        <f t="shared" si="7"/>
        <v>Not Started</v>
      </c>
      <c r="AV33" s="63" t="str">
        <f t="shared" si="8"/>
        <v>Not Started</v>
      </c>
      <c r="AW33" s="63" t="str">
        <f t="shared" si="9"/>
        <v>Not Started</v>
      </c>
      <c r="AX33" s="63" t="str">
        <f t="shared" si="10"/>
        <v>Not Started</v>
      </c>
      <c r="AY33" s="63" t="str">
        <f t="shared" si="11"/>
        <v>Not Started</v>
      </c>
      <c r="AZ33" s="63" t="str">
        <f t="shared" si="12"/>
        <v>Not Started</v>
      </c>
      <c r="BA33" s="63" t="str">
        <f t="shared" si="13"/>
        <v>Not Started</v>
      </c>
      <c r="BB33" s="63" t="str">
        <f t="shared" si="14"/>
        <v>Not Started</v>
      </c>
      <c r="BC33" s="63" t="str">
        <f t="shared" si="15"/>
        <v>Not Started</v>
      </c>
      <c r="BD33" s="63" t="str">
        <f t="shared" si="16"/>
        <v>Proses RBT-RBB</v>
      </c>
      <c r="BE33" s="608">
        <v>0</v>
      </c>
      <c r="BF33" s="608">
        <v>0</v>
      </c>
      <c r="BG33" s="608">
        <v>0</v>
      </c>
      <c r="BH33" s="608">
        <v>0</v>
      </c>
      <c r="BI33" s="608">
        <v>0</v>
      </c>
      <c r="BJ33" s="608">
        <v>0</v>
      </c>
      <c r="BK33" s="608">
        <v>0</v>
      </c>
      <c r="BL33" s="608">
        <v>0</v>
      </c>
      <c r="BM33" s="608">
        <v>0</v>
      </c>
      <c r="BN33" s="608">
        <v>0</v>
      </c>
      <c r="BO33" s="608">
        <v>0</v>
      </c>
      <c r="BP33" s="589">
        <v>0.03</v>
      </c>
      <c r="BQ33" s="463" t="str">
        <f t="shared" si="17"/>
        <v>Not Started</v>
      </c>
      <c r="BR33" s="463" t="str">
        <f t="shared" si="18"/>
        <v>Not Started</v>
      </c>
      <c r="BS33" s="463" t="str">
        <f t="shared" si="19"/>
        <v>Not Started</v>
      </c>
      <c r="BT33" s="463" t="str">
        <f t="shared" si="20"/>
        <v>Not Started</v>
      </c>
      <c r="BU33" s="463" t="str">
        <f t="shared" si="21"/>
        <v>Not Started</v>
      </c>
      <c r="BV33" s="463" t="str">
        <f t="shared" si="22"/>
        <v>Not Started</v>
      </c>
      <c r="BW33" s="463" t="str">
        <f t="shared" si="23"/>
        <v>Not Started</v>
      </c>
      <c r="BX33" s="463" t="str">
        <f t="shared" si="24"/>
        <v>Not Started</v>
      </c>
      <c r="BY33" s="463" t="str">
        <f t="shared" si="25"/>
        <v>Not Started</v>
      </c>
      <c r="BZ33" s="463" t="str">
        <f t="shared" si="26"/>
        <v>Not Started</v>
      </c>
      <c r="CA33" s="463" t="str">
        <f t="shared" si="27"/>
        <v>Not Started</v>
      </c>
      <c r="CB33" s="463" t="str">
        <f t="shared" si="28"/>
        <v>Not Started</v>
      </c>
      <c r="CC33" s="44">
        <f t="shared" si="69"/>
        <v>0</v>
      </c>
      <c r="CD33" s="590"/>
      <c r="CE33" s="590"/>
      <c r="CF33" s="590"/>
      <c r="CG33" s="590"/>
      <c r="CH33" s="591"/>
      <c r="CI33" s="590"/>
      <c r="CJ33" s="590"/>
      <c r="CK33" s="590"/>
      <c r="CL33" s="590"/>
      <c r="CM33" s="590"/>
      <c r="CN33" s="590"/>
      <c r="CO33" s="592">
        <f t="shared" si="63"/>
        <v>1</v>
      </c>
      <c r="CP33" s="592">
        <f t="shared" si="65"/>
        <v>1</v>
      </c>
      <c r="CQ33" s="592">
        <f t="shared" si="29"/>
        <v>1</v>
      </c>
      <c r="CR33" s="592">
        <f t="shared" si="30"/>
        <v>1</v>
      </c>
      <c r="CS33" s="592">
        <f t="shared" si="31"/>
        <v>1</v>
      </c>
      <c r="CT33" s="592">
        <f t="shared" si="32"/>
        <v>1</v>
      </c>
      <c r="CU33" s="592">
        <f t="shared" si="33"/>
        <v>1</v>
      </c>
      <c r="CV33" s="592">
        <f t="shared" si="34"/>
        <v>1</v>
      </c>
      <c r="CW33" s="592">
        <f t="shared" si="35"/>
        <v>1</v>
      </c>
      <c r="CX33" s="592">
        <f t="shared" si="36"/>
        <v>1</v>
      </c>
      <c r="CY33" s="592">
        <f t="shared" si="37"/>
        <v>1</v>
      </c>
      <c r="CZ33" s="592"/>
      <c r="DA33" s="592" t="str">
        <f t="shared" si="38"/>
        <v>NS</v>
      </c>
      <c r="DB33" s="592" t="str">
        <f t="shared" si="39"/>
        <v>NS</v>
      </c>
      <c r="DC33" s="592" t="str">
        <f t="shared" si="40"/>
        <v>NS</v>
      </c>
      <c r="DD33" s="592" t="str">
        <f t="shared" si="41"/>
        <v>NS</v>
      </c>
      <c r="DE33" s="592" t="str">
        <f t="shared" si="42"/>
        <v>NS</v>
      </c>
      <c r="DF33" s="592" t="str">
        <f t="shared" si="43"/>
        <v>NS</v>
      </c>
      <c r="DG33" s="592" t="str">
        <f t="shared" si="44"/>
        <v>NS</v>
      </c>
      <c r="DH33" s="592" t="str">
        <f t="shared" si="45"/>
        <v>NS</v>
      </c>
      <c r="DI33" s="592" t="str">
        <f t="shared" si="46"/>
        <v>NS</v>
      </c>
      <c r="DJ33" s="592" t="str">
        <f t="shared" si="47"/>
        <v>NS</v>
      </c>
      <c r="DK33" s="592" t="str">
        <f t="shared" si="48"/>
        <v>NS</v>
      </c>
      <c r="DL33" s="592" t="str">
        <f t="shared" si="49"/>
        <v>BS</v>
      </c>
      <c r="DM33" s="592">
        <f t="shared" si="50"/>
        <v>0</v>
      </c>
      <c r="DN33" s="592">
        <f t="shared" si="51"/>
        <v>0</v>
      </c>
      <c r="DO33" s="592">
        <f t="shared" si="52"/>
        <v>0</v>
      </c>
      <c r="DP33" s="592">
        <f t="shared" si="53"/>
        <v>0</v>
      </c>
      <c r="DQ33" s="592">
        <f t="shared" si="54"/>
        <v>0</v>
      </c>
      <c r="DR33" s="592">
        <f t="shared" si="55"/>
        <v>0</v>
      </c>
      <c r="DS33" s="592">
        <f t="shared" si="56"/>
        <v>0</v>
      </c>
      <c r="DT33" s="592">
        <f t="shared" si="57"/>
        <v>0</v>
      </c>
      <c r="DU33" s="592">
        <f t="shared" si="58"/>
        <v>0</v>
      </c>
      <c r="DV33" s="592">
        <f t="shared" si="59"/>
        <v>0</v>
      </c>
      <c r="DW33" s="592">
        <f t="shared" si="60"/>
        <v>0</v>
      </c>
      <c r="DX33" s="592">
        <f t="shared" si="61"/>
        <v>0</v>
      </c>
      <c r="DY33" s="593"/>
      <c r="DZ33" s="593"/>
      <c r="EA33" s="593"/>
      <c r="EB33" s="593"/>
      <c r="EC33" s="593"/>
      <c r="ED33" s="593"/>
      <c r="EE33" s="593"/>
      <c r="EF33" s="593"/>
      <c r="EG33" s="593"/>
      <c r="EH33" s="594"/>
      <c r="EI33" s="595"/>
      <c r="EJ33" s="596">
        <f t="shared" si="62"/>
        <v>46904</v>
      </c>
      <c r="EK33" s="597"/>
      <c r="EL33" s="59"/>
      <c r="EM33" s="275"/>
      <c r="EN33" s="222"/>
      <c r="EO33" s="222"/>
      <c r="EP33" s="222"/>
      <c r="EQ33" s="231"/>
      <c r="ER33" s="213"/>
      <c r="ES33" s="220"/>
      <c r="ET33" s="220"/>
      <c r="EU33" s="220"/>
      <c r="EV33" s="220"/>
      <c r="EW33" s="220"/>
      <c r="EX33" s="220"/>
      <c r="EY33" s="220"/>
      <c r="EZ33" s="220"/>
      <c r="FA33" s="220"/>
      <c r="FB33" s="222"/>
      <c r="FC33" s="222"/>
      <c r="FD33" s="222"/>
      <c r="FE33" s="220"/>
      <c r="FF33" s="409"/>
      <c r="FG33" s="222"/>
      <c r="FH33" s="220"/>
      <c r="FI33" s="220"/>
      <c r="FJ33" s="220"/>
      <c r="FK33" s="220"/>
      <c r="FL33" s="598"/>
      <c r="FM33" s="599" t="s">
        <v>382</v>
      </c>
      <c r="FN33" s="600" t="s">
        <v>202</v>
      </c>
      <c r="FO33" s="600" t="s">
        <v>231</v>
      </c>
      <c r="FP33" s="599" t="s">
        <v>203</v>
      </c>
      <c r="FQ33" s="599" t="s">
        <v>399</v>
      </c>
      <c r="FR33" s="601" t="s">
        <v>184</v>
      </c>
      <c r="FS33" s="601" t="s">
        <v>400</v>
      </c>
      <c r="FT33" s="601" t="s">
        <v>401</v>
      </c>
      <c r="FU33" s="602"/>
    </row>
    <row r="34" spans="1:177" s="13" customFormat="1" ht="409.5">
      <c r="A34" s="63" t="s">
        <v>402</v>
      </c>
      <c r="B34" s="48" t="s">
        <v>205</v>
      </c>
      <c r="C34" s="64" t="s">
        <v>206</v>
      </c>
      <c r="D34" s="225" t="s">
        <v>207</v>
      </c>
      <c r="E34" s="63" t="s">
        <v>364</v>
      </c>
      <c r="F34" s="249">
        <f t="shared" si="70"/>
        <v>5</v>
      </c>
      <c r="G34" s="65" t="s">
        <v>366</v>
      </c>
      <c r="H34" s="65" t="s">
        <v>366</v>
      </c>
      <c r="I34" s="65" t="s">
        <v>30</v>
      </c>
      <c r="J34" s="48">
        <v>2025</v>
      </c>
      <c r="K34" s="48">
        <v>2025</v>
      </c>
      <c r="L34" s="48" t="s">
        <v>172</v>
      </c>
      <c r="M34" s="48" t="s">
        <v>173</v>
      </c>
      <c r="N34" s="63" t="s">
        <v>174</v>
      </c>
      <c r="O34" s="63" t="s">
        <v>403</v>
      </c>
      <c r="P34" s="63" t="s">
        <v>212</v>
      </c>
      <c r="Q34" s="63" t="s">
        <v>199</v>
      </c>
      <c r="R34" s="63" t="s">
        <v>404</v>
      </c>
      <c r="S34" s="63" t="str">
        <f t="shared" si="0"/>
        <v>Selesai Implementasi</v>
      </c>
      <c r="T34" s="63" t="str">
        <f t="shared" si="1"/>
        <v>DONE</v>
      </c>
      <c r="U34" s="63" t="str">
        <f t="shared" si="2"/>
        <v>Rizky Arga</v>
      </c>
      <c r="V34" s="67">
        <f t="shared" si="3"/>
        <v>0.99999999999999989</v>
      </c>
      <c r="W34" s="66" t="s">
        <v>215</v>
      </c>
      <c r="X34" s="59">
        <f t="shared" si="4"/>
        <v>45960</v>
      </c>
      <c r="Y34" s="228">
        <v>0</v>
      </c>
      <c r="Z34" s="63"/>
      <c r="AA34" s="62">
        <v>45658</v>
      </c>
      <c r="AB34" s="42">
        <v>45716</v>
      </c>
      <c r="AC34" s="42">
        <v>45658</v>
      </c>
      <c r="AD34" s="42">
        <v>45716</v>
      </c>
      <c r="AE34" s="42">
        <v>45717</v>
      </c>
      <c r="AF34" s="42">
        <v>45747</v>
      </c>
      <c r="AG34" s="274"/>
      <c r="AH34" s="274"/>
      <c r="AI34" s="42">
        <v>45748</v>
      </c>
      <c r="AJ34" s="42">
        <v>45764</v>
      </c>
      <c r="AK34" s="42">
        <v>45768</v>
      </c>
      <c r="AL34" s="42">
        <v>45786</v>
      </c>
      <c r="AM34" s="42">
        <v>45790</v>
      </c>
      <c r="AN34" s="42">
        <v>45800</v>
      </c>
      <c r="AO34" s="42">
        <v>45803</v>
      </c>
      <c r="AP34" s="42">
        <v>45851</v>
      </c>
      <c r="AQ34" s="42">
        <v>45854</v>
      </c>
      <c r="AR34" s="42">
        <v>45960</v>
      </c>
      <c r="AS34" s="63" t="str">
        <f t="shared" si="5"/>
        <v>Selesai Implementasi</v>
      </c>
      <c r="AT34" s="63" t="str">
        <f t="shared" si="6"/>
        <v>Selesai Implementasi</v>
      </c>
      <c r="AU34" s="63" t="str">
        <f t="shared" si="7"/>
        <v>Selesai Implementasi</v>
      </c>
      <c r="AV34" s="63" t="str">
        <f t="shared" si="8"/>
        <v>Selesai Implementasi</v>
      </c>
      <c r="AW34" s="63" t="str">
        <f t="shared" si="9"/>
        <v>Selesai Implementasi</v>
      </c>
      <c r="AX34" s="63" t="str">
        <f t="shared" si="10"/>
        <v>Selesai Implementasi</v>
      </c>
      <c r="AY34" s="63" t="str">
        <f t="shared" si="11"/>
        <v>Selesai Implementasi</v>
      </c>
      <c r="AZ34" s="63" t="str">
        <f t="shared" si="12"/>
        <v>Selesai Implementasi</v>
      </c>
      <c r="BA34" s="63" t="str">
        <f t="shared" si="13"/>
        <v>Selesai Implementasi</v>
      </c>
      <c r="BB34" s="63" t="str">
        <f t="shared" si="14"/>
        <v>Selesai Implementasi</v>
      </c>
      <c r="BC34" s="63" t="str">
        <f t="shared" si="15"/>
        <v>Selesai Implementasi</v>
      </c>
      <c r="BD34" s="63" t="str">
        <f t="shared" si="16"/>
        <v>Selesai Implementasi</v>
      </c>
      <c r="BE34" s="43">
        <v>1</v>
      </c>
      <c r="BF34" s="43">
        <v>1</v>
      </c>
      <c r="BG34" s="43">
        <v>1</v>
      </c>
      <c r="BH34" s="43">
        <v>1</v>
      </c>
      <c r="BI34" s="43">
        <v>1</v>
      </c>
      <c r="BJ34" s="43">
        <v>1</v>
      </c>
      <c r="BK34" s="43">
        <v>1</v>
      </c>
      <c r="BL34" s="43">
        <v>1</v>
      </c>
      <c r="BM34" s="43">
        <v>1</v>
      </c>
      <c r="BN34" s="43">
        <v>1</v>
      </c>
      <c r="BO34" s="43">
        <v>1</v>
      </c>
      <c r="BP34" s="43">
        <v>1</v>
      </c>
      <c r="BQ34" s="63" t="str">
        <f t="shared" si="17"/>
        <v>Selesai Implementasi</v>
      </c>
      <c r="BR34" s="63" t="str">
        <f t="shared" si="18"/>
        <v>Not Started</v>
      </c>
      <c r="BS34" s="63" t="str">
        <f t="shared" si="19"/>
        <v>Not Started</v>
      </c>
      <c r="BT34" s="63" t="str">
        <f t="shared" si="20"/>
        <v>Not Started</v>
      </c>
      <c r="BU34" s="63" t="str">
        <f t="shared" si="21"/>
        <v>Not Started</v>
      </c>
      <c r="BV34" s="63" t="str">
        <f t="shared" si="22"/>
        <v>Not Started</v>
      </c>
      <c r="BW34" s="63" t="str">
        <f t="shared" si="23"/>
        <v>Not Started</v>
      </c>
      <c r="BX34" s="63" t="str">
        <f t="shared" si="24"/>
        <v>Not Started</v>
      </c>
      <c r="BY34" s="63" t="str">
        <f t="shared" si="25"/>
        <v>Not Started</v>
      </c>
      <c r="BZ34" s="63" t="str">
        <f t="shared" si="26"/>
        <v>Not Started</v>
      </c>
      <c r="CA34" s="63" t="str">
        <f t="shared" si="27"/>
        <v>Not Started</v>
      </c>
      <c r="CB34" s="63" t="str">
        <f t="shared" si="28"/>
        <v>Not Started</v>
      </c>
      <c r="CC34" s="44">
        <f t="shared" si="69"/>
        <v>0.99999999999999989</v>
      </c>
      <c r="CD34" s="44"/>
      <c r="CE34" s="44"/>
      <c r="CF34" s="44"/>
      <c r="CG34" s="44"/>
      <c r="CH34" s="44"/>
      <c r="CI34" s="44"/>
      <c r="CJ34" s="44"/>
      <c r="CK34" s="44"/>
      <c r="CL34" s="44"/>
      <c r="CM34" s="44"/>
      <c r="CN34" s="44"/>
      <c r="CO34" s="45">
        <f t="shared" si="63"/>
        <v>0.99999999999999989</v>
      </c>
      <c r="CP34" s="45">
        <f t="shared" si="65"/>
        <v>0</v>
      </c>
      <c r="CQ34" s="45">
        <f t="shared" si="29"/>
        <v>0</v>
      </c>
      <c r="CR34" s="45">
        <f t="shared" si="30"/>
        <v>0</v>
      </c>
      <c r="CS34" s="45">
        <f t="shared" si="31"/>
        <v>0</v>
      </c>
      <c r="CT34" s="45">
        <f t="shared" si="32"/>
        <v>0</v>
      </c>
      <c r="CU34" s="45">
        <f t="shared" si="33"/>
        <v>0</v>
      </c>
      <c r="CV34" s="45">
        <f t="shared" si="34"/>
        <v>0</v>
      </c>
      <c r="CW34" s="45">
        <f t="shared" si="35"/>
        <v>0</v>
      </c>
      <c r="CX34" s="45">
        <f t="shared" si="36"/>
        <v>0</v>
      </c>
      <c r="CY34" s="45">
        <f t="shared" si="37"/>
        <v>0</v>
      </c>
      <c r="CZ34" s="45"/>
      <c r="DA34" s="45" t="str">
        <f t="shared" si="38"/>
        <v>DONE</v>
      </c>
      <c r="DB34" s="45" t="str">
        <f t="shared" si="39"/>
        <v>BS</v>
      </c>
      <c r="DC34" s="45" t="str">
        <f t="shared" si="40"/>
        <v>BS</v>
      </c>
      <c r="DD34" s="45" t="str">
        <f t="shared" si="41"/>
        <v>BS</v>
      </c>
      <c r="DE34" s="45" t="str">
        <f t="shared" si="42"/>
        <v>BS</v>
      </c>
      <c r="DF34" s="45" t="str">
        <f t="shared" si="43"/>
        <v>BS</v>
      </c>
      <c r="DG34" s="45" t="str">
        <f t="shared" si="44"/>
        <v>BS</v>
      </c>
      <c r="DH34" s="45" t="str">
        <f t="shared" si="45"/>
        <v>BS</v>
      </c>
      <c r="DI34" s="45" t="str">
        <f t="shared" si="46"/>
        <v>BS</v>
      </c>
      <c r="DJ34" s="45" t="str">
        <f t="shared" si="47"/>
        <v>BS</v>
      </c>
      <c r="DK34" s="45" t="str">
        <f t="shared" si="48"/>
        <v>BS</v>
      </c>
      <c r="DL34" s="45" t="str">
        <f t="shared" si="49"/>
        <v>BS</v>
      </c>
      <c r="DM34" s="45">
        <f t="shared" si="50"/>
        <v>0.99999999999999989</v>
      </c>
      <c r="DN34" s="45">
        <f t="shared" si="51"/>
        <v>0</v>
      </c>
      <c r="DO34" s="45">
        <f t="shared" si="52"/>
        <v>0</v>
      </c>
      <c r="DP34" s="45">
        <f t="shared" si="53"/>
        <v>0</v>
      </c>
      <c r="DQ34" s="45">
        <f t="shared" si="54"/>
        <v>0</v>
      </c>
      <c r="DR34" s="45">
        <f t="shared" si="55"/>
        <v>0</v>
      </c>
      <c r="DS34" s="45">
        <f t="shared" si="56"/>
        <v>0</v>
      </c>
      <c r="DT34" s="45">
        <f t="shared" si="57"/>
        <v>0</v>
      </c>
      <c r="DU34" s="45">
        <f t="shared" si="58"/>
        <v>0</v>
      </c>
      <c r="DV34" s="45">
        <f t="shared" si="59"/>
        <v>0</v>
      </c>
      <c r="DW34" s="45">
        <f t="shared" si="60"/>
        <v>0</v>
      </c>
      <c r="DX34" s="45">
        <f t="shared" si="61"/>
        <v>0</v>
      </c>
      <c r="DY34" s="46">
        <v>1</v>
      </c>
      <c r="DZ34" s="46">
        <v>1</v>
      </c>
      <c r="EA34" s="46">
        <v>1</v>
      </c>
      <c r="EB34" s="46">
        <v>1</v>
      </c>
      <c r="EC34" s="46">
        <v>1</v>
      </c>
      <c r="ED34" s="46">
        <v>1</v>
      </c>
      <c r="EE34" s="46">
        <v>1</v>
      </c>
      <c r="EF34" s="46">
        <v>1</v>
      </c>
      <c r="EG34" s="46">
        <v>1</v>
      </c>
      <c r="EH34" s="460" t="s">
        <v>405</v>
      </c>
      <c r="EI34" s="230">
        <v>45947</v>
      </c>
      <c r="EJ34" s="59">
        <f t="shared" si="62"/>
        <v>45960</v>
      </c>
      <c r="EK34" s="229">
        <v>45716</v>
      </c>
      <c r="EL34" s="230"/>
      <c r="EM34" s="229"/>
      <c r="EN34" s="222"/>
      <c r="EO34" s="222"/>
      <c r="EP34" s="222"/>
      <c r="EQ34" s="231"/>
      <c r="ER34" s="213"/>
      <c r="ES34" s="220"/>
      <c r="ET34" s="222" t="s">
        <v>406</v>
      </c>
      <c r="EU34" s="220"/>
      <c r="EV34" s="220"/>
      <c r="EW34" s="220"/>
      <c r="EX34" s="220"/>
      <c r="EY34" s="220"/>
      <c r="EZ34" s="220"/>
      <c r="FA34" s="220"/>
      <c r="FB34" s="222"/>
      <c r="FC34" s="222"/>
      <c r="FD34" s="222"/>
      <c r="FE34" s="220"/>
      <c r="FF34" s="222" t="s">
        <v>407</v>
      </c>
      <c r="FG34" s="222"/>
      <c r="FH34" s="220"/>
      <c r="FI34" s="220"/>
      <c r="FJ34" s="220"/>
      <c r="FK34" s="220"/>
      <c r="FL34" s="215"/>
      <c r="FM34" s="172" t="s">
        <v>408</v>
      </c>
      <c r="FN34" s="224" t="s">
        <v>202</v>
      </c>
      <c r="FO34" s="224" t="s">
        <v>231</v>
      </c>
      <c r="FP34" s="172" t="s">
        <v>409</v>
      </c>
      <c r="FQ34" s="172" t="s">
        <v>410</v>
      </c>
      <c r="FR34" s="239" t="s">
        <v>184</v>
      </c>
      <c r="FS34" s="223"/>
      <c r="FT34" s="267" t="s">
        <v>411</v>
      </c>
      <c r="FU34" s="48">
        <v>4</v>
      </c>
    </row>
    <row r="35" spans="1:177" s="13" customFormat="1" ht="160">
      <c r="A35" s="63" t="s">
        <v>412</v>
      </c>
      <c r="B35" s="48" t="s">
        <v>205</v>
      </c>
      <c r="C35" s="64" t="s">
        <v>206</v>
      </c>
      <c r="D35" s="225" t="s">
        <v>207</v>
      </c>
      <c r="E35" s="63" t="s">
        <v>364</v>
      </c>
      <c r="F35" s="249">
        <f t="shared" si="70"/>
        <v>6</v>
      </c>
      <c r="G35" s="65" t="s">
        <v>366</v>
      </c>
      <c r="H35" s="65" t="s">
        <v>366</v>
      </c>
      <c r="I35" s="65" t="s">
        <v>31</v>
      </c>
      <c r="J35" s="48">
        <v>2025</v>
      </c>
      <c r="K35" s="48">
        <v>2026</v>
      </c>
      <c r="L35" s="48" t="s">
        <v>172</v>
      </c>
      <c r="M35" s="48" t="s">
        <v>173</v>
      </c>
      <c r="N35" s="63" t="s">
        <v>174</v>
      </c>
      <c r="O35" s="63" t="s">
        <v>413</v>
      </c>
      <c r="P35" s="63" t="s">
        <v>15</v>
      </c>
      <c r="Q35" s="63" t="s">
        <v>199</v>
      </c>
      <c r="R35" s="63" t="s">
        <v>414</v>
      </c>
      <c r="S35" s="63" t="str">
        <f t="shared" ref="S35:S67" si="71">BQ35</f>
        <v>Proses KAK</v>
      </c>
      <c r="T35" s="63" t="str">
        <f t="shared" si="1"/>
        <v>On Progress</v>
      </c>
      <c r="U35" s="63" t="str">
        <f t="shared" ref="U35:U68" si="72">FN35</f>
        <v>Rizky Arga</v>
      </c>
      <c r="V35" s="67">
        <f t="shared" ref="V35:V68" si="73">CC35</f>
        <v>0.2475</v>
      </c>
      <c r="W35" s="59" t="s">
        <v>260</v>
      </c>
      <c r="X35" s="59">
        <f t="shared" ref="X35:X66" si="74">AR35</f>
        <v>46111</v>
      </c>
      <c r="Y35" s="228">
        <v>1</v>
      </c>
      <c r="Z35" s="63"/>
      <c r="AA35" s="62">
        <v>45962</v>
      </c>
      <c r="AB35" s="42">
        <v>46037</v>
      </c>
      <c r="AC35" s="42">
        <v>46034</v>
      </c>
      <c r="AD35" s="42">
        <v>46037</v>
      </c>
      <c r="AE35" s="42">
        <v>46034</v>
      </c>
      <c r="AF35" s="42">
        <v>46045</v>
      </c>
      <c r="AG35" s="42">
        <v>46037</v>
      </c>
      <c r="AH35" s="42">
        <v>46049</v>
      </c>
      <c r="AI35" s="42">
        <v>46048</v>
      </c>
      <c r="AJ35" s="42">
        <v>46052</v>
      </c>
      <c r="AK35" s="42">
        <v>46055</v>
      </c>
      <c r="AL35" s="42">
        <v>46080</v>
      </c>
      <c r="AM35" s="42">
        <v>46076</v>
      </c>
      <c r="AN35" s="42">
        <v>46087</v>
      </c>
      <c r="AO35" s="42">
        <v>46083</v>
      </c>
      <c r="AP35" s="42">
        <v>46094</v>
      </c>
      <c r="AQ35" s="42">
        <v>46090</v>
      </c>
      <c r="AR35" s="42">
        <v>46111</v>
      </c>
      <c r="AS35" s="63" t="str">
        <f t="shared" si="5"/>
        <v>Selesai Pengadaan</v>
      </c>
      <c r="AT35" s="63" t="str">
        <f t="shared" si="6"/>
        <v>Selesai Pengembangan</v>
      </c>
      <c r="AU35" s="63" t="str">
        <f t="shared" si="7"/>
        <v>Selesai Implementasi</v>
      </c>
      <c r="AV35" s="63" t="str">
        <f t="shared" si="8"/>
        <v>Selesai Implementasi</v>
      </c>
      <c r="AW35" s="63" t="str">
        <f t="shared" si="9"/>
        <v>Selesai Implementasi</v>
      </c>
      <c r="AX35" s="63" t="str">
        <f t="shared" si="10"/>
        <v>Selesai Implementasi</v>
      </c>
      <c r="AY35" s="63" t="str">
        <f t="shared" si="11"/>
        <v>Selesai Implementasi</v>
      </c>
      <c r="AZ35" s="63" t="str">
        <f t="shared" si="12"/>
        <v>Selesai Implementasi</v>
      </c>
      <c r="BA35" s="63" t="str">
        <f t="shared" si="13"/>
        <v>Selesai Implementasi</v>
      </c>
      <c r="BB35" s="63" t="str">
        <f t="shared" si="14"/>
        <v>Selesai Implementasi</v>
      </c>
      <c r="BC35" s="63" t="str">
        <f t="shared" si="15"/>
        <v>Selesai Implementasi</v>
      </c>
      <c r="BD35" s="63" t="str">
        <f t="shared" si="16"/>
        <v>Selesai Implementasi</v>
      </c>
      <c r="BE35" s="43">
        <v>0.3</v>
      </c>
      <c r="BF35" s="43">
        <v>0.8</v>
      </c>
      <c r="BG35" s="43">
        <v>1</v>
      </c>
      <c r="BH35" s="43">
        <v>1</v>
      </c>
      <c r="BI35" s="43">
        <v>1</v>
      </c>
      <c r="BJ35" s="43">
        <v>1</v>
      </c>
      <c r="BK35" s="43">
        <v>1</v>
      </c>
      <c r="BL35" s="43">
        <v>1</v>
      </c>
      <c r="BM35" s="43">
        <v>1</v>
      </c>
      <c r="BN35" s="43">
        <v>1</v>
      </c>
      <c r="BO35" s="43">
        <v>1</v>
      </c>
      <c r="BP35" s="43">
        <v>1</v>
      </c>
      <c r="BQ35" s="63" t="str">
        <f t="shared" si="17"/>
        <v>Proses KAK</v>
      </c>
      <c r="BR35" s="63" t="str">
        <f t="shared" si="18"/>
        <v>Not Started</v>
      </c>
      <c r="BS35" s="63" t="str">
        <f t="shared" si="19"/>
        <v>Not Started</v>
      </c>
      <c r="BT35" s="63" t="str">
        <f t="shared" si="20"/>
        <v>Not Started</v>
      </c>
      <c r="BU35" s="63" t="str">
        <f t="shared" si="21"/>
        <v>Not Started</v>
      </c>
      <c r="BV35" s="63" t="str">
        <f t="shared" si="22"/>
        <v>Not Started</v>
      </c>
      <c r="BW35" s="63" t="str">
        <f t="shared" si="23"/>
        <v>Not Started</v>
      </c>
      <c r="BX35" s="63" t="str">
        <f t="shared" si="24"/>
        <v>Not Started</v>
      </c>
      <c r="BY35" s="63" t="str">
        <f t="shared" si="25"/>
        <v>Not Started</v>
      </c>
      <c r="BZ35" s="63" t="str">
        <f t="shared" si="26"/>
        <v>Not Started</v>
      </c>
      <c r="CA35" s="63" t="str">
        <f t="shared" si="27"/>
        <v>Not Started</v>
      </c>
      <c r="CB35" s="63" t="str">
        <f t="shared" si="28"/>
        <v>Not Started</v>
      </c>
      <c r="CC35" s="44">
        <f t="shared" si="69"/>
        <v>0.2475</v>
      </c>
      <c r="CD35" s="44"/>
      <c r="CE35" s="44"/>
      <c r="CF35" s="44"/>
      <c r="CG35" s="44"/>
      <c r="CH35" s="44"/>
      <c r="CI35" s="44"/>
      <c r="CJ35" s="44"/>
      <c r="CK35" s="44"/>
      <c r="CL35" s="44"/>
      <c r="CM35" s="44"/>
      <c r="CN35" s="44"/>
      <c r="CO35" s="45">
        <f t="shared" si="63"/>
        <v>0.82500000000000007</v>
      </c>
      <c r="CP35" s="45">
        <f t="shared" si="65"/>
        <v>0</v>
      </c>
      <c r="CQ35" s="45">
        <f t="shared" si="29"/>
        <v>0</v>
      </c>
      <c r="CR35" s="45">
        <f t="shared" si="30"/>
        <v>0</v>
      </c>
      <c r="CS35" s="45">
        <f t="shared" si="31"/>
        <v>0</v>
      </c>
      <c r="CT35" s="45">
        <f t="shared" si="32"/>
        <v>0</v>
      </c>
      <c r="CU35" s="45">
        <f t="shared" si="33"/>
        <v>0</v>
      </c>
      <c r="CV35" s="45">
        <f t="shared" si="34"/>
        <v>0</v>
      </c>
      <c r="CW35" s="45">
        <f t="shared" si="35"/>
        <v>0</v>
      </c>
      <c r="CX35" s="45">
        <f t="shared" si="36"/>
        <v>0</v>
      </c>
      <c r="CY35" s="45">
        <f t="shared" si="37"/>
        <v>0</v>
      </c>
      <c r="CZ35" s="45"/>
      <c r="DA35" s="45" t="str">
        <f>IF(BE35=0%,"NS",IF(CC35=100%,"DONE",IF(CO35&gt;100%,"AS",IF(CO35&lt;75%,"BS",IF(CO35&lt;89.9%,"AR","OS")))))</f>
        <v>AR</v>
      </c>
      <c r="DB35" s="45" t="str">
        <f t="shared" si="39"/>
        <v>BS</v>
      </c>
      <c r="DC35" s="45" t="str">
        <f t="shared" si="40"/>
        <v>BS</v>
      </c>
      <c r="DD35" s="45" t="str">
        <f t="shared" si="41"/>
        <v>BS</v>
      </c>
      <c r="DE35" s="45" t="str">
        <f t="shared" si="42"/>
        <v>BS</v>
      </c>
      <c r="DF35" s="45" t="str">
        <f t="shared" si="43"/>
        <v>BS</v>
      </c>
      <c r="DG35" s="45" t="str">
        <f t="shared" si="44"/>
        <v>BS</v>
      </c>
      <c r="DH35" s="45" t="str">
        <f t="shared" si="45"/>
        <v>BS</v>
      </c>
      <c r="DI35" s="45" t="str">
        <f t="shared" si="46"/>
        <v>BS</v>
      </c>
      <c r="DJ35" s="45" t="str">
        <f t="shared" si="47"/>
        <v>BS</v>
      </c>
      <c r="DK35" s="45" t="str">
        <f t="shared" si="48"/>
        <v>BS</v>
      </c>
      <c r="DL35" s="45" t="str">
        <f t="shared" si="49"/>
        <v>BS</v>
      </c>
      <c r="DM35" s="45">
        <f t="shared" si="50"/>
        <v>0.2475</v>
      </c>
      <c r="DN35" s="45">
        <f t="shared" si="51"/>
        <v>0</v>
      </c>
      <c r="DO35" s="45">
        <f t="shared" si="52"/>
        <v>0</v>
      </c>
      <c r="DP35" s="45">
        <f t="shared" si="53"/>
        <v>0</v>
      </c>
      <c r="DQ35" s="45">
        <f t="shared" si="54"/>
        <v>0</v>
      </c>
      <c r="DR35" s="45">
        <f t="shared" si="55"/>
        <v>0</v>
      </c>
      <c r="DS35" s="45">
        <f t="shared" si="56"/>
        <v>0</v>
      </c>
      <c r="DT35" s="45">
        <f t="shared" si="57"/>
        <v>0</v>
      </c>
      <c r="DU35" s="45">
        <f t="shared" si="58"/>
        <v>0</v>
      </c>
      <c r="DV35" s="45">
        <f t="shared" si="59"/>
        <v>0</v>
      </c>
      <c r="DW35" s="45">
        <f t="shared" si="60"/>
        <v>0</v>
      </c>
      <c r="DX35" s="45">
        <f>CN35/$BP35</f>
        <v>0</v>
      </c>
      <c r="DY35" s="41">
        <v>0.95</v>
      </c>
      <c r="DZ35" s="41">
        <v>0.8</v>
      </c>
      <c r="EA35" s="41">
        <v>0.6</v>
      </c>
      <c r="EB35" s="41">
        <v>0.7</v>
      </c>
      <c r="EC35" s="41"/>
      <c r="ED35" s="41"/>
      <c r="EE35" s="41"/>
      <c r="EF35" s="41"/>
      <c r="EG35" s="41"/>
      <c r="EH35" s="49" t="s">
        <v>1518</v>
      </c>
      <c r="EI35" s="222"/>
      <c r="EJ35" s="59">
        <f t="shared" si="62"/>
        <v>46111</v>
      </c>
      <c r="EK35" s="229"/>
      <c r="EL35" s="230"/>
      <c r="EM35" s="229"/>
      <c r="EN35" s="222"/>
      <c r="EO35" s="222"/>
      <c r="EP35" s="222"/>
      <c r="EQ35" s="231"/>
      <c r="ER35" s="213"/>
      <c r="ES35" s="220"/>
      <c r="ET35" s="220"/>
      <c r="EU35" s="220"/>
      <c r="EV35" s="220"/>
      <c r="EW35" s="220"/>
      <c r="EX35" s="220"/>
      <c r="EY35" s="220"/>
      <c r="EZ35" s="220"/>
      <c r="FA35" s="220"/>
      <c r="FB35" s="222"/>
      <c r="FC35" s="222"/>
      <c r="FD35" s="222"/>
      <c r="FE35" s="220"/>
      <c r="FF35" s="220"/>
      <c r="FG35" s="222"/>
      <c r="FH35" s="220"/>
      <c r="FI35" s="220"/>
      <c r="FJ35" s="220"/>
      <c r="FK35" s="220"/>
      <c r="FL35" s="215"/>
      <c r="FM35" s="172" t="s">
        <v>416</v>
      </c>
      <c r="FN35" s="224" t="s">
        <v>202</v>
      </c>
      <c r="FO35" s="224" t="s">
        <v>231</v>
      </c>
      <c r="FP35" s="172" t="s">
        <v>417</v>
      </c>
      <c r="FQ35" s="172" t="s">
        <v>418</v>
      </c>
      <c r="FR35" s="239" t="s">
        <v>419</v>
      </c>
      <c r="FS35" s="213" t="s">
        <v>420</v>
      </c>
      <c r="FT35" s="267" t="s">
        <v>421</v>
      </c>
      <c r="FU35" s="48">
        <v>5</v>
      </c>
    </row>
    <row r="36" spans="1:177" s="13" customFormat="1" ht="128">
      <c r="A36" s="63" t="s">
        <v>422</v>
      </c>
      <c r="B36" s="48" t="s">
        <v>205</v>
      </c>
      <c r="C36" s="64" t="s">
        <v>206</v>
      </c>
      <c r="D36" s="225" t="s">
        <v>207</v>
      </c>
      <c r="E36" s="63" t="s">
        <v>364</v>
      </c>
      <c r="F36" s="249">
        <f t="shared" si="70"/>
        <v>7</v>
      </c>
      <c r="G36" s="65" t="s">
        <v>366</v>
      </c>
      <c r="H36" s="65" t="s">
        <v>366</v>
      </c>
      <c r="I36" s="65" t="s">
        <v>1596</v>
      </c>
      <c r="J36" s="48">
        <v>2026</v>
      </c>
      <c r="K36" s="48">
        <v>2027</v>
      </c>
      <c r="L36" s="48" t="s">
        <v>172</v>
      </c>
      <c r="M36" s="48" t="s">
        <v>173</v>
      </c>
      <c r="N36" s="63" t="s">
        <v>174</v>
      </c>
      <c r="O36" s="63" t="s">
        <v>413</v>
      </c>
      <c r="P36" s="63" t="s">
        <v>15</v>
      </c>
      <c r="Q36" s="63" t="s">
        <v>199</v>
      </c>
      <c r="R36" s="63" t="s">
        <v>414</v>
      </c>
      <c r="S36" s="63" t="str">
        <f t="shared" si="71"/>
        <v>Not Started</v>
      </c>
      <c r="T36" s="63" t="str">
        <f t="shared" si="1"/>
        <v>Not Started</v>
      </c>
      <c r="U36" s="63" t="str">
        <f t="shared" si="72"/>
        <v>Rizky Arga</v>
      </c>
      <c r="V36" s="67">
        <f t="shared" si="73"/>
        <v>0</v>
      </c>
      <c r="W36" s="66" t="s">
        <v>237</v>
      </c>
      <c r="X36" s="59">
        <f t="shared" si="74"/>
        <v>46568</v>
      </c>
      <c r="Y36" s="228">
        <v>0</v>
      </c>
      <c r="Z36" s="63"/>
      <c r="AA36" s="62">
        <v>46296</v>
      </c>
      <c r="AB36" s="62">
        <v>46356</v>
      </c>
      <c r="AC36" s="62">
        <v>46357</v>
      </c>
      <c r="AD36" s="62">
        <v>46387</v>
      </c>
      <c r="AE36" s="42"/>
      <c r="AF36" s="42"/>
      <c r="AG36" s="42"/>
      <c r="AH36" s="42"/>
      <c r="AI36" s="42">
        <v>46388</v>
      </c>
      <c r="AJ36" s="42">
        <v>46418</v>
      </c>
      <c r="AK36" s="42">
        <v>46419</v>
      </c>
      <c r="AL36" s="42">
        <v>46477</v>
      </c>
      <c r="AM36" s="42">
        <v>46478</v>
      </c>
      <c r="AN36" s="42">
        <v>46507</v>
      </c>
      <c r="AO36" s="42">
        <v>46508</v>
      </c>
      <c r="AP36" s="42">
        <v>46537</v>
      </c>
      <c r="AQ36" s="42">
        <v>46539</v>
      </c>
      <c r="AR36" s="42">
        <v>46568</v>
      </c>
      <c r="AS36" s="63" t="str">
        <f t="shared" si="5"/>
        <v>Not Started</v>
      </c>
      <c r="AT36" s="63" t="str">
        <f t="shared" si="6"/>
        <v>Not Started</v>
      </c>
      <c r="AU36" s="63" t="str">
        <f t="shared" si="7"/>
        <v>Not Started</v>
      </c>
      <c r="AV36" s="63" t="str">
        <f t="shared" si="8"/>
        <v>Not Started</v>
      </c>
      <c r="AW36" s="63" t="str">
        <f t="shared" si="9"/>
        <v>Not Started</v>
      </c>
      <c r="AX36" s="63" t="str">
        <f t="shared" si="10"/>
        <v>Not Started</v>
      </c>
      <c r="AY36" s="63" t="str">
        <f t="shared" si="11"/>
        <v>Not Started</v>
      </c>
      <c r="AZ36" s="63" t="str">
        <f t="shared" si="12"/>
        <v>Not Started</v>
      </c>
      <c r="BA36" s="63" t="str">
        <f t="shared" si="13"/>
        <v>Not Started</v>
      </c>
      <c r="BB36" s="63" t="str">
        <f t="shared" si="14"/>
        <v>Selesai RBT-RBB</v>
      </c>
      <c r="BC36" s="63" t="str">
        <f t="shared" si="15"/>
        <v>Selesai RBT-RBL</v>
      </c>
      <c r="BD36" s="63" t="str">
        <f t="shared" si="16"/>
        <v>Selesai RPP</v>
      </c>
      <c r="BE36" s="43">
        <v>0</v>
      </c>
      <c r="BF36" s="43">
        <v>0</v>
      </c>
      <c r="BG36" s="43">
        <v>0</v>
      </c>
      <c r="BH36" s="43">
        <v>0</v>
      </c>
      <c r="BI36" s="43">
        <v>0</v>
      </c>
      <c r="BJ36" s="43">
        <v>0</v>
      </c>
      <c r="BK36" s="43">
        <v>0</v>
      </c>
      <c r="BL36" s="43">
        <v>0</v>
      </c>
      <c r="BM36" s="43">
        <v>0</v>
      </c>
      <c r="BN36" s="43">
        <v>0.05</v>
      </c>
      <c r="BO36" s="43">
        <v>0.1</v>
      </c>
      <c r="BP36" s="43">
        <v>0.2</v>
      </c>
      <c r="BQ36" s="63" t="str">
        <f t="shared" si="17"/>
        <v>Not Started</v>
      </c>
      <c r="BR36" s="63" t="str">
        <f t="shared" si="18"/>
        <v>Not Started</v>
      </c>
      <c r="BS36" s="63" t="str">
        <f t="shared" si="19"/>
        <v>Not Started</v>
      </c>
      <c r="BT36" s="63" t="str">
        <f t="shared" si="20"/>
        <v>Not Started</v>
      </c>
      <c r="BU36" s="63" t="str">
        <f t="shared" si="21"/>
        <v>Not Started</v>
      </c>
      <c r="BV36" s="63" t="str">
        <f t="shared" si="22"/>
        <v>Not Started</v>
      </c>
      <c r="BW36" s="63" t="str">
        <f t="shared" si="23"/>
        <v>Not Started</v>
      </c>
      <c r="BX36" s="63" t="str">
        <f t="shared" si="24"/>
        <v>Not Started</v>
      </c>
      <c r="BY36" s="63" t="str">
        <f t="shared" si="25"/>
        <v>Not Started</v>
      </c>
      <c r="BZ36" s="63" t="str">
        <f t="shared" si="26"/>
        <v>Not Started</v>
      </c>
      <c r="CA36" s="63" t="str">
        <f t="shared" si="27"/>
        <v>Not Started</v>
      </c>
      <c r="CB36" s="63" t="str">
        <f t="shared" si="28"/>
        <v>Not Started</v>
      </c>
      <c r="CC36" s="44">
        <f t="shared" si="69"/>
        <v>0</v>
      </c>
      <c r="CD36" s="44"/>
      <c r="CE36" s="44"/>
      <c r="CF36" s="44"/>
      <c r="CG36" s="44"/>
      <c r="CH36" s="44"/>
      <c r="CI36" s="44"/>
      <c r="CJ36" s="44"/>
      <c r="CK36" s="44"/>
      <c r="CL36" s="44"/>
      <c r="CM36" s="44"/>
      <c r="CN36" s="44"/>
      <c r="CO36" s="45">
        <f t="shared" si="63"/>
        <v>1</v>
      </c>
      <c r="CP36" s="45">
        <f t="shared" si="65"/>
        <v>1</v>
      </c>
      <c r="CQ36" s="45">
        <f t="shared" si="29"/>
        <v>1</v>
      </c>
      <c r="CR36" s="45">
        <f t="shared" si="30"/>
        <v>1</v>
      </c>
      <c r="CS36" s="45">
        <f t="shared" si="31"/>
        <v>1</v>
      </c>
      <c r="CT36" s="45">
        <f t="shared" si="32"/>
        <v>1</v>
      </c>
      <c r="CU36" s="45">
        <f t="shared" si="33"/>
        <v>1</v>
      </c>
      <c r="CV36" s="45">
        <f t="shared" si="34"/>
        <v>1</v>
      </c>
      <c r="CW36" s="45">
        <f t="shared" si="35"/>
        <v>1</v>
      </c>
      <c r="CX36" s="45">
        <f t="shared" si="36"/>
        <v>0</v>
      </c>
      <c r="CY36" s="45">
        <f t="shared" si="37"/>
        <v>0</v>
      </c>
      <c r="CZ36" s="45"/>
      <c r="DA36" s="45" t="str">
        <f t="shared" si="38"/>
        <v>NS</v>
      </c>
      <c r="DB36" s="45" t="str">
        <f t="shared" si="39"/>
        <v>NS</v>
      </c>
      <c r="DC36" s="45" t="str">
        <f t="shared" si="40"/>
        <v>NS</v>
      </c>
      <c r="DD36" s="45" t="str">
        <f t="shared" si="41"/>
        <v>NS</v>
      </c>
      <c r="DE36" s="45" t="str">
        <f t="shared" si="42"/>
        <v>NS</v>
      </c>
      <c r="DF36" s="45" t="str">
        <f t="shared" si="43"/>
        <v>NS</v>
      </c>
      <c r="DG36" s="45" t="str">
        <f t="shared" si="44"/>
        <v>NS</v>
      </c>
      <c r="DH36" s="45" t="str">
        <f t="shared" si="45"/>
        <v>NS</v>
      </c>
      <c r="DI36" s="45" t="str">
        <f t="shared" si="46"/>
        <v>NS</v>
      </c>
      <c r="DJ36" s="45" t="str">
        <f t="shared" si="47"/>
        <v>BS</v>
      </c>
      <c r="DK36" s="45" t="str">
        <f t="shared" si="48"/>
        <v>BS</v>
      </c>
      <c r="DL36" s="45" t="str">
        <f t="shared" si="49"/>
        <v>BS</v>
      </c>
      <c r="DM36" s="45">
        <f t="shared" si="50"/>
        <v>0</v>
      </c>
      <c r="DN36" s="45">
        <f t="shared" si="51"/>
        <v>0</v>
      </c>
      <c r="DO36" s="45">
        <f t="shared" si="52"/>
        <v>0</v>
      </c>
      <c r="DP36" s="45">
        <f t="shared" si="53"/>
        <v>0</v>
      </c>
      <c r="DQ36" s="45">
        <f t="shared" si="54"/>
        <v>0</v>
      </c>
      <c r="DR36" s="45">
        <f t="shared" si="55"/>
        <v>0</v>
      </c>
      <c r="DS36" s="45">
        <f t="shared" si="56"/>
        <v>0</v>
      </c>
      <c r="DT36" s="45">
        <f t="shared" si="57"/>
        <v>0</v>
      </c>
      <c r="DU36" s="45">
        <f t="shared" si="58"/>
        <v>0</v>
      </c>
      <c r="DV36" s="45">
        <f t="shared" si="59"/>
        <v>0</v>
      </c>
      <c r="DW36" s="45">
        <f t="shared" si="60"/>
        <v>0</v>
      </c>
      <c r="DX36" s="45">
        <f t="shared" si="61"/>
        <v>0</v>
      </c>
      <c r="DY36" s="41"/>
      <c r="DZ36" s="41"/>
      <c r="EA36" s="41"/>
      <c r="EB36" s="41"/>
      <c r="EC36" s="41"/>
      <c r="ED36" s="41"/>
      <c r="EE36" s="41"/>
      <c r="EF36" s="41"/>
      <c r="EG36" s="41"/>
      <c r="EH36" s="133" t="s">
        <v>423</v>
      </c>
      <c r="EI36" s="222"/>
      <c r="EJ36" s="59">
        <f t="shared" si="62"/>
        <v>46568</v>
      </c>
      <c r="EK36" s="229"/>
      <c r="EL36" s="230"/>
      <c r="EM36" s="229"/>
      <c r="EN36" s="222"/>
      <c r="EO36" s="222"/>
      <c r="EP36" s="222"/>
      <c r="EQ36" s="231"/>
      <c r="ER36" s="213"/>
      <c r="ES36" s="220"/>
      <c r="ET36" s="220"/>
      <c r="EU36" s="220"/>
      <c r="EV36" s="220"/>
      <c r="EW36" s="220"/>
      <c r="EX36" s="220"/>
      <c r="EY36" s="220"/>
      <c r="EZ36" s="220"/>
      <c r="FA36" s="220"/>
      <c r="FB36" s="222"/>
      <c r="FC36" s="222"/>
      <c r="FD36" s="222"/>
      <c r="FE36" s="220"/>
      <c r="FF36" s="220"/>
      <c r="FG36" s="222"/>
      <c r="FH36" s="220"/>
      <c r="FI36" s="220"/>
      <c r="FJ36" s="220"/>
      <c r="FK36" s="220"/>
      <c r="FL36" s="215"/>
      <c r="FM36" s="172" t="s">
        <v>416</v>
      </c>
      <c r="FN36" s="224" t="s">
        <v>202</v>
      </c>
      <c r="FO36" s="224" t="s">
        <v>231</v>
      </c>
      <c r="FP36" s="172" t="s">
        <v>417</v>
      </c>
      <c r="FQ36" s="172" t="s">
        <v>424</v>
      </c>
      <c r="FR36" s="239" t="s">
        <v>419</v>
      </c>
      <c r="FS36" s="213" t="s">
        <v>420</v>
      </c>
      <c r="FT36" s="267" t="s">
        <v>425</v>
      </c>
      <c r="FU36" s="48">
        <v>5</v>
      </c>
    </row>
    <row r="37" spans="1:177" s="13" customFormat="1" ht="128">
      <c r="A37" s="63" t="s">
        <v>426</v>
      </c>
      <c r="B37" s="48" t="s">
        <v>205</v>
      </c>
      <c r="C37" s="64" t="s">
        <v>206</v>
      </c>
      <c r="D37" s="225" t="s">
        <v>207</v>
      </c>
      <c r="E37" s="63" t="s">
        <v>364</v>
      </c>
      <c r="F37" s="249">
        <f t="shared" si="70"/>
        <v>8</v>
      </c>
      <c r="G37" s="65" t="s">
        <v>366</v>
      </c>
      <c r="H37" s="65" t="s">
        <v>366</v>
      </c>
      <c r="I37" s="65" t="s">
        <v>33</v>
      </c>
      <c r="J37" s="48">
        <v>2028</v>
      </c>
      <c r="K37" s="48">
        <v>2029</v>
      </c>
      <c r="L37" s="48" t="s">
        <v>172</v>
      </c>
      <c r="M37" s="48" t="s">
        <v>173</v>
      </c>
      <c r="N37" s="63" t="s">
        <v>174</v>
      </c>
      <c r="O37" s="63" t="s">
        <v>427</v>
      </c>
      <c r="P37" s="63" t="s">
        <v>15</v>
      </c>
      <c r="Q37" s="63" t="s">
        <v>199</v>
      </c>
      <c r="R37" s="63" t="s">
        <v>428</v>
      </c>
      <c r="S37" s="63" t="str">
        <f t="shared" si="71"/>
        <v>Not Started</v>
      </c>
      <c r="T37" s="63" t="str">
        <f t="shared" si="1"/>
        <v>Not Started</v>
      </c>
      <c r="U37" s="63" t="str">
        <f t="shared" si="72"/>
        <v>Rizky Arga</v>
      </c>
      <c r="V37" s="67">
        <f t="shared" si="73"/>
        <v>0</v>
      </c>
      <c r="W37" s="66" t="s">
        <v>429</v>
      </c>
      <c r="X37" s="59">
        <f t="shared" si="74"/>
        <v>47299</v>
      </c>
      <c r="Y37" s="228">
        <v>0</v>
      </c>
      <c r="Z37" s="63"/>
      <c r="AA37" s="62">
        <v>47027</v>
      </c>
      <c r="AB37" s="42">
        <v>47087</v>
      </c>
      <c r="AC37" s="42">
        <v>47088</v>
      </c>
      <c r="AD37" s="42">
        <v>47118</v>
      </c>
      <c r="AE37" s="42"/>
      <c r="AF37" s="42"/>
      <c r="AG37" s="42"/>
      <c r="AH37" s="42"/>
      <c r="AI37" s="42">
        <v>47119</v>
      </c>
      <c r="AJ37" s="42">
        <v>47149</v>
      </c>
      <c r="AK37" s="42">
        <v>47150</v>
      </c>
      <c r="AL37" s="42">
        <v>47207</v>
      </c>
      <c r="AM37" s="42">
        <v>47209</v>
      </c>
      <c r="AN37" s="42">
        <v>47238</v>
      </c>
      <c r="AO37" s="42">
        <v>47239</v>
      </c>
      <c r="AP37" s="42">
        <v>47269</v>
      </c>
      <c r="AQ37" s="42">
        <v>47270</v>
      </c>
      <c r="AR37" s="42">
        <v>47299</v>
      </c>
      <c r="AS37" s="63" t="str">
        <f t="shared" si="5"/>
        <v>Not Started</v>
      </c>
      <c r="AT37" s="63" t="str">
        <f t="shared" si="6"/>
        <v>Not Started</v>
      </c>
      <c r="AU37" s="63" t="str">
        <f t="shared" si="7"/>
        <v>Not Started</v>
      </c>
      <c r="AV37" s="63" t="str">
        <f t="shared" si="8"/>
        <v>Not Started</v>
      </c>
      <c r="AW37" s="63" t="str">
        <f t="shared" si="9"/>
        <v>Not Started</v>
      </c>
      <c r="AX37" s="63" t="str">
        <f t="shared" si="10"/>
        <v>Not Started</v>
      </c>
      <c r="AY37" s="63" t="str">
        <f t="shared" si="11"/>
        <v>Not Started</v>
      </c>
      <c r="AZ37" s="63" t="str">
        <f t="shared" si="12"/>
        <v>Not Started</v>
      </c>
      <c r="BA37" s="63" t="str">
        <f t="shared" si="13"/>
        <v>Not Started</v>
      </c>
      <c r="BB37" s="63" t="str">
        <f t="shared" si="14"/>
        <v>Not Started</v>
      </c>
      <c r="BC37" s="63" t="str">
        <f t="shared" si="15"/>
        <v>Not Started</v>
      </c>
      <c r="BD37" s="63" t="str">
        <f t="shared" si="16"/>
        <v>Not Started</v>
      </c>
      <c r="BE37" s="219">
        <v>0</v>
      </c>
      <c r="BF37" s="219">
        <v>0</v>
      </c>
      <c r="BG37" s="219">
        <v>0</v>
      </c>
      <c r="BH37" s="219">
        <v>0</v>
      </c>
      <c r="BI37" s="219">
        <v>0</v>
      </c>
      <c r="BJ37" s="219">
        <v>0</v>
      </c>
      <c r="BK37" s="219">
        <v>0</v>
      </c>
      <c r="BL37" s="219">
        <v>0</v>
      </c>
      <c r="BM37" s="219">
        <v>0</v>
      </c>
      <c r="BN37" s="219">
        <v>0</v>
      </c>
      <c r="BO37" s="219">
        <v>0</v>
      </c>
      <c r="BP37" s="219">
        <v>0</v>
      </c>
      <c r="BQ37" s="63" t="str">
        <f t="shared" si="17"/>
        <v>Not Started</v>
      </c>
      <c r="BR37" s="63" t="str">
        <f t="shared" si="18"/>
        <v>Not Started</v>
      </c>
      <c r="BS37" s="63" t="str">
        <f t="shared" si="19"/>
        <v>Not Started</v>
      </c>
      <c r="BT37" s="63" t="str">
        <f t="shared" si="20"/>
        <v>Not Started</v>
      </c>
      <c r="BU37" s="63" t="str">
        <f t="shared" si="21"/>
        <v>Not Started</v>
      </c>
      <c r="BV37" s="63" t="str">
        <f t="shared" si="22"/>
        <v>Not Started</v>
      </c>
      <c r="BW37" s="63" t="str">
        <f t="shared" si="23"/>
        <v>Not Started</v>
      </c>
      <c r="BX37" s="63" t="str">
        <f t="shared" si="24"/>
        <v>Not Started</v>
      </c>
      <c r="BY37" s="63" t="str">
        <f t="shared" si="25"/>
        <v>Not Started</v>
      </c>
      <c r="BZ37" s="63" t="str">
        <f t="shared" si="26"/>
        <v>Not Started</v>
      </c>
      <c r="CA37" s="63" t="str">
        <f t="shared" si="27"/>
        <v>Not Started</v>
      </c>
      <c r="CB37" s="63" t="str">
        <f t="shared" si="28"/>
        <v>Not Started</v>
      </c>
      <c r="CC37" s="44">
        <v>0</v>
      </c>
      <c r="CD37" s="44">
        <v>0</v>
      </c>
      <c r="CE37" s="44">
        <v>0</v>
      </c>
      <c r="CF37" s="44">
        <v>0</v>
      </c>
      <c r="CG37" s="44">
        <v>0</v>
      </c>
      <c r="CH37" s="242">
        <v>0</v>
      </c>
      <c r="CI37" s="44">
        <v>0</v>
      </c>
      <c r="CJ37" s="44"/>
      <c r="CK37" s="44"/>
      <c r="CL37" s="44">
        <v>0</v>
      </c>
      <c r="CM37" s="44">
        <f t="shared" si="68"/>
        <v>0</v>
      </c>
      <c r="CN37" s="44">
        <f t="shared" si="68"/>
        <v>0</v>
      </c>
      <c r="CO37" s="45">
        <f t="shared" si="63"/>
        <v>1</v>
      </c>
      <c r="CP37" s="45">
        <f t="shared" si="65"/>
        <v>1</v>
      </c>
      <c r="CQ37" s="45">
        <f t="shared" si="29"/>
        <v>1</v>
      </c>
      <c r="CR37" s="45">
        <f t="shared" si="30"/>
        <v>1</v>
      </c>
      <c r="CS37" s="45">
        <f t="shared" si="31"/>
        <v>1</v>
      </c>
      <c r="CT37" s="45">
        <f t="shared" si="32"/>
        <v>1</v>
      </c>
      <c r="CU37" s="45">
        <f t="shared" si="33"/>
        <v>1</v>
      </c>
      <c r="CV37" s="45">
        <f t="shared" si="34"/>
        <v>1</v>
      </c>
      <c r="CW37" s="45">
        <f t="shared" si="35"/>
        <v>1</v>
      </c>
      <c r="CX37" s="45">
        <f t="shared" si="36"/>
        <v>1</v>
      </c>
      <c r="CY37" s="45">
        <f t="shared" si="37"/>
        <v>1</v>
      </c>
      <c r="CZ37" s="45"/>
      <c r="DA37" s="45" t="str">
        <f t="shared" si="38"/>
        <v>NS</v>
      </c>
      <c r="DB37" s="45" t="str">
        <f t="shared" si="39"/>
        <v>NS</v>
      </c>
      <c r="DC37" s="45" t="str">
        <f t="shared" si="40"/>
        <v>NS</v>
      </c>
      <c r="DD37" s="45" t="str">
        <f t="shared" si="41"/>
        <v>NS</v>
      </c>
      <c r="DE37" s="45" t="str">
        <f t="shared" si="42"/>
        <v>NS</v>
      </c>
      <c r="DF37" s="45" t="str">
        <f t="shared" si="43"/>
        <v>NS</v>
      </c>
      <c r="DG37" s="45" t="str">
        <f t="shared" si="44"/>
        <v>NS</v>
      </c>
      <c r="DH37" s="45" t="str">
        <f t="shared" si="45"/>
        <v>NS</v>
      </c>
      <c r="DI37" s="45" t="str">
        <f t="shared" si="46"/>
        <v>NS</v>
      </c>
      <c r="DJ37" s="45" t="str">
        <f t="shared" si="47"/>
        <v>NS</v>
      </c>
      <c r="DK37" s="45" t="str">
        <f t="shared" si="48"/>
        <v>NS</v>
      </c>
      <c r="DL37" s="45" t="str">
        <f t="shared" si="49"/>
        <v>NS</v>
      </c>
      <c r="DM37" s="45" t="e">
        <f t="shared" si="50"/>
        <v>#DIV/0!</v>
      </c>
      <c r="DN37" s="45" t="e">
        <f t="shared" si="51"/>
        <v>#DIV/0!</v>
      </c>
      <c r="DO37" s="45" t="e">
        <f t="shared" si="52"/>
        <v>#DIV/0!</v>
      </c>
      <c r="DP37" s="45" t="e">
        <f t="shared" si="53"/>
        <v>#DIV/0!</v>
      </c>
      <c r="DQ37" s="45" t="e">
        <f t="shared" si="54"/>
        <v>#DIV/0!</v>
      </c>
      <c r="DR37" s="45" t="e">
        <f t="shared" si="55"/>
        <v>#DIV/0!</v>
      </c>
      <c r="DS37" s="45" t="e">
        <f t="shared" si="56"/>
        <v>#DIV/0!</v>
      </c>
      <c r="DT37" s="45" t="e">
        <f t="shared" si="57"/>
        <v>#DIV/0!</v>
      </c>
      <c r="DU37" s="45" t="e">
        <f t="shared" si="58"/>
        <v>#DIV/0!</v>
      </c>
      <c r="DV37" s="45" t="e">
        <f t="shared" si="59"/>
        <v>#DIV/0!</v>
      </c>
      <c r="DW37" s="45" t="e">
        <f t="shared" si="60"/>
        <v>#DIV/0!</v>
      </c>
      <c r="DX37" s="45" t="e">
        <f t="shared" si="61"/>
        <v>#DIV/0!</v>
      </c>
      <c r="DY37" s="41"/>
      <c r="DZ37" s="41"/>
      <c r="EA37" s="41"/>
      <c r="EB37" s="41"/>
      <c r="EC37" s="41"/>
      <c r="ED37" s="41"/>
      <c r="EE37" s="41"/>
      <c r="EF37" s="41"/>
      <c r="EG37" s="41"/>
      <c r="EH37" s="47"/>
      <c r="EI37" s="222"/>
      <c r="EJ37" s="59">
        <f t="shared" si="62"/>
        <v>47299</v>
      </c>
      <c r="EK37" s="229"/>
      <c r="EL37" s="230"/>
      <c r="EM37" s="229"/>
      <c r="EN37" s="222"/>
      <c r="EO37" s="222"/>
      <c r="EP37" s="222"/>
      <c r="EQ37" s="231"/>
      <c r="ER37" s="213"/>
      <c r="ES37" s="220"/>
      <c r="ET37" s="220"/>
      <c r="EU37" s="220"/>
      <c r="EV37" s="220"/>
      <c r="EW37" s="220"/>
      <c r="EX37" s="220"/>
      <c r="EY37" s="220"/>
      <c r="EZ37" s="220"/>
      <c r="FA37" s="220"/>
      <c r="FB37" s="222"/>
      <c r="FC37" s="222"/>
      <c r="FD37" s="222"/>
      <c r="FE37" s="220"/>
      <c r="FF37" s="220"/>
      <c r="FG37" s="222"/>
      <c r="FH37" s="220"/>
      <c r="FI37" s="220"/>
      <c r="FJ37" s="220"/>
      <c r="FK37" s="220"/>
      <c r="FL37" s="215"/>
      <c r="FM37" s="172" t="s">
        <v>430</v>
      </c>
      <c r="FN37" s="172" t="s">
        <v>202</v>
      </c>
      <c r="FO37" s="224" t="s">
        <v>231</v>
      </c>
      <c r="FP37" s="172" t="s">
        <v>431</v>
      </c>
      <c r="FQ37" s="172" t="s">
        <v>399</v>
      </c>
      <c r="FR37" s="213" t="s">
        <v>184</v>
      </c>
      <c r="FS37" s="213" t="s">
        <v>400</v>
      </c>
      <c r="FT37" s="213" t="s">
        <v>432</v>
      </c>
      <c r="FU37" s="269"/>
    </row>
    <row r="38" spans="1:177" s="13" customFormat="1" ht="128">
      <c r="A38" s="63" t="s">
        <v>433</v>
      </c>
      <c r="B38" s="48" t="s">
        <v>205</v>
      </c>
      <c r="C38" s="64" t="s">
        <v>206</v>
      </c>
      <c r="D38" s="225" t="s">
        <v>207</v>
      </c>
      <c r="E38" s="63" t="s">
        <v>364</v>
      </c>
      <c r="F38" s="249">
        <f t="shared" si="70"/>
        <v>9</v>
      </c>
      <c r="G38" s="65" t="s">
        <v>366</v>
      </c>
      <c r="H38" s="65" t="s">
        <v>366</v>
      </c>
      <c r="I38" s="65" t="s">
        <v>34</v>
      </c>
      <c r="J38" s="48">
        <v>2029</v>
      </c>
      <c r="K38" s="48">
        <v>2030</v>
      </c>
      <c r="L38" s="48" t="s">
        <v>172</v>
      </c>
      <c r="M38" s="48" t="s">
        <v>173</v>
      </c>
      <c r="N38" s="63" t="s">
        <v>174</v>
      </c>
      <c r="O38" s="63" t="s">
        <v>434</v>
      </c>
      <c r="P38" s="63" t="s">
        <v>212</v>
      </c>
      <c r="Q38" s="63" t="s">
        <v>199</v>
      </c>
      <c r="R38" s="63" t="s">
        <v>435</v>
      </c>
      <c r="S38" s="63" t="str">
        <f t="shared" si="71"/>
        <v>Not Started</v>
      </c>
      <c r="T38" s="63" t="str">
        <f t="shared" si="1"/>
        <v>Not Started</v>
      </c>
      <c r="U38" s="63" t="str">
        <f t="shared" si="72"/>
        <v>Rizky Arga</v>
      </c>
      <c r="V38" s="67">
        <f t="shared" si="73"/>
        <v>0</v>
      </c>
      <c r="W38" s="66" t="s">
        <v>436</v>
      </c>
      <c r="X38" s="59" t="str">
        <f t="shared" si="74"/>
        <v>2030</v>
      </c>
      <c r="Y38" s="228">
        <v>0</v>
      </c>
      <c r="Z38" s="63"/>
      <c r="AA38" s="62">
        <v>47119</v>
      </c>
      <c r="AB38" s="42">
        <v>47238</v>
      </c>
      <c r="AC38" s="42">
        <v>47239</v>
      </c>
      <c r="AD38" s="42">
        <v>47268</v>
      </c>
      <c r="AE38" s="42">
        <v>47270</v>
      </c>
      <c r="AF38" s="42">
        <v>47299</v>
      </c>
      <c r="AG38" s="42"/>
      <c r="AH38" s="42"/>
      <c r="AI38" s="42">
        <v>47300</v>
      </c>
      <c r="AJ38" s="42">
        <v>47329</v>
      </c>
      <c r="AK38" s="42">
        <v>47331</v>
      </c>
      <c r="AL38" s="42">
        <v>47483</v>
      </c>
      <c r="AM38" s="42"/>
      <c r="AN38" s="42"/>
      <c r="AO38" s="42"/>
      <c r="AP38" s="42"/>
      <c r="AQ38" s="42"/>
      <c r="AR38" s="284" t="s">
        <v>437</v>
      </c>
      <c r="AS38" s="63" t="str">
        <f t="shared" si="5"/>
        <v>Not Started</v>
      </c>
      <c r="AT38" s="63" t="str">
        <f t="shared" si="6"/>
        <v>Not Started</v>
      </c>
      <c r="AU38" s="63" t="str">
        <f t="shared" si="7"/>
        <v>Not Started</v>
      </c>
      <c r="AV38" s="63" t="str">
        <f t="shared" si="8"/>
        <v>Not Started</v>
      </c>
      <c r="AW38" s="63" t="str">
        <f t="shared" si="9"/>
        <v>Not Started</v>
      </c>
      <c r="AX38" s="63" t="str">
        <f t="shared" si="10"/>
        <v>Not Started</v>
      </c>
      <c r="AY38" s="63" t="str">
        <f t="shared" si="11"/>
        <v>Not Started</v>
      </c>
      <c r="AZ38" s="63" t="str">
        <f t="shared" si="12"/>
        <v>Not Started</v>
      </c>
      <c r="BA38" s="63" t="str">
        <f t="shared" si="13"/>
        <v>Not Started</v>
      </c>
      <c r="BB38" s="63" t="str">
        <f t="shared" si="14"/>
        <v>Not Started</v>
      </c>
      <c r="BC38" s="63" t="str">
        <f t="shared" si="15"/>
        <v>Not Started</v>
      </c>
      <c r="BD38" s="63" t="str">
        <f t="shared" si="16"/>
        <v>Not Started</v>
      </c>
      <c r="BE38" s="219">
        <v>0</v>
      </c>
      <c r="BF38" s="219">
        <v>0</v>
      </c>
      <c r="BG38" s="219">
        <v>0</v>
      </c>
      <c r="BH38" s="219">
        <v>0</v>
      </c>
      <c r="BI38" s="219">
        <v>0</v>
      </c>
      <c r="BJ38" s="219">
        <v>0</v>
      </c>
      <c r="BK38" s="219">
        <v>0</v>
      </c>
      <c r="BL38" s="219">
        <v>0</v>
      </c>
      <c r="BM38" s="219">
        <v>0</v>
      </c>
      <c r="BN38" s="219">
        <v>0</v>
      </c>
      <c r="BO38" s="219">
        <v>0</v>
      </c>
      <c r="BP38" s="219">
        <v>0</v>
      </c>
      <c r="BQ38" s="63" t="str">
        <f t="shared" si="17"/>
        <v>Not Started</v>
      </c>
      <c r="BR38" s="63" t="str">
        <f t="shared" si="18"/>
        <v>Not Started</v>
      </c>
      <c r="BS38" s="63" t="str">
        <f t="shared" si="19"/>
        <v>Not Started</v>
      </c>
      <c r="BT38" s="63" t="str">
        <f t="shared" si="20"/>
        <v>Not Started</v>
      </c>
      <c r="BU38" s="63" t="str">
        <f t="shared" si="21"/>
        <v>Not Started</v>
      </c>
      <c r="BV38" s="63" t="str">
        <f t="shared" si="22"/>
        <v>Proses Desain</v>
      </c>
      <c r="BW38" s="63" t="str">
        <f t="shared" si="23"/>
        <v>Not Started</v>
      </c>
      <c r="BX38" s="63" t="str">
        <f t="shared" si="24"/>
        <v>Not Started</v>
      </c>
      <c r="BY38" s="63" t="str">
        <f t="shared" si="25"/>
        <v>Not Started</v>
      </c>
      <c r="BZ38" s="63" t="str">
        <f t="shared" si="26"/>
        <v>Not Started</v>
      </c>
      <c r="CA38" s="63" t="str">
        <f t="shared" si="27"/>
        <v>Not Started</v>
      </c>
      <c r="CB38" s="63" t="str">
        <f t="shared" si="28"/>
        <v>Not Started</v>
      </c>
      <c r="CC38" s="44">
        <v>0</v>
      </c>
      <c r="CD38" s="44">
        <v>0</v>
      </c>
      <c r="CE38" s="44">
        <v>0</v>
      </c>
      <c r="CF38" s="44">
        <v>0</v>
      </c>
      <c r="CG38" s="44">
        <v>0</v>
      </c>
      <c r="CH38" s="242">
        <v>0.34499999999999997</v>
      </c>
      <c r="CI38" s="44">
        <v>0</v>
      </c>
      <c r="CJ38" s="44"/>
      <c r="CK38" s="44"/>
      <c r="CL38" s="44">
        <v>0</v>
      </c>
      <c r="CM38" s="44">
        <f t="shared" si="68"/>
        <v>0</v>
      </c>
      <c r="CN38" s="44">
        <f t="shared" si="68"/>
        <v>0</v>
      </c>
      <c r="CO38" s="45">
        <f t="shared" si="63"/>
        <v>1</v>
      </c>
      <c r="CP38" s="45">
        <f t="shared" si="65"/>
        <v>1</v>
      </c>
      <c r="CQ38" s="45">
        <f t="shared" si="29"/>
        <v>1</v>
      </c>
      <c r="CR38" s="45">
        <f t="shared" si="30"/>
        <v>1</v>
      </c>
      <c r="CS38" s="45">
        <f t="shared" si="31"/>
        <v>1</v>
      </c>
      <c r="CT38" s="45">
        <f t="shared" si="32"/>
        <v>1</v>
      </c>
      <c r="CU38" s="45">
        <f t="shared" si="33"/>
        <v>1</v>
      </c>
      <c r="CV38" s="45">
        <f t="shared" si="34"/>
        <v>1</v>
      </c>
      <c r="CW38" s="45">
        <f t="shared" si="35"/>
        <v>1</v>
      </c>
      <c r="CX38" s="45">
        <f t="shared" si="36"/>
        <v>1</v>
      </c>
      <c r="CY38" s="45">
        <f t="shared" si="37"/>
        <v>1</v>
      </c>
      <c r="CZ38" s="45"/>
      <c r="DA38" s="45" t="str">
        <f t="shared" si="38"/>
        <v>NS</v>
      </c>
      <c r="DB38" s="45" t="str">
        <f t="shared" si="39"/>
        <v>NS</v>
      </c>
      <c r="DC38" s="45" t="str">
        <f t="shared" si="40"/>
        <v>NS</v>
      </c>
      <c r="DD38" s="45" t="str">
        <f t="shared" si="41"/>
        <v>NS</v>
      </c>
      <c r="DE38" s="45" t="str">
        <f t="shared" si="42"/>
        <v>NS</v>
      </c>
      <c r="DF38" s="45" t="str">
        <f t="shared" si="43"/>
        <v>NS</v>
      </c>
      <c r="DG38" s="45" t="str">
        <f t="shared" si="44"/>
        <v>NS</v>
      </c>
      <c r="DH38" s="45" t="str">
        <f t="shared" si="45"/>
        <v>NS</v>
      </c>
      <c r="DI38" s="45" t="str">
        <f t="shared" si="46"/>
        <v>NS</v>
      </c>
      <c r="DJ38" s="45" t="str">
        <f t="shared" si="47"/>
        <v>NS</v>
      </c>
      <c r="DK38" s="45" t="str">
        <f t="shared" si="48"/>
        <v>NS</v>
      </c>
      <c r="DL38" s="45" t="str">
        <f t="shared" si="49"/>
        <v>NS</v>
      </c>
      <c r="DM38" s="45" t="e">
        <f t="shared" si="50"/>
        <v>#DIV/0!</v>
      </c>
      <c r="DN38" s="45" t="e">
        <f t="shared" si="51"/>
        <v>#DIV/0!</v>
      </c>
      <c r="DO38" s="45" t="e">
        <f t="shared" si="52"/>
        <v>#DIV/0!</v>
      </c>
      <c r="DP38" s="45" t="e">
        <f t="shared" si="53"/>
        <v>#DIV/0!</v>
      </c>
      <c r="DQ38" s="45" t="e">
        <f t="shared" si="54"/>
        <v>#DIV/0!</v>
      </c>
      <c r="DR38" s="45" t="e">
        <f t="shared" si="55"/>
        <v>#DIV/0!</v>
      </c>
      <c r="DS38" s="45" t="e">
        <f t="shared" si="56"/>
        <v>#DIV/0!</v>
      </c>
      <c r="DT38" s="45" t="e">
        <f t="shared" si="57"/>
        <v>#DIV/0!</v>
      </c>
      <c r="DU38" s="45" t="e">
        <f t="shared" si="58"/>
        <v>#DIV/0!</v>
      </c>
      <c r="DV38" s="45" t="e">
        <f t="shared" si="59"/>
        <v>#DIV/0!</v>
      </c>
      <c r="DW38" s="45" t="e">
        <f t="shared" si="60"/>
        <v>#DIV/0!</v>
      </c>
      <c r="DX38" s="45" t="e">
        <f t="shared" si="61"/>
        <v>#DIV/0!</v>
      </c>
      <c r="DY38" s="41"/>
      <c r="DZ38" s="41"/>
      <c r="EA38" s="41"/>
      <c r="EB38" s="41"/>
      <c r="EC38" s="41"/>
      <c r="ED38" s="41"/>
      <c r="EE38" s="41"/>
      <c r="EF38" s="41"/>
      <c r="EG38" s="41"/>
      <c r="EH38" s="47"/>
      <c r="EI38" s="222"/>
      <c r="EJ38" s="59" t="str">
        <f t="shared" si="62"/>
        <v>2030</v>
      </c>
      <c r="EK38" s="229"/>
      <c r="EL38" s="230"/>
      <c r="EM38" s="229"/>
      <c r="EN38" s="222"/>
      <c r="EO38" s="222"/>
      <c r="EP38" s="222"/>
      <c r="EQ38" s="231"/>
      <c r="ER38" s="213"/>
      <c r="ES38" s="220"/>
      <c r="ET38" s="220"/>
      <c r="EU38" s="220"/>
      <c r="EV38" s="220"/>
      <c r="EW38" s="220"/>
      <c r="EX38" s="220"/>
      <c r="EY38" s="220"/>
      <c r="EZ38" s="220"/>
      <c r="FA38" s="220"/>
      <c r="FB38" s="222"/>
      <c r="FC38" s="222"/>
      <c r="FD38" s="222"/>
      <c r="FE38" s="220"/>
      <c r="FF38" s="220"/>
      <c r="FG38" s="222"/>
      <c r="FH38" s="220"/>
      <c r="FI38" s="220"/>
      <c r="FJ38" s="220"/>
      <c r="FK38" s="220"/>
      <c r="FL38" s="215"/>
      <c r="FM38" s="172" t="s">
        <v>438</v>
      </c>
      <c r="FN38" s="172" t="s">
        <v>202</v>
      </c>
      <c r="FO38" s="224" t="s">
        <v>231</v>
      </c>
      <c r="FP38" s="172" t="s">
        <v>431</v>
      </c>
      <c r="FQ38" s="172" t="s">
        <v>399</v>
      </c>
      <c r="FR38" s="213" t="s">
        <v>184</v>
      </c>
      <c r="FS38" s="213" t="s">
        <v>400</v>
      </c>
      <c r="FT38" s="213" t="s">
        <v>432</v>
      </c>
      <c r="FU38" s="269"/>
    </row>
    <row r="39" spans="1:177" s="13" customFormat="1" ht="176">
      <c r="A39" s="63"/>
      <c r="B39" s="48" t="s">
        <v>205</v>
      </c>
      <c r="C39" s="64" t="s">
        <v>206</v>
      </c>
      <c r="D39" s="225" t="s">
        <v>207</v>
      </c>
      <c r="E39" s="63" t="s">
        <v>364</v>
      </c>
      <c r="F39" s="249">
        <f t="shared" si="70"/>
        <v>10</v>
      </c>
      <c r="G39" s="65" t="s">
        <v>366</v>
      </c>
      <c r="H39" s="65" t="s">
        <v>366</v>
      </c>
      <c r="I39" s="222" t="s">
        <v>35</v>
      </c>
      <c r="J39" s="63">
        <v>2025</v>
      </c>
      <c r="K39" s="48">
        <v>2026</v>
      </c>
      <c r="L39" s="48" t="s">
        <v>172</v>
      </c>
      <c r="M39" s="48" t="s">
        <v>173</v>
      </c>
      <c r="N39" s="63" t="s">
        <v>174</v>
      </c>
      <c r="O39" s="63" t="s">
        <v>397</v>
      </c>
      <c r="P39" s="63" t="s">
        <v>212</v>
      </c>
      <c r="Q39" s="63" t="s">
        <v>199</v>
      </c>
      <c r="R39" s="63" t="s">
        <v>439</v>
      </c>
      <c r="S39" s="63" t="str">
        <f t="shared" si="71"/>
        <v>Selesai RPP</v>
      </c>
      <c r="T39" s="63" t="str">
        <f t="shared" si="1"/>
        <v>On Progress</v>
      </c>
      <c r="U39" s="63" t="str">
        <f t="shared" si="72"/>
        <v>Rizky Arga</v>
      </c>
      <c r="V39" s="67">
        <f t="shared" si="73"/>
        <v>0.2</v>
      </c>
      <c r="W39" s="66" t="s">
        <v>215</v>
      </c>
      <c r="X39" s="59">
        <f t="shared" si="74"/>
        <v>46264</v>
      </c>
      <c r="Y39" s="68">
        <v>0</v>
      </c>
      <c r="Z39" s="48"/>
      <c r="AA39" s="62">
        <v>45658</v>
      </c>
      <c r="AB39" s="42">
        <v>45688</v>
      </c>
      <c r="AC39" s="42">
        <v>45677</v>
      </c>
      <c r="AD39" s="42">
        <v>45688</v>
      </c>
      <c r="AE39" s="42">
        <v>46023</v>
      </c>
      <c r="AF39" s="42">
        <v>46067</v>
      </c>
      <c r="AG39" s="274"/>
      <c r="AH39" s="274"/>
      <c r="AI39" s="42">
        <v>46068</v>
      </c>
      <c r="AJ39" s="42">
        <v>46073</v>
      </c>
      <c r="AK39" s="42">
        <v>46082</v>
      </c>
      <c r="AL39" s="42">
        <v>46156</v>
      </c>
      <c r="AM39" s="42">
        <v>46157</v>
      </c>
      <c r="AN39" s="42">
        <v>46188</v>
      </c>
      <c r="AO39" s="42">
        <v>46189</v>
      </c>
      <c r="AP39" s="42">
        <v>46233</v>
      </c>
      <c r="AQ39" s="42">
        <v>46235</v>
      </c>
      <c r="AR39" s="42">
        <v>46264</v>
      </c>
      <c r="AS39" s="63" t="str">
        <f t="shared" si="5"/>
        <v>Selesai Pengadaan</v>
      </c>
      <c r="AT39" s="63" t="str">
        <f t="shared" si="6"/>
        <v>Selesai Desain</v>
      </c>
      <c r="AU39" s="63" t="str">
        <f t="shared" si="7"/>
        <v>Proses Pengembangan</v>
      </c>
      <c r="AV39" s="63" t="str">
        <f t="shared" si="8"/>
        <v>Proses Pengembangan</v>
      </c>
      <c r="AW39" s="63" t="str">
        <f t="shared" si="9"/>
        <v>Selesai Pengembangan</v>
      </c>
      <c r="AX39" s="63" t="str">
        <f t="shared" si="10"/>
        <v>Proses SIT</v>
      </c>
      <c r="AY39" s="63" t="str">
        <f t="shared" si="11"/>
        <v>Selesai UAT</v>
      </c>
      <c r="AZ39" s="63" t="str">
        <f t="shared" si="12"/>
        <v>Selesai Implementasi</v>
      </c>
      <c r="BA39" s="63" t="str">
        <f t="shared" si="13"/>
        <v>Selesai Implementasi</v>
      </c>
      <c r="BB39" s="63" t="str">
        <f t="shared" si="14"/>
        <v>Selesai Implementasi</v>
      </c>
      <c r="BC39" s="63" t="str">
        <f t="shared" si="15"/>
        <v>Selesai Implementasi</v>
      </c>
      <c r="BD39" s="63" t="str">
        <f t="shared" si="16"/>
        <v>Selesai Implementasi</v>
      </c>
      <c r="BE39" s="43">
        <v>0.3</v>
      </c>
      <c r="BF39" s="43">
        <v>0.45</v>
      </c>
      <c r="BG39" s="43">
        <v>0.56999999999999995</v>
      </c>
      <c r="BH39" s="43">
        <v>0.69</v>
      </c>
      <c r="BI39" s="43">
        <v>0.8</v>
      </c>
      <c r="BJ39" s="43">
        <v>0.85</v>
      </c>
      <c r="BK39" s="43">
        <v>0.95</v>
      </c>
      <c r="BL39" s="43">
        <v>1</v>
      </c>
      <c r="BM39" s="43">
        <v>1</v>
      </c>
      <c r="BN39" s="43">
        <v>1</v>
      </c>
      <c r="BO39" s="43">
        <v>1</v>
      </c>
      <c r="BP39" s="43">
        <v>1</v>
      </c>
      <c r="BQ39" s="63" t="str">
        <f t="shared" si="17"/>
        <v>Selesai RPP</v>
      </c>
      <c r="BR39" s="63" t="str">
        <f t="shared" si="18"/>
        <v>Not Started</v>
      </c>
      <c r="BS39" s="63" t="str">
        <f t="shared" si="19"/>
        <v>Not Started</v>
      </c>
      <c r="BT39" s="63" t="str">
        <f t="shared" si="20"/>
        <v>Not Started</v>
      </c>
      <c r="BU39" s="63" t="str">
        <f t="shared" si="21"/>
        <v>Not Started</v>
      </c>
      <c r="BV39" s="63" t="str">
        <f t="shared" si="22"/>
        <v>Not Started</v>
      </c>
      <c r="BW39" s="63" t="str">
        <f t="shared" si="23"/>
        <v>Not Started</v>
      </c>
      <c r="BX39" s="63" t="str">
        <f t="shared" si="24"/>
        <v>Not Started</v>
      </c>
      <c r="BY39" s="63" t="str">
        <f t="shared" si="25"/>
        <v>Not Started</v>
      </c>
      <c r="BZ39" s="63" t="str">
        <f t="shared" si="26"/>
        <v>Not Started</v>
      </c>
      <c r="CA39" s="63" t="str">
        <f t="shared" si="27"/>
        <v>Not Started</v>
      </c>
      <c r="CB39" s="63" t="str">
        <f t="shared" si="28"/>
        <v>Not Started</v>
      </c>
      <c r="CC39" s="44">
        <f t="shared" ref="CC39:CC47" si="75">(($DY39/100%)*15%)+(($DZ39/100%)*5%)+(($EA39/100%)*5%)+(($EB39/100%)*5%)+(($EC39/100%)*15%)+(($ED39/100%)*35%)+(($EE39/100%)*7.5%)+(($EF39/100%)*7.5%)+(($EG39/100%)*5%)</f>
        <v>0.2</v>
      </c>
      <c r="CD39" s="44"/>
      <c r="CE39" s="44"/>
      <c r="CF39" s="44"/>
      <c r="CG39" s="44"/>
      <c r="CH39" s="44"/>
      <c r="CI39" s="44"/>
      <c r="CJ39" s="44"/>
      <c r="CK39" s="44"/>
      <c r="CL39" s="44"/>
      <c r="CM39" s="44"/>
      <c r="CN39" s="44"/>
      <c r="CO39" s="45">
        <f t="shared" si="63"/>
        <v>0.66666666666666674</v>
      </c>
      <c r="CP39" s="45">
        <f t="shared" si="65"/>
        <v>0</v>
      </c>
      <c r="CQ39" s="45">
        <f t="shared" si="29"/>
        <v>0</v>
      </c>
      <c r="CR39" s="45">
        <f t="shared" si="30"/>
        <v>0</v>
      </c>
      <c r="CS39" s="45">
        <f t="shared" si="31"/>
        <v>0</v>
      </c>
      <c r="CT39" s="45">
        <f t="shared" si="32"/>
        <v>0</v>
      </c>
      <c r="CU39" s="45">
        <f t="shared" si="33"/>
        <v>0</v>
      </c>
      <c r="CV39" s="45">
        <f t="shared" si="34"/>
        <v>0</v>
      </c>
      <c r="CW39" s="45">
        <f t="shared" si="35"/>
        <v>0</v>
      </c>
      <c r="CX39" s="45">
        <f t="shared" si="36"/>
        <v>0</v>
      </c>
      <c r="CY39" s="45">
        <f t="shared" si="37"/>
        <v>0</v>
      </c>
      <c r="CZ39" s="45"/>
      <c r="DA39" s="45" t="str">
        <f t="shared" si="38"/>
        <v>BS</v>
      </c>
      <c r="DB39" s="45" t="str">
        <f t="shared" si="39"/>
        <v>BS</v>
      </c>
      <c r="DC39" s="45" t="str">
        <f t="shared" si="40"/>
        <v>BS</v>
      </c>
      <c r="DD39" s="45" t="str">
        <f t="shared" si="41"/>
        <v>BS</v>
      </c>
      <c r="DE39" s="45" t="str">
        <f t="shared" si="42"/>
        <v>BS</v>
      </c>
      <c r="DF39" s="45" t="str">
        <f t="shared" si="43"/>
        <v>BS</v>
      </c>
      <c r="DG39" s="45" t="str">
        <f t="shared" si="44"/>
        <v>BS</v>
      </c>
      <c r="DH39" s="45" t="str">
        <f t="shared" si="45"/>
        <v>BS</v>
      </c>
      <c r="DI39" s="45" t="str">
        <f t="shared" si="46"/>
        <v>BS</v>
      </c>
      <c r="DJ39" s="45" t="str">
        <f t="shared" si="47"/>
        <v>BS</v>
      </c>
      <c r="DK39" s="45" t="str">
        <f t="shared" si="48"/>
        <v>BS</v>
      </c>
      <c r="DL39" s="45" t="str">
        <f t="shared" si="49"/>
        <v>BS</v>
      </c>
      <c r="DM39" s="45">
        <f t="shared" si="50"/>
        <v>0.2</v>
      </c>
      <c r="DN39" s="45">
        <f t="shared" si="51"/>
        <v>0</v>
      </c>
      <c r="DO39" s="45">
        <f t="shared" si="52"/>
        <v>0</v>
      </c>
      <c r="DP39" s="45">
        <f t="shared" si="53"/>
        <v>0</v>
      </c>
      <c r="DQ39" s="45">
        <f t="shared" si="54"/>
        <v>0</v>
      </c>
      <c r="DR39" s="45">
        <f t="shared" si="55"/>
        <v>0</v>
      </c>
      <c r="DS39" s="45">
        <f t="shared" si="56"/>
        <v>0</v>
      </c>
      <c r="DT39" s="45">
        <f t="shared" si="57"/>
        <v>0</v>
      </c>
      <c r="DU39" s="45">
        <f t="shared" si="58"/>
        <v>0</v>
      </c>
      <c r="DV39" s="45">
        <f t="shared" si="59"/>
        <v>0</v>
      </c>
      <c r="DW39" s="45">
        <f t="shared" si="60"/>
        <v>0</v>
      </c>
      <c r="DX39" s="45">
        <f t="shared" si="61"/>
        <v>0</v>
      </c>
      <c r="DY39" s="46">
        <v>1</v>
      </c>
      <c r="DZ39" s="46">
        <v>1</v>
      </c>
      <c r="EA39" s="41">
        <v>0</v>
      </c>
      <c r="EB39" s="41">
        <v>0</v>
      </c>
      <c r="EC39" s="41"/>
      <c r="ED39" s="41"/>
      <c r="EE39" s="41"/>
      <c r="EF39" s="41"/>
      <c r="EG39" s="41"/>
      <c r="EH39" s="49" t="s">
        <v>440</v>
      </c>
      <c r="EI39" s="222"/>
      <c r="EJ39" s="59">
        <f t="shared" si="62"/>
        <v>46264</v>
      </c>
      <c r="EK39" s="229">
        <v>45688</v>
      </c>
      <c r="EL39" s="230"/>
      <c r="EM39" s="229"/>
      <c r="EN39" s="222"/>
      <c r="EO39" s="222"/>
      <c r="EP39" s="222"/>
      <c r="EQ39" s="231"/>
      <c r="ER39" s="213"/>
      <c r="ES39" s="220"/>
      <c r="ET39" s="220"/>
      <c r="EU39" s="220"/>
      <c r="EV39" s="220"/>
      <c r="EW39" s="220"/>
      <c r="EX39" s="220"/>
      <c r="EY39" s="220"/>
      <c r="EZ39" s="220"/>
      <c r="FA39" s="220"/>
      <c r="FB39" s="222"/>
      <c r="FC39" s="222"/>
      <c r="FD39" s="222"/>
      <c r="FE39" s="220"/>
      <c r="FF39" s="220"/>
      <c r="FG39" s="222"/>
      <c r="FH39" s="220"/>
      <c r="FI39" s="220"/>
      <c r="FJ39" s="220"/>
      <c r="FK39" s="220"/>
      <c r="FL39" s="215"/>
      <c r="FM39" s="172" t="s">
        <v>441</v>
      </c>
      <c r="FN39" s="224" t="s">
        <v>202</v>
      </c>
      <c r="FO39" s="224" t="s">
        <v>231</v>
      </c>
      <c r="FP39" s="172" t="s">
        <v>442</v>
      </c>
      <c r="FQ39" s="172" t="s">
        <v>443</v>
      </c>
      <c r="FR39" s="239" t="s">
        <v>184</v>
      </c>
      <c r="FS39" s="273" t="s">
        <v>444</v>
      </c>
      <c r="FT39" s="267" t="s">
        <v>445</v>
      </c>
      <c r="FU39" s="48">
        <v>10</v>
      </c>
    </row>
    <row r="40" spans="1:177" s="13" customFormat="1" ht="144">
      <c r="A40" s="63"/>
      <c r="B40" s="48" t="s">
        <v>205</v>
      </c>
      <c r="C40" s="64" t="s">
        <v>206</v>
      </c>
      <c r="D40" s="225" t="s">
        <v>207</v>
      </c>
      <c r="E40" s="63" t="s">
        <v>364</v>
      </c>
      <c r="F40" s="249">
        <f t="shared" si="70"/>
        <v>11</v>
      </c>
      <c r="G40" s="65" t="s">
        <v>366</v>
      </c>
      <c r="H40" s="65" t="s">
        <v>366</v>
      </c>
      <c r="I40" s="36" t="s">
        <v>36</v>
      </c>
      <c r="J40" s="48">
        <v>2025</v>
      </c>
      <c r="K40" s="48">
        <v>2025</v>
      </c>
      <c r="L40" s="48" t="s">
        <v>172</v>
      </c>
      <c r="M40" s="48" t="s">
        <v>173</v>
      </c>
      <c r="N40" s="63" t="s">
        <v>174</v>
      </c>
      <c r="O40" s="63" t="s">
        <v>446</v>
      </c>
      <c r="P40" s="63" t="s">
        <v>212</v>
      </c>
      <c r="Q40" s="63" t="s">
        <v>389</v>
      </c>
      <c r="R40" s="63" t="s">
        <v>447</v>
      </c>
      <c r="S40" s="63" t="str">
        <f t="shared" si="71"/>
        <v>Selesai Implementasi</v>
      </c>
      <c r="T40" s="63" t="str">
        <f t="shared" si="1"/>
        <v>DONE</v>
      </c>
      <c r="U40" s="63" t="str">
        <f t="shared" si="72"/>
        <v>RIzky Arga</v>
      </c>
      <c r="V40" s="67">
        <f t="shared" si="73"/>
        <v>0.99999999999999989</v>
      </c>
      <c r="W40" s="66" t="s">
        <v>448</v>
      </c>
      <c r="X40" s="59">
        <f t="shared" si="74"/>
        <v>45991</v>
      </c>
      <c r="Y40" s="68"/>
      <c r="Z40" s="48" t="s">
        <v>179</v>
      </c>
      <c r="AA40" s="62">
        <v>45839</v>
      </c>
      <c r="AB40" s="62">
        <v>45899</v>
      </c>
      <c r="AC40" s="62">
        <v>45901</v>
      </c>
      <c r="AD40" s="62">
        <v>45914</v>
      </c>
      <c r="AE40" s="62">
        <v>45915</v>
      </c>
      <c r="AF40" s="62">
        <v>45920</v>
      </c>
      <c r="AG40" s="274"/>
      <c r="AH40" s="274"/>
      <c r="AI40" s="42"/>
      <c r="AJ40" s="42"/>
      <c r="AK40" s="62">
        <v>45920</v>
      </c>
      <c r="AL40" s="62">
        <v>45930</v>
      </c>
      <c r="AM40" s="62"/>
      <c r="AN40" s="62">
        <v>45945</v>
      </c>
      <c r="AO40" s="62">
        <v>45946</v>
      </c>
      <c r="AP40" s="62">
        <v>45976</v>
      </c>
      <c r="AQ40" s="62">
        <v>45977</v>
      </c>
      <c r="AR40" s="62">
        <v>45991</v>
      </c>
      <c r="AS40" s="63" t="str">
        <f t="shared" si="5"/>
        <v>Selesai Implementasi</v>
      </c>
      <c r="AT40" s="63" t="str">
        <f t="shared" si="6"/>
        <v>Selesai Implementasi</v>
      </c>
      <c r="AU40" s="63" t="str">
        <f t="shared" si="7"/>
        <v>Selesai Implementasi</v>
      </c>
      <c r="AV40" s="63" t="str">
        <f t="shared" si="8"/>
        <v>Selesai Implementasi</v>
      </c>
      <c r="AW40" s="63" t="str">
        <f t="shared" si="9"/>
        <v>Selesai Implementasi</v>
      </c>
      <c r="AX40" s="63" t="str">
        <f t="shared" si="10"/>
        <v>Selesai Implementasi</v>
      </c>
      <c r="AY40" s="63" t="str">
        <f t="shared" si="11"/>
        <v>Selesai Implementasi</v>
      </c>
      <c r="AZ40" s="63" t="str">
        <f t="shared" si="12"/>
        <v>Selesai Implementasi</v>
      </c>
      <c r="BA40" s="63" t="str">
        <f t="shared" si="13"/>
        <v>Selesai Implementasi</v>
      </c>
      <c r="BB40" s="63" t="str">
        <f t="shared" si="14"/>
        <v>Selesai Implementasi</v>
      </c>
      <c r="BC40" s="63" t="str">
        <f t="shared" si="15"/>
        <v>Selesai Implementasi</v>
      </c>
      <c r="BD40" s="63" t="str">
        <f t="shared" si="16"/>
        <v>Selesai Implementasi</v>
      </c>
      <c r="BE40" s="43">
        <v>1</v>
      </c>
      <c r="BF40" s="43">
        <v>1</v>
      </c>
      <c r="BG40" s="43">
        <v>1</v>
      </c>
      <c r="BH40" s="43">
        <v>1</v>
      </c>
      <c r="BI40" s="43">
        <v>1</v>
      </c>
      <c r="BJ40" s="43">
        <v>1</v>
      </c>
      <c r="BK40" s="43">
        <v>1</v>
      </c>
      <c r="BL40" s="43">
        <v>1</v>
      </c>
      <c r="BM40" s="43">
        <v>1</v>
      </c>
      <c r="BN40" s="43">
        <v>1</v>
      </c>
      <c r="BO40" s="43">
        <v>1</v>
      </c>
      <c r="BP40" s="43">
        <v>1</v>
      </c>
      <c r="BQ40" s="63" t="str">
        <f t="shared" si="17"/>
        <v>Selesai Implementasi</v>
      </c>
      <c r="BR40" s="63" t="str">
        <f t="shared" si="18"/>
        <v>Not Started</v>
      </c>
      <c r="BS40" s="63" t="str">
        <f t="shared" si="19"/>
        <v>Not Started</v>
      </c>
      <c r="BT40" s="63" t="str">
        <f t="shared" si="20"/>
        <v>Not Started</v>
      </c>
      <c r="BU40" s="63" t="str">
        <f t="shared" si="21"/>
        <v>Not Started</v>
      </c>
      <c r="BV40" s="63" t="str">
        <f t="shared" si="22"/>
        <v>Not Started</v>
      </c>
      <c r="BW40" s="63" t="str">
        <f t="shared" si="23"/>
        <v>Not Started</v>
      </c>
      <c r="BX40" s="63" t="str">
        <f t="shared" si="24"/>
        <v>Not Started</v>
      </c>
      <c r="BY40" s="63" t="str">
        <f t="shared" si="25"/>
        <v>Not Started</v>
      </c>
      <c r="BZ40" s="63" t="str">
        <f t="shared" si="26"/>
        <v>Not Started</v>
      </c>
      <c r="CA40" s="63" t="str">
        <f t="shared" si="27"/>
        <v>Not Started</v>
      </c>
      <c r="CB40" s="63" t="str">
        <f t="shared" si="28"/>
        <v>Not Started</v>
      </c>
      <c r="CC40" s="44">
        <f t="shared" si="75"/>
        <v>0.99999999999999989</v>
      </c>
      <c r="CD40" s="44"/>
      <c r="CE40" s="44"/>
      <c r="CF40" s="44"/>
      <c r="CG40" s="44"/>
      <c r="CH40" s="44"/>
      <c r="CI40" s="44"/>
      <c r="CJ40" s="44"/>
      <c r="CK40" s="44"/>
      <c r="CL40" s="44"/>
      <c r="CM40" s="44"/>
      <c r="CN40" s="44"/>
      <c r="CO40" s="45">
        <f t="shared" si="63"/>
        <v>0.99999999999999989</v>
      </c>
      <c r="CP40" s="45">
        <f t="shared" si="65"/>
        <v>0</v>
      </c>
      <c r="CQ40" s="45">
        <f t="shared" si="29"/>
        <v>0</v>
      </c>
      <c r="CR40" s="45">
        <f t="shared" si="30"/>
        <v>0</v>
      </c>
      <c r="CS40" s="45">
        <f t="shared" si="31"/>
        <v>0</v>
      </c>
      <c r="CT40" s="45">
        <f t="shared" si="32"/>
        <v>0</v>
      </c>
      <c r="CU40" s="45">
        <f t="shared" si="33"/>
        <v>0</v>
      </c>
      <c r="CV40" s="45">
        <f t="shared" si="34"/>
        <v>0</v>
      </c>
      <c r="CW40" s="45">
        <f t="shared" si="35"/>
        <v>0</v>
      </c>
      <c r="CX40" s="45">
        <f t="shared" si="36"/>
        <v>0</v>
      </c>
      <c r="CY40" s="45">
        <f t="shared" si="37"/>
        <v>0</v>
      </c>
      <c r="CZ40" s="45"/>
      <c r="DA40" s="45" t="str">
        <f t="shared" si="38"/>
        <v>DONE</v>
      </c>
      <c r="DB40" s="45" t="str">
        <f t="shared" si="39"/>
        <v>BS</v>
      </c>
      <c r="DC40" s="45" t="str">
        <f t="shared" si="40"/>
        <v>BS</v>
      </c>
      <c r="DD40" s="45" t="str">
        <f t="shared" si="41"/>
        <v>BS</v>
      </c>
      <c r="DE40" s="45" t="str">
        <f t="shared" si="42"/>
        <v>BS</v>
      </c>
      <c r="DF40" s="45" t="str">
        <f t="shared" si="43"/>
        <v>BS</v>
      </c>
      <c r="DG40" s="45" t="str">
        <f t="shared" si="44"/>
        <v>BS</v>
      </c>
      <c r="DH40" s="45" t="str">
        <f t="shared" si="45"/>
        <v>BS</v>
      </c>
      <c r="DI40" s="45" t="str">
        <f t="shared" si="46"/>
        <v>BS</v>
      </c>
      <c r="DJ40" s="45" t="str">
        <f t="shared" si="47"/>
        <v>BS</v>
      </c>
      <c r="DK40" s="45" t="str">
        <f t="shared" si="48"/>
        <v>BS</v>
      </c>
      <c r="DL40" s="45" t="str">
        <f t="shared" si="49"/>
        <v>BS</v>
      </c>
      <c r="DM40" s="45">
        <f t="shared" si="50"/>
        <v>0.99999999999999989</v>
      </c>
      <c r="DN40" s="45">
        <f t="shared" si="51"/>
        <v>0</v>
      </c>
      <c r="DO40" s="45">
        <f t="shared" si="52"/>
        <v>0</v>
      </c>
      <c r="DP40" s="45">
        <f t="shared" si="53"/>
        <v>0</v>
      </c>
      <c r="DQ40" s="45">
        <f t="shared" si="54"/>
        <v>0</v>
      </c>
      <c r="DR40" s="45">
        <f t="shared" si="55"/>
        <v>0</v>
      </c>
      <c r="DS40" s="45">
        <f t="shared" si="56"/>
        <v>0</v>
      </c>
      <c r="DT40" s="45">
        <f t="shared" si="57"/>
        <v>0</v>
      </c>
      <c r="DU40" s="45">
        <f t="shared" si="58"/>
        <v>0</v>
      </c>
      <c r="DV40" s="45">
        <f t="shared" si="59"/>
        <v>0</v>
      </c>
      <c r="DW40" s="45">
        <f t="shared" si="60"/>
        <v>0</v>
      </c>
      <c r="DX40" s="45">
        <f t="shared" si="61"/>
        <v>0</v>
      </c>
      <c r="DY40" s="46">
        <v>1</v>
      </c>
      <c r="DZ40" s="46">
        <v>1</v>
      </c>
      <c r="EA40" s="46">
        <v>1</v>
      </c>
      <c r="EB40" s="46">
        <v>1</v>
      </c>
      <c r="EC40" s="46">
        <v>1</v>
      </c>
      <c r="ED40" s="41">
        <v>1</v>
      </c>
      <c r="EE40" s="41">
        <v>1</v>
      </c>
      <c r="EF40" s="41">
        <v>1</v>
      </c>
      <c r="EG40" s="41">
        <v>1</v>
      </c>
      <c r="EH40" s="494" t="s">
        <v>1508</v>
      </c>
      <c r="EI40" s="62">
        <v>45971</v>
      </c>
      <c r="EJ40" s="59">
        <f t="shared" si="62"/>
        <v>45991</v>
      </c>
      <c r="EK40" s="229"/>
      <c r="EL40" s="230"/>
      <c r="EM40" s="229"/>
      <c r="EN40" s="222"/>
      <c r="EO40" s="222"/>
      <c r="EP40" s="222"/>
      <c r="EQ40" s="231"/>
      <c r="ER40" s="213"/>
      <c r="ES40" s="220"/>
      <c r="ET40" s="220"/>
      <c r="EU40" s="220"/>
      <c r="EV40" s="220"/>
      <c r="EW40" s="220"/>
      <c r="EX40" s="220"/>
      <c r="EY40" s="220"/>
      <c r="EZ40" s="220"/>
      <c r="FA40" s="220"/>
      <c r="FB40" s="222"/>
      <c r="FC40" s="222"/>
      <c r="FD40" s="222"/>
      <c r="FE40" s="220"/>
      <c r="FF40" s="220"/>
      <c r="FG40" s="222"/>
      <c r="FH40" s="220"/>
      <c r="FI40" s="220"/>
      <c r="FJ40" s="220"/>
      <c r="FK40" s="220"/>
      <c r="FL40" s="215"/>
      <c r="FM40" s="172" t="s">
        <v>408</v>
      </c>
      <c r="FN40" s="237" t="s">
        <v>1507</v>
      </c>
      <c r="FO40" s="224" t="s">
        <v>231</v>
      </c>
      <c r="FP40" s="172" t="s">
        <v>449</v>
      </c>
      <c r="FQ40" s="172" t="s">
        <v>450</v>
      </c>
      <c r="FR40" s="239"/>
      <c r="FS40" s="273"/>
      <c r="FT40" s="267"/>
      <c r="FU40" s="48"/>
    </row>
    <row r="41" spans="1:177" s="13" customFormat="1" ht="144">
      <c r="A41" s="63"/>
      <c r="B41" s="48" t="s">
        <v>205</v>
      </c>
      <c r="C41" s="64" t="s">
        <v>206</v>
      </c>
      <c r="D41" s="225" t="s">
        <v>207</v>
      </c>
      <c r="E41" s="63" t="s">
        <v>364</v>
      </c>
      <c r="F41" s="249">
        <f t="shared" si="70"/>
        <v>12</v>
      </c>
      <c r="G41" s="65" t="s">
        <v>366</v>
      </c>
      <c r="H41" s="65" t="s">
        <v>366</v>
      </c>
      <c r="I41" s="36" t="s">
        <v>37</v>
      </c>
      <c r="J41" s="48">
        <v>2026</v>
      </c>
      <c r="K41" s="48">
        <v>2027</v>
      </c>
      <c r="L41" s="48" t="s">
        <v>172</v>
      </c>
      <c r="M41" s="48" t="s">
        <v>173</v>
      </c>
      <c r="N41" s="63" t="s">
        <v>174</v>
      </c>
      <c r="O41" s="63" t="s">
        <v>451</v>
      </c>
      <c r="P41" s="63" t="s">
        <v>15</v>
      </c>
      <c r="Q41" s="63" t="s">
        <v>389</v>
      </c>
      <c r="R41" s="63" t="s">
        <v>452</v>
      </c>
      <c r="S41" s="63" t="str">
        <f t="shared" si="71"/>
        <v>Not Started</v>
      </c>
      <c r="T41" s="63" t="str">
        <f t="shared" si="1"/>
        <v>Not Started</v>
      </c>
      <c r="U41" s="63" t="str">
        <f t="shared" si="72"/>
        <v>Helen Desyani</v>
      </c>
      <c r="V41" s="67">
        <f t="shared" si="73"/>
        <v>0</v>
      </c>
      <c r="W41" s="66" t="s">
        <v>263</v>
      </c>
      <c r="X41" s="59">
        <f t="shared" si="74"/>
        <v>46752</v>
      </c>
      <c r="Y41" s="68"/>
      <c r="Z41" s="48" t="s">
        <v>179</v>
      </c>
      <c r="AA41" s="62">
        <v>46204</v>
      </c>
      <c r="AB41" s="62">
        <v>46388</v>
      </c>
      <c r="AC41" s="62">
        <v>46419</v>
      </c>
      <c r="AD41" s="62">
        <v>46446</v>
      </c>
      <c r="AE41" s="42"/>
      <c r="AF41" s="42"/>
      <c r="AG41" s="274"/>
      <c r="AH41" s="274"/>
      <c r="AI41" s="42"/>
      <c r="AJ41" s="42"/>
      <c r="AK41" s="62">
        <v>46447</v>
      </c>
      <c r="AL41" s="62">
        <v>46721</v>
      </c>
      <c r="AM41" s="42"/>
      <c r="AN41" s="42"/>
      <c r="AO41" s="42"/>
      <c r="AP41" s="42"/>
      <c r="AQ41" s="62">
        <v>46722</v>
      </c>
      <c r="AR41" s="62">
        <v>46752</v>
      </c>
      <c r="AS41" s="63" t="str">
        <f t="shared" si="5"/>
        <v>Not Started</v>
      </c>
      <c r="AT41" s="63" t="str">
        <f t="shared" si="6"/>
        <v>Not Started</v>
      </c>
      <c r="AU41" s="63" t="str">
        <f t="shared" si="7"/>
        <v>Not Started</v>
      </c>
      <c r="AV41" s="63" t="str">
        <f t="shared" si="8"/>
        <v>Not Started</v>
      </c>
      <c r="AW41" s="63" t="str">
        <f t="shared" si="9"/>
        <v>Not Started</v>
      </c>
      <c r="AX41" s="63" t="str">
        <f t="shared" si="10"/>
        <v>Not Started</v>
      </c>
      <c r="AY41" s="63" t="str">
        <f t="shared" si="11"/>
        <v>Proses RBT-RBB</v>
      </c>
      <c r="AZ41" s="63" t="str">
        <f t="shared" si="12"/>
        <v>Proses RBT-RBB</v>
      </c>
      <c r="BA41" s="63" t="str">
        <f t="shared" si="13"/>
        <v>Proses RBT-RBL</v>
      </c>
      <c r="BB41" s="63" t="str">
        <f t="shared" si="14"/>
        <v>Proses RBT-RBL</v>
      </c>
      <c r="BC41" s="63" t="str">
        <f t="shared" si="15"/>
        <v>Selesai RBT-RBL</v>
      </c>
      <c r="BD41" s="63" t="str">
        <f t="shared" si="16"/>
        <v>Proses RBT-RBTD</v>
      </c>
      <c r="BE41" s="43">
        <v>0</v>
      </c>
      <c r="BF41" s="43">
        <v>0</v>
      </c>
      <c r="BG41" s="43">
        <v>0</v>
      </c>
      <c r="BH41" s="43">
        <v>0</v>
      </c>
      <c r="BI41" s="43">
        <v>0</v>
      </c>
      <c r="BJ41" s="43">
        <v>0</v>
      </c>
      <c r="BK41" s="43">
        <v>0.02</v>
      </c>
      <c r="BL41" s="43">
        <v>0.04</v>
      </c>
      <c r="BM41" s="43">
        <v>0.06</v>
      </c>
      <c r="BN41" s="43">
        <v>0.08</v>
      </c>
      <c r="BO41" s="43">
        <v>0.1</v>
      </c>
      <c r="BP41" s="43">
        <v>0.12</v>
      </c>
      <c r="BQ41" s="63" t="str">
        <f t="shared" si="17"/>
        <v>Not Started</v>
      </c>
      <c r="BR41" s="63" t="str">
        <f t="shared" si="18"/>
        <v>Not Started</v>
      </c>
      <c r="BS41" s="63" t="str">
        <f t="shared" si="19"/>
        <v>Not Started</v>
      </c>
      <c r="BT41" s="63" t="str">
        <f t="shared" si="20"/>
        <v>Not Started</v>
      </c>
      <c r="BU41" s="63" t="str">
        <f t="shared" si="21"/>
        <v>Not Started</v>
      </c>
      <c r="BV41" s="63" t="str">
        <f t="shared" si="22"/>
        <v>Not Started</v>
      </c>
      <c r="BW41" s="63" t="str">
        <f t="shared" si="23"/>
        <v>Not Started</v>
      </c>
      <c r="BX41" s="63" t="str">
        <f t="shared" si="24"/>
        <v>Not Started</v>
      </c>
      <c r="BY41" s="63" t="str">
        <f t="shared" si="25"/>
        <v>Not Started</v>
      </c>
      <c r="BZ41" s="63" t="str">
        <f t="shared" si="26"/>
        <v>Not Started</v>
      </c>
      <c r="CA41" s="63" t="str">
        <f t="shared" si="27"/>
        <v>Not Started</v>
      </c>
      <c r="CB41" s="63" t="str">
        <f t="shared" si="28"/>
        <v>Not Started</v>
      </c>
      <c r="CC41" s="44">
        <f t="shared" si="75"/>
        <v>0</v>
      </c>
      <c r="CD41" s="44"/>
      <c r="CE41" s="44"/>
      <c r="CF41" s="44"/>
      <c r="CG41" s="44"/>
      <c r="CH41" s="44"/>
      <c r="CI41" s="44"/>
      <c r="CJ41" s="44"/>
      <c r="CK41" s="44"/>
      <c r="CL41" s="44"/>
      <c r="CM41" s="44"/>
      <c r="CN41" s="44"/>
      <c r="CO41" s="45">
        <f t="shared" si="63"/>
        <v>1</v>
      </c>
      <c r="CP41" s="45">
        <f t="shared" si="65"/>
        <v>1</v>
      </c>
      <c r="CQ41" s="45">
        <f t="shared" si="29"/>
        <v>1</v>
      </c>
      <c r="CR41" s="45">
        <f t="shared" si="30"/>
        <v>1</v>
      </c>
      <c r="CS41" s="45">
        <f t="shared" si="31"/>
        <v>1</v>
      </c>
      <c r="CT41" s="45">
        <f t="shared" si="32"/>
        <v>1</v>
      </c>
      <c r="CU41" s="45">
        <f t="shared" si="33"/>
        <v>0</v>
      </c>
      <c r="CV41" s="45">
        <f t="shared" si="34"/>
        <v>0</v>
      </c>
      <c r="CW41" s="45">
        <f t="shared" si="35"/>
        <v>0</v>
      </c>
      <c r="CX41" s="45">
        <f t="shared" si="36"/>
        <v>0</v>
      </c>
      <c r="CY41" s="45">
        <f t="shared" si="37"/>
        <v>0</v>
      </c>
      <c r="CZ41" s="45"/>
      <c r="DA41" s="45" t="str">
        <f t="shared" si="38"/>
        <v>NS</v>
      </c>
      <c r="DB41" s="45" t="str">
        <f t="shared" si="39"/>
        <v>NS</v>
      </c>
      <c r="DC41" s="45" t="str">
        <f t="shared" si="40"/>
        <v>NS</v>
      </c>
      <c r="DD41" s="45" t="str">
        <f t="shared" si="41"/>
        <v>NS</v>
      </c>
      <c r="DE41" s="45" t="str">
        <f t="shared" si="42"/>
        <v>NS</v>
      </c>
      <c r="DF41" s="45" t="str">
        <f t="shared" si="43"/>
        <v>NS</v>
      </c>
      <c r="DG41" s="45" t="str">
        <f t="shared" si="44"/>
        <v>BS</v>
      </c>
      <c r="DH41" s="45" t="str">
        <f t="shared" si="45"/>
        <v>BS</v>
      </c>
      <c r="DI41" s="45" t="str">
        <f t="shared" si="46"/>
        <v>BS</v>
      </c>
      <c r="DJ41" s="45" t="str">
        <f t="shared" si="47"/>
        <v>BS</v>
      </c>
      <c r="DK41" s="45" t="str">
        <f t="shared" si="48"/>
        <v>BS</v>
      </c>
      <c r="DL41" s="45" t="str">
        <f t="shared" si="49"/>
        <v>BS</v>
      </c>
      <c r="DM41" s="45">
        <f t="shared" si="50"/>
        <v>0</v>
      </c>
      <c r="DN41" s="45">
        <f t="shared" si="51"/>
        <v>0</v>
      </c>
      <c r="DO41" s="45">
        <f t="shared" si="52"/>
        <v>0</v>
      </c>
      <c r="DP41" s="45">
        <f t="shared" si="53"/>
        <v>0</v>
      </c>
      <c r="DQ41" s="45">
        <f t="shared" si="54"/>
        <v>0</v>
      </c>
      <c r="DR41" s="45">
        <f t="shared" si="55"/>
        <v>0</v>
      </c>
      <c r="DS41" s="45">
        <f t="shared" si="56"/>
        <v>0</v>
      </c>
      <c r="DT41" s="45">
        <f t="shared" si="57"/>
        <v>0</v>
      </c>
      <c r="DU41" s="45">
        <f t="shared" si="58"/>
        <v>0</v>
      </c>
      <c r="DV41" s="45">
        <f t="shared" si="59"/>
        <v>0</v>
      </c>
      <c r="DW41" s="45">
        <f t="shared" si="60"/>
        <v>0</v>
      </c>
      <c r="DX41" s="45">
        <f t="shared" si="61"/>
        <v>0</v>
      </c>
      <c r="DY41" s="46"/>
      <c r="DZ41" s="46"/>
      <c r="EA41" s="41"/>
      <c r="EB41" s="41"/>
      <c r="EC41" s="41"/>
      <c r="ED41" s="41"/>
      <c r="EE41" s="41"/>
      <c r="EF41" s="41"/>
      <c r="EG41" s="41"/>
      <c r="EH41" s="49"/>
      <c r="EI41" s="222"/>
      <c r="EJ41" s="59">
        <f t="shared" si="62"/>
        <v>46752</v>
      </c>
      <c r="EK41" s="229"/>
      <c r="EL41" s="230"/>
      <c r="EM41" s="229"/>
      <c r="EN41" s="222"/>
      <c r="EO41" s="222"/>
      <c r="EP41" s="222"/>
      <c r="EQ41" s="231"/>
      <c r="ER41" s="213"/>
      <c r="ES41" s="220"/>
      <c r="ET41" s="220"/>
      <c r="EU41" s="220"/>
      <c r="EV41" s="220"/>
      <c r="EW41" s="220"/>
      <c r="EX41" s="220"/>
      <c r="EY41" s="220"/>
      <c r="EZ41" s="220"/>
      <c r="FA41" s="220"/>
      <c r="FB41" s="222"/>
      <c r="FC41" s="222"/>
      <c r="FD41" s="222"/>
      <c r="FE41" s="220"/>
      <c r="FF41" s="220"/>
      <c r="FG41" s="222"/>
      <c r="FH41" s="220"/>
      <c r="FI41" s="220"/>
      <c r="FJ41" s="220"/>
      <c r="FK41" s="220"/>
      <c r="FL41" s="215"/>
      <c r="FM41" s="172" t="s">
        <v>408</v>
      </c>
      <c r="FN41" s="237" t="s">
        <v>230</v>
      </c>
      <c r="FO41" s="224" t="s">
        <v>231</v>
      </c>
      <c r="FP41" s="172" t="s">
        <v>449</v>
      </c>
      <c r="FQ41" s="172" t="s">
        <v>450</v>
      </c>
      <c r="FR41" s="239"/>
      <c r="FS41" s="273"/>
      <c r="FT41" s="267"/>
      <c r="FU41" s="48"/>
    </row>
    <row r="42" spans="1:177" s="13" customFormat="1" ht="128">
      <c r="A42" s="63"/>
      <c r="B42" s="48"/>
      <c r="C42" s="64"/>
      <c r="D42" s="225"/>
      <c r="E42" s="63" t="s">
        <v>364</v>
      </c>
      <c r="F42" s="249">
        <f t="shared" si="70"/>
        <v>13</v>
      </c>
      <c r="G42" s="65" t="s">
        <v>366</v>
      </c>
      <c r="H42" s="65" t="s">
        <v>366</v>
      </c>
      <c r="I42" s="222" t="s">
        <v>38</v>
      </c>
      <c r="J42" s="48">
        <v>2028</v>
      </c>
      <c r="K42" s="48">
        <v>2028</v>
      </c>
      <c r="L42" s="48" t="s">
        <v>172</v>
      </c>
      <c r="M42" s="48" t="s">
        <v>173</v>
      </c>
      <c r="N42" s="63" t="s">
        <v>174</v>
      </c>
      <c r="O42" s="63" t="s">
        <v>227</v>
      </c>
      <c r="P42" s="63" t="s">
        <v>15</v>
      </c>
      <c r="Q42" s="63" t="s">
        <v>199</v>
      </c>
      <c r="R42" s="63" t="s">
        <v>398</v>
      </c>
      <c r="S42" s="63">
        <f t="shared" si="71"/>
        <v>0</v>
      </c>
      <c r="T42" s="63" t="str">
        <f t="shared" si="1"/>
        <v>Not Started</v>
      </c>
      <c r="U42" s="63" t="str">
        <f>FN42</f>
        <v>Rizky Arga</v>
      </c>
      <c r="V42" s="67">
        <f t="shared" si="73"/>
        <v>0</v>
      </c>
      <c r="W42" s="66" t="s">
        <v>429</v>
      </c>
      <c r="X42" s="59" t="str">
        <f t="shared" si="74"/>
        <v>2028</v>
      </c>
      <c r="Y42" s="68"/>
      <c r="Z42" s="48" t="s">
        <v>179</v>
      </c>
      <c r="AA42" s="62"/>
      <c r="AB42" s="62"/>
      <c r="AC42" s="62"/>
      <c r="AD42" s="62"/>
      <c r="AE42" s="42"/>
      <c r="AF42" s="42"/>
      <c r="AG42" s="274"/>
      <c r="AH42" s="274"/>
      <c r="AI42" s="42"/>
      <c r="AJ42" s="42"/>
      <c r="AK42" s="62"/>
      <c r="AL42" s="62"/>
      <c r="AM42" s="42"/>
      <c r="AN42" s="42"/>
      <c r="AO42" s="42"/>
      <c r="AP42" s="42"/>
      <c r="AQ42" s="62"/>
      <c r="AR42" s="492" t="s">
        <v>453</v>
      </c>
      <c r="AS42" s="63"/>
      <c r="AT42" s="63"/>
      <c r="AU42" s="63"/>
      <c r="AV42" s="63"/>
      <c r="AW42" s="63"/>
      <c r="AX42" s="63"/>
      <c r="AY42" s="63"/>
      <c r="AZ42" s="63"/>
      <c r="BA42" s="63"/>
      <c r="BB42" s="63"/>
      <c r="BC42" s="63" t="str">
        <f t="shared" ref="BC42:BC75" si="76">IF(BO42=0%,"Not Started",IF(BO42&lt;5%,"Proses RBT-RBB",IF(BO42=5%,"Selesai RBT-RBB",IF(BO42&lt;10%,"Proses RBT-RBL",IF(BO42=10%,"Selesai RBT-RBL",IF(BO42&lt;15%,"Proses RBT-RBTD",IF(BO42=15%,"Selesai RBT-RBTD",IF(BO42&lt;20%,"Proses RPP",IF(BO42=20%,"Selesai RPP",IF(BO42&lt;25%,"Proses KAK",IF(BO42=25%,"Selesai KAK",IF(BO42&lt;30%,"Proses Pengadaan",IF(BO42=30%,"Selesai Pengadaan",IF(BO42&lt;45%,"Proses Desain",IF(BO42=45%,"Selesai Desain",IF(BO42&lt;80%,"Proses Pengembangan",IF(BO42=80%,"Selesai Pengembangan",IF(BO42&lt;87.5%,"Proses SIT",IF(BO42=87.5%,"Selesai SIT",IF(BO42&lt;95%,"Proses UAT",IF(BO42=95%,"Selesai UAT",IF(BO42&lt;100%,"Proses Implementasi","Selesai Implementasi"))))))))))))))))))))))</f>
        <v>Not Started</v>
      </c>
      <c r="BD42" s="63"/>
      <c r="BE42" s="43">
        <v>0</v>
      </c>
      <c r="BF42" s="43">
        <v>0</v>
      </c>
      <c r="BG42" s="43">
        <v>0</v>
      </c>
      <c r="BH42" s="43">
        <v>0</v>
      </c>
      <c r="BI42" s="43">
        <v>0</v>
      </c>
      <c r="BJ42" s="43">
        <v>0</v>
      </c>
      <c r="BK42" s="43">
        <v>0</v>
      </c>
      <c r="BL42" s="43">
        <v>0</v>
      </c>
      <c r="BM42" s="43">
        <v>0</v>
      </c>
      <c r="BN42" s="43">
        <v>0</v>
      </c>
      <c r="BO42" s="43">
        <v>0</v>
      </c>
      <c r="BP42" s="43">
        <v>0</v>
      </c>
      <c r="BQ42" s="63"/>
      <c r="BR42" s="63"/>
      <c r="BS42" s="63"/>
      <c r="BT42" s="63"/>
      <c r="BU42" s="63"/>
      <c r="BV42" s="63"/>
      <c r="BW42" s="63"/>
      <c r="BX42" s="63"/>
      <c r="BY42" s="63"/>
      <c r="BZ42" s="63"/>
      <c r="CA42" s="63"/>
      <c r="CB42" s="63"/>
      <c r="CC42" s="44">
        <f t="shared" si="75"/>
        <v>0</v>
      </c>
      <c r="CD42" s="44"/>
      <c r="CE42" s="44"/>
      <c r="CF42" s="44"/>
      <c r="CG42" s="44"/>
      <c r="CH42" s="44"/>
      <c r="CI42" s="44"/>
      <c r="CJ42" s="44"/>
      <c r="CK42" s="44"/>
      <c r="CL42" s="44"/>
      <c r="CM42" s="44"/>
      <c r="CN42" s="44"/>
      <c r="CO42" s="45"/>
      <c r="CP42" s="45"/>
      <c r="CQ42" s="45"/>
      <c r="CR42" s="45"/>
      <c r="CS42" s="45"/>
      <c r="CT42" s="45"/>
      <c r="CU42" s="45"/>
      <c r="CV42" s="45"/>
      <c r="CW42" s="45"/>
      <c r="CX42" s="45"/>
      <c r="CY42" s="45">
        <f t="shared" ref="CY42:CY75" si="77">IF(BO42=0%, 100%, (CM42/BO42))</f>
        <v>1</v>
      </c>
      <c r="CZ42" s="45"/>
      <c r="DA42" s="45"/>
      <c r="DB42" s="45"/>
      <c r="DC42" s="45"/>
      <c r="DD42" s="45"/>
      <c r="DE42" s="45"/>
      <c r="DF42" s="45"/>
      <c r="DG42" s="45"/>
      <c r="DH42" s="45"/>
      <c r="DI42" s="45"/>
      <c r="DJ42" s="45"/>
      <c r="DK42" s="45" t="str">
        <f t="shared" ref="DK42:DK75" si="78">IF(BO42=0%,"NS",IF(CM42=100%,"DONE",IF(CY42&gt;100%,"AS",IF(CY42&lt;75%,"BS",IF(CY42&lt;89.9%,"AR","OS")))))</f>
        <v>NS</v>
      </c>
      <c r="DL42" s="45"/>
      <c r="DM42" s="45"/>
      <c r="DN42" s="45"/>
      <c r="DO42" s="45"/>
      <c r="DP42" s="45"/>
      <c r="DQ42" s="45"/>
      <c r="DR42" s="45"/>
      <c r="DS42" s="45"/>
      <c r="DT42" s="45"/>
      <c r="DU42" s="45"/>
      <c r="DV42" s="45"/>
      <c r="DW42" s="45"/>
      <c r="DX42" s="45"/>
      <c r="DY42" s="46"/>
      <c r="DZ42" s="46"/>
      <c r="EA42" s="41"/>
      <c r="EB42" s="41"/>
      <c r="EC42" s="41"/>
      <c r="ED42" s="41"/>
      <c r="EE42" s="41"/>
      <c r="EF42" s="41"/>
      <c r="EG42" s="41"/>
      <c r="EH42" s="49"/>
      <c r="EI42" s="222"/>
      <c r="EJ42" s="59"/>
      <c r="EK42" s="229"/>
      <c r="EL42" s="230"/>
      <c r="EM42" s="229"/>
      <c r="EN42" s="222"/>
      <c r="EO42" s="222"/>
      <c r="EP42" s="222"/>
      <c r="EQ42" s="231"/>
      <c r="ER42" s="213"/>
      <c r="ES42" s="220"/>
      <c r="ET42" s="220"/>
      <c r="EU42" s="220"/>
      <c r="EV42" s="220"/>
      <c r="EW42" s="220"/>
      <c r="EX42" s="220"/>
      <c r="EY42" s="220"/>
      <c r="EZ42" s="220"/>
      <c r="FA42" s="220"/>
      <c r="FB42" s="222"/>
      <c r="FC42" s="222"/>
      <c r="FD42" s="222"/>
      <c r="FE42" s="220"/>
      <c r="FF42" s="220"/>
      <c r="FG42" s="222"/>
      <c r="FH42" s="220"/>
      <c r="FI42" s="220"/>
      <c r="FJ42" s="220"/>
      <c r="FK42" s="220"/>
      <c r="FL42" s="215"/>
      <c r="FM42" s="172"/>
      <c r="FN42" s="172" t="s">
        <v>202</v>
      </c>
      <c r="FO42" s="236" t="s">
        <v>231</v>
      </c>
      <c r="FP42" s="172"/>
      <c r="FQ42" s="172"/>
      <c r="FR42" s="239"/>
      <c r="FS42" s="273"/>
      <c r="FT42" s="267"/>
      <c r="FU42" s="48"/>
    </row>
    <row r="43" spans="1:177" s="13" customFormat="1" ht="128">
      <c r="A43" s="63"/>
      <c r="B43" s="48"/>
      <c r="C43" s="64"/>
      <c r="D43" s="225"/>
      <c r="E43" s="63" t="s">
        <v>364</v>
      </c>
      <c r="F43" s="249">
        <f t="shared" si="70"/>
        <v>14</v>
      </c>
      <c r="G43" s="65" t="s">
        <v>366</v>
      </c>
      <c r="H43" s="65" t="s">
        <v>366</v>
      </c>
      <c r="I43" s="409" t="s">
        <v>1595</v>
      </c>
      <c r="J43" s="48">
        <v>2026</v>
      </c>
      <c r="K43" s="48">
        <v>2026</v>
      </c>
      <c r="L43" s="48" t="s">
        <v>172</v>
      </c>
      <c r="M43" s="48" t="s">
        <v>173</v>
      </c>
      <c r="N43" s="63" t="s">
        <v>174</v>
      </c>
      <c r="O43" s="63" t="s">
        <v>1603</v>
      </c>
      <c r="P43" s="63"/>
      <c r="Q43" s="63" t="s">
        <v>199</v>
      </c>
      <c r="R43" s="63"/>
      <c r="S43" s="63"/>
      <c r="T43" s="63" t="str">
        <f t="shared" si="1"/>
        <v>Not Started</v>
      </c>
      <c r="U43" s="63">
        <f t="shared" si="72"/>
        <v>0</v>
      </c>
      <c r="V43" s="67"/>
      <c r="W43" s="66" t="s">
        <v>178</v>
      </c>
      <c r="X43" s="59"/>
      <c r="Y43" s="68"/>
      <c r="Z43" s="48"/>
      <c r="AA43" s="62">
        <v>46113</v>
      </c>
      <c r="AB43" s="62">
        <v>46173</v>
      </c>
      <c r="AC43" s="62">
        <v>46157</v>
      </c>
      <c r="AD43" s="62">
        <v>46188</v>
      </c>
      <c r="AE43" s="42">
        <v>46174</v>
      </c>
      <c r="AF43" s="42">
        <v>46188</v>
      </c>
      <c r="AG43" s="274"/>
      <c r="AH43" s="274"/>
      <c r="AI43" s="42">
        <v>46189</v>
      </c>
      <c r="AJ43" s="42">
        <v>46203</v>
      </c>
      <c r="AK43" s="62">
        <v>46204</v>
      </c>
      <c r="AL43" s="62">
        <v>46244</v>
      </c>
      <c r="AM43" s="42">
        <v>46251</v>
      </c>
      <c r="AN43" s="42">
        <v>46269</v>
      </c>
      <c r="AO43" s="42">
        <v>46272</v>
      </c>
      <c r="AP43" s="42">
        <v>46270</v>
      </c>
      <c r="AQ43" s="62">
        <v>46314</v>
      </c>
      <c r="AR43" s="492">
        <v>46326</v>
      </c>
      <c r="AS43" s="63"/>
      <c r="AT43" s="63"/>
      <c r="AU43" s="63"/>
      <c r="AV43" s="63"/>
      <c r="AW43" s="63"/>
      <c r="AX43" s="63"/>
      <c r="AY43" s="63"/>
      <c r="AZ43" s="63"/>
      <c r="BA43" s="63"/>
      <c r="BB43" s="63"/>
      <c r="BC43" s="63"/>
      <c r="BD43" s="63"/>
      <c r="BE43" s="43"/>
      <c r="BF43" s="43"/>
      <c r="BG43" s="43"/>
      <c r="BH43" s="43"/>
      <c r="BI43" s="43"/>
      <c r="BJ43" s="43"/>
      <c r="BK43" s="43"/>
      <c r="BL43" s="43"/>
      <c r="BM43" s="43"/>
      <c r="BN43" s="43"/>
      <c r="BO43" s="43"/>
      <c r="BP43" s="43"/>
      <c r="BQ43" s="63"/>
      <c r="BR43" s="63"/>
      <c r="BS43" s="63"/>
      <c r="BT43" s="63"/>
      <c r="BU43" s="63"/>
      <c r="BV43" s="63"/>
      <c r="BW43" s="63"/>
      <c r="BX43" s="63"/>
      <c r="BY43" s="63"/>
      <c r="BZ43" s="63"/>
      <c r="CA43" s="63"/>
      <c r="CB43" s="63"/>
      <c r="CC43" s="44"/>
      <c r="CD43" s="44"/>
      <c r="CE43" s="44"/>
      <c r="CF43" s="44"/>
      <c r="CG43" s="44"/>
      <c r="CH43" s="44"/>
      <c r="CI43" s="44"/>
      <c r="CJ43" s="44"/>
      <c r="CK43" s="44"/>
      <c r="CL43" s="44"/>
      <c r="CM43" s="44"/>
      <c r="CN43" s="44"/>
      <c r="CO43" s="45"/>
      <c r="CP43" s="45"/>
      <c r="CQ43" s="45"/>
      <c r="CR43" s="45"/>
      <c r="CS43" s="45"/>
      <c r="CT43" s="45"/>
      <c r="CU43" s="45"/>
      <c r="CV43" s="45"/>
      <c r="CW43" s="45"/>
      <c r="CX43" s="45"/>
      <c r="CY43" s="45"/>
      <c r="CZ43" s="45"/>
      <c r="DA43" s="45"/>
      <c r="DB43" s="45"/>
      <c r="DC43" s="45"/>
      <c r="DD43" s="45"/>
      <c r="DE43" s="45"/>
      <c r="DF43" s="45"/>
      <c r="DG43" s="45"/>
      <c r="DH43" s="45"/>
      <c r="DI43" s="45"/>
      <c r="DJ43" s="45"/>
      <c r="DK43" s="45"/>
      <c r="DL43" s="45"/>
      <c r="DM43" s="45"/>
      <c r="DN43" s="45"/>
      <c r="DO43" s="45"/>
      <c r="DP43" s="45"/>
      <c r="DQ43" s="45"/>
      <c r="DR43" s="45"/>
      <c r="DS43" s="45"/>
      <c r="DT43" s="45"/>
      <c r="DU43" s="45"/>
      <c r="DV43" s="45"/>
      <c r="DW43" s="45"/>
      <c r="DX43" s="45"/>
      <c r="DY43" s="46"/>
      <c r="DZ43" s="46"/>
      <c r="EA43" s="41"/>
      <c r="EB43" s="41"/>
      <c r="EC43" s="41"/>
      <c r="ED43" s="41"/>
      <c r="EE43" s="41"/>
      <c r="EF43" s="41"/>
      <c r="EG43" s="41"/>
      <c r="EH43" s="49"/>
      <c r="EI43" s="222"/>
      <c r="EJ43" s="59"/>
      <c r="EK43" s="229"/>
      <c r="EL43" s="230"/>
      <c r="EM43" s="229"/>
      <c r="EN43" s="222"/>
      <c r="EO43" s="222"/>
      <c r="EP43" s="222"/>
      <c r="EQ43" s="231"/>
      <c r="ER43" s="213"/>
      <c r="ES43" s="220"/>
      <c r="ET43" s="220"/>
      <c r="EU43" s="220"/>
      <c r="EV43" s="220"/>
      <c r="EW43" s="220"/>
      <c r="EX43" s="220"/>
      <c r="EY43" s="220"/>
      <c r="EZ43" s="220"/>
      <c r="FA43" s="220"/>
      <c r="FB43" s="222"/>
      <c r="FC43" s="222"/>
      <c r="FD43" s="222"/>
      <c r="FE43" s="220"/>
      <c r="FF43" s="220"/>
      <c r="FG43" s="222"/>
      <c r="FH43" s="220"/>
      <c r="FI43" s="220"/>
      <c r="FJ43" s="220"/>
      <c r="FK43" s="220"/>
      <c r="FL43" s="215"/>
      <c r="FM43" s="172"/>
      <c r="FN43" s="172"/>
      <c r="FO43" s="236"/>
      <c r="FP43" s="172"/>
      <c r="FQ43" s="172"/>
      <c r="FR43" s="239"/>
      <c r="FS43" s="273"/>
      <c r="FT43" s="267"/>
      <c r="FU43" s="48"/>
    </row>
    <row r="44" spans="1:177" s="13" customFormat="1" ht="409.5">
      <c r="A44" s="63" t="s">
        <v>454</v>
      </c>
      <c r="B44" s="48" t="s">
        <v>205</v>
      </c>
      <c r="C44" s="64" t="s">
        <v>206</v>
      </c>
      <c r="D44" s="225" t="s">
        <v>207</v>
      </c>
      <c r="E44" s="63" t="s">
        <v>455</v>
      </c>
      <c r="F44" s="227">
        <v>1</v>
      </c>
      <c r="G44" s="65" t="s">
        <v>209</v>
      </c>
      <c r="H44" s="65" t="s">
        <v>456</v>
      </c>
      <c r="I44" s="65" t="s">
        <v>457</v>
      </c>
      <c r="J44" s="48">
        <v>2024</v>
      </c>
      <c r="K44" s="48">
        <v>2025</v>
      </c>
      <c r="L44" s="48" t="s">
        <v>172</v>
      </c>
      <c r="M44" s="48" t="s">
        <v>173</v>
      </c>
      <c r="N44" s="63" t="s">
        <v>174</v>
      </c>
      <c r="O44" s="63" t="s">
        <v>198</v>
      </c>
      <c r="P44" s="63" t="s">
        <v>458</v>
      </c>
      <c r="Q44" s="63" t="s">
        <v>199</v>
      </c>
      <c r="R44" s="63" t="s">
        <v>459</v>
      </c>
      <c r="S44" s="63" t="str">
        <f t="shared" si="71"/>
        <v>Selesai Implementasi</v>
      </c>
      <c r="T44" s="63" t="str">
        <f t="shared" si="1"/>
        <v>DONE</v>
      </c>
      <c r="U44" s="63" t="str">
        <f t="shared" si="72"/>
        <v>Rizky Arga</v>
      </c>
      <c r="V44" s="67">
        <f t="shared" si="73"/>
        <v>0.99999999999999989</v>
      </c>
      <c r="W44" s="66" t="s">
        <v>380</v>
      </c>
      <c r="X44" s="59">
        <f t="shared" si="74"/>
        <v>45838</v>
      </c>
      <c r="Y44" s="228">
        <v>0</v>
      </c>
      <c r="Z44" s="63"/>
      <c r="AA44" s="276"/>
      <c r="AB44" s="277"/>
      <c r="AC44" s="43"/>
      <c r="AD44" s="43"/>
      <c r="AE44" s="43"/>
      <c r="AF44" s="43"/>
      <c r="AG44" s="43"/>
      <c r="AH44" s="43"/>
      <c r="AI44" s="43"/>
      <c r="AJ44" s="43"/>
      <c r="AK44" s="43"/>
      <c r="AL44" s="43"/>
      <c r="AM44" s="43"/>
      <c r="AN44" s="43"/>
      <c r="AO44" s="42">
        <v>45658</v>
      </c>
      <c r="AP44" s="42">
        <v>45808</v>
      </c>
      <c r="AQ44" s="42">
        <v>45809</v>
      </c>
      <c r="AR44" s="42">
        <v>45838</v>
      </c>
      <c r="AS44" s="63" t="str">
        <f t="shared" ref="AS44:AS65" si="79">IF(BE44=0%,"Not Started",IF(BE44&lt;5%,"Proses RBT-RBB",IF(BE44=5%,"Selesai RBT-RBB",IF(BE44&lt;10%,"Proses RBT-RBL",IF(BE44=10%,"Selesai RBT-RBL",IF(BE44&lt;15%,"Proses RBT-RBTD",IF(BE44=15%,"Selesai RBT-RBTD",IF(BE44&lt;20%,"Proses RPP",IF(BE44=20%,"Selesai RPP",IF(BE44&lt;25%,"Proses KAK",IF(BE44=25%,"Selesai KAK",IF(BE44&lt;30%,"Proses Pengadaan",IF(BE44=30%,"Selesai Pengadaan",IF(BE44&lt;45%,"Proses Desain",IF(BE44=45%,"Selesai Desain",IF(BE44&lt;80%,"Proses Pengembangan",IF(BE44=80%,"Selesai Pengembangan",IF(BE44&lt;87.5%,"Proses SIT",IF(BE44=87.5%,"Selesai SIT",IF(BE44&lt;95%,"Proses UAT",IF(BE44=95%,"Selesai UAT",IF(BE44&lt;100%,"Proses Implementasi","Selesai Implementasi"))))))))))))))))))))))</f>
        <v>Selesai Implementasi</v>
      </c>
      <c r="AT44" s="63" t="str">
        <f t="shared" ref="AT44:AT65" si="80">IF(BF44=0%,"Not Started",IF(BF44&lt;5%,"Proses RBT-RBB",IF(BF44=5%,"Selesai RBT-RBB",IF(BF44&lt;10%,"Proses RBT-RBL",IF(BF44=10%,"Selesai RBT-RBL",IF(BF44&lt;15%,"Proses RBT-RBTD",IF(BF44=15%,"Selesai RBT-RBTD",IF(BF44&lt;20%,"Proses RPP",IF(BF44=20%,"Selesai RPP",IF(BF44&lt;25%,"Proses KAK",IF(BF44=25%,"Selesai KAK",IF(BF44&lt;30%,"Proses Pengadaan",IF(BF44=30%,"Selesai Pengadaan",IF(BF44&lt;45%,"Proses Desain",IF(BF44=45%,"Selesai Desain",IF(BF44&lt;80%,"Proses Pengembangan",IF(BF44=80%,"Selesai Pengembangan",IF(BF44&lt;87.5%,"Proses SIT",IF(BF44=87.5%,"Selesai SIT",IF(BF44&lt;95%,"Proses UAT",IF(BF44=95%,"Selesai UAT",IF(BF44&lt;100%,"Proses Implementasi","Selesai Implementasi"))))))))))))))))))))))</f>
        <v>Selesai Implementasi</v>
      </c>
      <c r="AU44" s="63" t="str">
        <f t="shared" ref="AU44:AU65" si="81">IF(BG44=0%,"Not Started",IF(BG44&lt;5%,"Proses RBT-RBB",IF(BG44=5%,"Selesai RBT-RBB",IF(BG44&lt;10%,"Proses RBT-RBL",IF(BG44=10%,"Selesai RBT-RBL",IF(BG44&lt;15%,"Proses RBT-RBTD",IF(BG44=15%,"Selesai RBT-RBTD",IF(BG44&lt;20%,"Proses RPP",IF(BG44=20%,"Selesai RPP",IF(BG44&lt;25%,"Proses KAK",IF(BG44=25%,"Selesai KAK",IF(BG44&lt;30%,"Proses Pengadaan",IF(BG44=30%,"Selesai Pengadaan",IF(BG44&lt;45%,"Proses Desain",IF(BG44=45%,"Selesai Desain",IF(BG44&lt;80%,"Proses Pengembangan",IF(BG44=80%,"Selesai Pengembangan",IF(BG44&lt;87.5%,"Proses SIT",IF(BG44=87.5%,"Selesai SIT",IF(BG44&lt;95%,"Proses UAT",IF(BG44=95%,"Selesai UAT",IF(BG44&lt;100%,"Proses Implementasi","Selesai Implementasi"))))))))))))))))))))))</f>
        <v>Selesai Implementasi</v>
      </c>
      <c r="AV44" s="63" t="str">
        <f t="shared" ref="AV44:AV65" si="82">IF(BH44=0%,"Not Started",IF(BH44&lt;5%,"Proses RBT-RBB",IF(BH44=5%,"Selesai RBT-RBB",IF(BH44&lt;10%,"Proses RBT-RBL",IF(BH44=10%,"Selesai RBT-RBL",IF(BH44&lt;15%,"Proses RBT-RBTD",IF(BH44=15%,"Selesai RBT-RBTD",IF(BH44&lt;20%,"Proses RPP",IF(BH44=20%,"Selesai RPP",IF(BH44&lt;25%,"Proses KAK",IF(BH44=25%,"Selesai KAK",IF(BH44&lt;30%,"Proses Pengadaan",IF(BH44=30%,"Selesai Pengadaan",IF(BH44&lt;45%,"Proses Desain",IF(BH44=45%,"Selesai Desain",IF(BH44&lt;80%,"Proses Pengembangan",IF(BH44=80%,"Selesai Pengembangan",IF(BH44&lt;87.5%,"Proses SIT",IF(BH44=87.5%,"Selesai SIT",IF(BH44&lt;95%,"Proses UAT",IF(BH44=95%,"Selesai UAT",IF(BH44&lt;100%,"Proses Implementasi","Selesai Implementasi"))))))))))))))))))))))</f>
        <v>Selesai Implementasi</v>
      </c>
      <c r="AW44" s="63" t="str">
        <f t="shared" ref="AW44:AW65" si="83">IF(BI44=0%,"Not Started",IF(BI44&lt;5%,"Proses RBT-RBB",IF(BI44=5%,"Selesai RBT-RBB",IF(BI44&lt;10%,"Proses RBT-RBL",IF(BI44=10%,"Selesai RBT-RBL",IF(BI44&lt;15%,"Proses RBT-RBTD",IF(BI44=15%,"Selesai RBT-RBTD",IF(BI44&lt;20%,"Proses RPP",IF(BI44=20%,"Selesai RPP",IF(BI44&lt;25%,"Proses KAK",IF(BI44=25%,"Selesai KAK",IF(BI44&lt;30%,"Proses Pengadaan",IF(BI44=30%,"Selesai Pengadaan",IF(BI44&lt;45%,"Proses Desain",IF(BI44=45%,"Selesai Desain",IF(BI44&lt;80%,"Proses Pengembangan",IF(BI44=80%,"Selesai Pengembangan",IF(BI44&lt;87.5%,"Proses SIT",IF(BI44=87.5%,"Selesai SIT",IF(BI44&lt;95%,"Proses UAT",IF(BI44=95%,"Selesai UAT",IF(BI44&lt;100%,"Proses Implementasi","Selesai Implementasi"))))))))))))))))))))))</f>
        <v>Selesai Implementasi</v>
      </c>
      <c r="AX44" s="63" t="str">
        <f t="shared" ref="AX44:AX65" si="84">IF(BJ44=0%,"Not Started",IF(BJ44&lt;5%,"Proses RBT-RBB",IF(BJ44=5%,"Selesai RBT-RBB",IF(BJ44&lt;10%,"Proses RBT-RBL",IF(BJ44=10%,"Selesai RBT-RBL",IF(BJ44&lt;15%,"Proses RBT-RBTD",IF(BJ44=15%,"Selesai RBT-RBTD",IF(BJ44&lt;20%,"Proses RPP",IF(BJ44=20%,"Selesai RPP",IF(BJ44&lt;25%,"Proses KAK",IF(BJ44=25%,"Selesai KAK",IF(BJ44&lt;30%,"Proses Pengadaan",IF(BJ44=30%,"Selesai Pengadaan",IF(BJ44&lt;45%,"Proses Desain",IF(BJ44=45%,"Selesai Desain",IF(BJ44&lt;80%,"Proses Pengembangan",IF(BJ44=80%,"Selesai Pengembangan",IF(BJ44&lt;87.5%,"Proses SIT",IF(BJ44=87.5%,"Selesai SIT",IF(BJ44&lt;95%,"Proses UAT",IF(BJ44=95%,"Selesai UAT",IF(BJ44&lt;100%,"Proses Implementasi","Selesai Implementasi"))))))))))))))))))))))</f>
        <v>Selesai Implementasi</v>
      </c>
      <c r="AY44" s="63" t="str">
        <f t="shared" ref="AY44:AY65" si="85">IF(BK44=0%,"Not Started",IF(BK44&lt;5%,"Proses RBT-RBB",IF(BK44=5%,"Selesai RBT-RBB",IF(BK44&lt;10%,"Proses RBT-RBL",IF(BK44=10%,"Selesai RBT-RBL",IF(BK44&lt;15%,"Proses RBT-RBTD",IF(BK44=15%,"Selesai RBT-RBTD",IF(BK44&lt;20%,"Proses RPP",IF(BK44=20%,"Selesai RPP",IF(BK44&lt;25%,"Proses KAK",IF(BK44=25%,"Selesai KAK",IF(BK44&lt;30%,"Proses Pengadaan",IF(BK44=30%,"Selesai Pengadaan",IF(BK44&lt;45%,"Proses Desain",IF(BK44=45%,"Selesai Desain",IF(BK44&lt;80%,"Proses Pengembangan",IF(BK44=80%,"Selesai Pengembangan",IF(BK44&lt;87.5%,"Proses SIT",IF(BK44=87.5%,"Selesai SIT",IF(BK44&lt;95%,"Proses UAT",IF(BK44=95%,"Selesai UAT",IF(BK44&lt;100%,"Proses Implementasi","Selesai Implementasi"))))))))))))))))))))))</f>
        <v>Selesai Implementasi</v>
      </c>
      <c r="AZ44" s="63" t="str">
        <f t="shared" ref="AZ44:AZ65" si="86">IF(BL44=0%,"Not Started",IF(BL44&lt;5%,"Proses RBT-RBB",IF(BL44=5%,"Selesai RBT-RBB",IF(BL44&lt;10%,"Proses RBT-RBL",IF(BL44=10%,"Selesai RBT-RBL",IF(BL44&lt;15%,"Proses RBT-RBTD",IF(BL44=15%,"Selesai RBT-RBTD",IF(BL44&lt;20%,"Proses RPP",IF(BL44=20%,"Selesai RPP",IF(BL44&lt;25%,"Proses KAK",IF(BL44=25%,"Selesai KAK",IF(BL44&lt;30%,"Proses Pengadaan",IF(BL44=30%,"Selesai Pengadaan",IF(BL44&lt;45%,"Proses Desain",IF(BL44=45%,"Selesai Desain",IF(BL44&lt;80%,"Proses Pengembangan",IF(BL44=80%,"Selesai Pengembangan",IF(BL44&lt;87.5%,"Proses SIT",IF(BL44=87.5%,"Selesai SIT",IF(BL44&lt;95%,"Proses UAT",IF(BL44=95%,"Selesai UAT",IF(BL44&lt;100%,"Proses Implementasi","Selesai Implementasi"))))))))))))))))))))))</f>
        <v>Selesai Implementasi</v>
      </c>
      <c r="BA44" s="63" t="str">
        <f t="shared" ref="BA44:BA65" si="87">IF(BM44=0%,"Not Started",IF(BM44&lt;5%,"Proses RBT-RBB",IF(BM44=5%,"Selesai RBT-RBB",IF(BM44&lt;10%,"Proses RBT-RBL",IF(BM44=10%,"Selesai RBT-RBL",IF(BM44&lt;15%,"Proses RBT-RBTD",IF(BM44=15%,"Selesai RBT-RBTD",IF(BM44&lt;20%,"Proses RPP",IF(BM44=20%,"Selesai RPP",IF(BM44&lt;25%,"Proses KAK",IF(BM44=25%,"Selesai KAK",IF(BM44&lt;30%,"Proses Pengadaan",IF(BM44=30%,"Selesai Pengadaan",IF(BM44&lt;45%,"Proses Desain",IF(BM44=45%,"Selesai Desain",IF(BM44&lt;80%,"Proses Pengembangan",IF(BM44=80%,"Selesai Pengembangan",IF(BM44&lt;87.5%,"Proses SIT",IF(BM44=87.5%,"Selesai SIT",IF(BM44&lt;95%,"Proses UAT",IF(BM44=95%,"Selesai UAT",IF(BM44&lt;100%,"Proses Implementasi","Selesai Implementasi"))))))))))))))))))))))</f>
        <v>Selesai Implementasi</v>
      </c>
      <c r="BB44" s="63" t="str">
        <f t="shared" ref="BB44:BB65" si="88">IF(BN44=0%,"Not Started",IF(BN44&lt;5%,"Proses RBT-RBB",IF(BN44=5%,"Selesai RBT-RBB",IF(BN44&lt;10%,"Proses RBT-RBL",IF(BN44=10%,"Selesai RBT-RBL",IF(BN44&lt;15%,"Proses RBT-RBTD",IF(BN44=15%,"Selesai RBT-RBTD",IF(BN44&lt;20%,"Proses RPP",IF(BN44=20%,"Selesai RPP",IF(BN44&lt;25%,"Proses KAK",IF(BN44=25%,"Selesai KAK",IF(BN44&lt;30%,"Proses Pengadaan",IF(BN44=30%,"Selesai Pengadaan",IF(BN44&lt;45%,"Proses Desain",IF(BN44=45%,"Selesai Desain",IF(BN44&lt;80%,"Proses Pengembangan",IF(BN44=80%,"Selesai Pengembangan",IF(BN44&lt;87.5%,"Proses SIT",IF(BN44=87.5%,"Selesai SIT",IF(BN44&lt;95%,"Proses UAT",IF(BN44=95%,"Selesai UAT",IF(BN44&lt;100%,"Proses Implementasi","Selesai Implementasi"))))))))))))))))))))))</f>
        <v>Selesai Implementasi</v>
      </c>
      <c r="BC44" s="63" t="str">
        <f t="shared" si="76"/>
        <v>Selesai Implementasi</v>
      </c>
      <c r="BD44" s="63" t="str">
        <f t="shared" ref="BD44:BD65" si="89">IF(BP44=0%,"Not Started",IF(BP44&lt;5%,"Proses RBT-RBB",IF(BP44=5%,"Selesai RBT-RBB",IF(BP44&lt;10%,"Proses RBT-RBL",IF(BP44=10%,"Selesai RBT-RBL",IF(BP44&lt;15%,"Proses RBT-RBTD",IF(BP44=15%,"Selesai RBT-RBTD",IF(BP44&lt;20%,"Proses RPP",IF(BP44=20%,"Selesai RPP",IF(BP44&lt;25%,"Proses KAK",IF(BP44=25%,"Selesai KAK",IF(BP44&lt;30%,"Proses Pengadaan",IF(BP44=30%,"Selesai Pengadaan",IF(BP44&lt;45%,"Proses Desain",IF(BP44=45%,"Selesai Desain",IF(BP44&lt;80%,"Proses Pengembangan",IF(BP44=80%,"Selesai Pengembangan",IF(BP44&lt;87.5%,"Proses SIT",IF(BP44=87.5%,"Selesai SIT",IF(BP44&lt;95%,"Proses UAT",IF(BP44=95%,"Selesai UAT",IF(BP44&lt;100%,"Proses Implementasi","Selesai Implementasi"))))))))))))))))))))))</f>
        <v>Selesai Implementasi</v>
      </c>
      <c r="BE44" s="43">
        <v>1</v>
      </c>
      <c r="BF44" s="43">
        <v>1</v>
      </c>
      <c r="BG44" s="43">
        <v>1</v>
      </c>
      <c r="BH44" s="43">
        <v>1</v>
      </c>
      <c r="BI44" s="43">
        <v>1</v>
      </c>
      <c r="BJ44" s="43">
        <v>1</v>
      </c>
      <c r="BK44" s="43">
        <v>1</v>
      </c>
      <c r="BL44" s="43">
        <v>1</v>
      </c>
      <c r="BM44" s="43">
        <v>1</v>
      </c>
      <c r="BN44" s="43">
        <v>1</v>
      </c>
      <c r="BO44" s="43">
        <v>1</v>
      </c>
      <c r="BP44" s="43">
        <v>1</v>
      </c>
      <c r="BQ44" s="63" t="str">
        <f t="shared" ref="BQ44:BQ65" si="90">IF(CC44=0%,"Not Started",IF(CC44&lt;5%,"Proses RBT-RBB",IF(CC44=5%,"Selesai RBT-RBB",IF(CC44&lt;10%,"Proses RBT-RBL",IF(CC44=10%,"Selesai RBT-RBL",IF(CC44&lt;15%,"Proses RBT-RBTD",IF(CC44=15%,"Selesai RBT-RBTD",IF(CC44&lt;20%,"Proses RPP",IF(CC44=20%,"Selesai RPP",IF(CC44&lt;25%,"Proses KAK",IF(CC44=25%,"Selesai KAK",IF(CC44&lt;30%,"Proses Pengadaan",IF(CC44=30%,"Selesai Pengadaan",IF(CC44&lt;45%,"Proses Desain",IF(CC44=45%,"Selesai Desain",IF(CC44&lt;80%,"Proses Pengembangan",IF(CC44=80%,"Selesai Pengembangan",IF(CC44&lt;87.5%,"Proses SIT",IF(CC44=87.5%,"Selesai SIT",IF(CC44&lt;95%,"Proses UAT",IF(CC44=95%,"Selesai UAT",IF(CC44&lt;100%,"Proses Implementasi","Selesai Implementasi"))))))))))))))))))))))</f>
        <v>Selesai Implementasi</v>
      </c>
      <c r="BR44" s="63" t="str">
        <f t="shared" ref="BR44:BR65" si="91">IF(CD44=0%,"Not Started",IF(CD44&lt;5%,"Proses RBT-RBB",IF(CD44=5%,"Selesai RBT-RBB",IF(CD44&lt;10%,"Proses RBT-RBL",IF(CD44=10%,"Selesai RBT-RBL",IF(CD44&lt;15%,"Proses RBT-RBTD",IF(CD44=15%,"Selesai RBT-RBTD",IF(CD44&lt;20%,"Proses RPP",IF(CD44=20%,"Selesai RPP",IF(CD44&lt;25%,"Proses KAK",IF(CD44=25%,"Selesai KAK",IF(CD44&lt;30%,"Proses Pengadaan",IF(CD44=30%,"Selesai Pengadaan",IF(CD44&lt;45%,"Proses Desain",IF(CD44=45%,"Selesai Desain",IF(CD44&lt;80%,"Proses Pengembangan",IF(CD44=80%,"Selesai Pengembangan",IF(CD44&lt;87.5%,"Proses SIT",IF(CD44=87.5%,"Selesai SIT",IF(CD44&lt;95%,"Proses UAT",IF(CD44=95%,"Selesai UAT",IF(CD44&lt;100%,"Proses Implementasi","Selesai Implementasi"))))))))))))))))))))))</f>
        <v>Not Started</v>
      </c>
      <c r="BS44" s="63" t="str">
        <f t="shared" ref="BS44:BS65" si="92">IF(CE44=0%,"Not Started",IF(CE44&lt;5%,"Proses RBT-RBB",IF(CE44=5%,"Selesai RBT-RBB",IF(CE44&lt;10%,"Proses RBT-RBL",IF(CE44=10%,"Selesai RBT-RBL",IF(CE44&lt;15%,"Proses RBT-RBTD",IF(CE44=15%,"Selesai RBT-RBTD",IF(CE44&lt;20%,"Proses RPP",IF(CE44=20%,"Selesai RPP",IF(CE44&lt;25%,"Proses KAK",IF(CE44=25%,"Selesai KAK",IF(CE44&lt;30%,"Proses Pengadaan",IF(CE44=30%,"Selesai Pengadaan",IF(CE44&lt;45%,"Proses Desain",IF(CE44=45%,"Selesai Desain",IF(CE44&lt;80%,"Proses Pengembangan",IF(CE44=80%,"Selesai Pengembangan",IF(CE44&lt;87.5%,"Proses SIT",IF(CE44=87.5%,"Selesai SIT",IF(CE44&lt;95%,"Proses UAT",IF(CE44=95%,"Selesai UAT",IF(CE44&lt;100%,"Proses Implementasi","Selesai Implementasi"))))))))))))))))))))))</f>
        <v>Not Started</v>
      </c>
      <c r="BT44" s="63" t="str">
        <f t="shared" ref="BT44:BT65" si="93">IF(CF44=0%,"Not Started",IF(CF44&lt;5%,"Proses RBT-RBB",IF(CF44=5%,"Selesai RBT-RBB",IF(CF44&lt;10%,"Proses RBT-RBL",IF(CF44=10%,"Selesai RBT-RBL",IF(CF44&lt;15%,"Proses RBT-RBTD",IF(CF44=15%,"Selesai RBT-RBTD",IF(CF44&lt;20%,"Proses RPP",IF(CF44=20%,"Selesai RPP",IF(CF44&lt;25%,"Proses KAK",IF(CF44=25%,"Selesai KAK",IF(CF44&lt;30%,"Proses Pengadaan",IF(CF44=30%,"Selesai Pengadaan",IF(CF44&lt;45%,"Proses Desain",IF(CF44=45%,"Selesai Desain",IF(CF44&lt;80%,"Proses Pengembangan",IF(CF44=80%,"Selesai Pengembangan",IF(CF44&lt;87.5%,"Proses SIT",IF(CF44=87.5%,"Selesai SIT",IF(CF44&lt;95%,"Proses UAT",IF(CF44=95%,"Selesai UAT",IF(CF44&lt;100%,"Proses Implementasi","Selesai Implementasi"))))))))))))))))))))))</f>
        <v>Not Started</v>
      </c>
      <c r="BU44" s="63" t="str">
        <f t="shared" ref="BU44:BU65" si="94">IF(CG44=0%,"Not Started",IF(CG44&lt;5%,"Proses RBT-RBB",IF(CG44=5%,"Selesai RBT-RBB",IF(CG44&lt;10%,"Proses RBT-RBL",IF(CG44=10%,"Selesai RBT-RBL",IF(CG44&lt;15%,"Proses RBT-RBTD",IF(CG44=15%,"Selesai RBT-RBTD",IF(CG44&lt;20%,"Proses RPP",IF(CG44=20%,"Selesai RPP",IF(CG44&lt;25%,"Proses KAK",IF(CG44=25%,"Selesai KAK",IF(CG44&lt;30%,"Proses Pengadaan",IF(CG44=30%,"Selesai Pengadaan",IF(CG44&lt;45%,"Proses Desain",IF(CG44=45%,"Selesai Desain",IF(CG44&lt;80%,"Proses Pengembangan",IF(CG44=80%,"Selesai Pengembangan",IF(CG44&lt;87.5%,"Proses SIT",IF(CG44=87.5%,"Selesai SIT",IF(CG44&lt;95%,"Proses UAT",IF(CG44=95%,"Selesai UAT",IF(CG44&lt;100%,"Proses Implementasi","Selesai Implementasi"))))))))))))))))))))))</f>
        <v>Not Started</v>
      </c>
      <c r="BV44" s="63" t="str">
        <f t="shared" ref="BV44:BV65" si="95">IF(CH44=0%,"Not Started",IF(CH44&lt;5%,"Proses RBT-RBB",IF(CH44=5%,"Selesai RBT-RBB",IF(CH44&lt;10%,"Proses RBT-RBL",IF(CH44=10%,"Selesai RBT-RBL",IF(CH44&lt;15%,"Proses RBT-RBTD",IF(CH44=15%,"Selesai RBT-RBTD",IF(CH44&lt;20%,"Proses RPP",IF(CH44=20%,"Selesai RPP",IF(CH44&lt;25%,"Proses KAK",IF(CH44=25%,"Selesai KAK",IF(CH44&lt;30%,"Proses Pengadaan",IF(CH44=30%,"Selesai Pengadaan",IF(CH44&lt;45%,"Proses Desain",IF(CH44=45%,"Selesai Desain",IF(CH44&lt;80%,"Proses Pengembangan",IF(CH44=80%,"Selesai Pengembangan",IF(CH44&lt;87.5%,"Proses SIT",IF(CH44=87.5%,"Selesai SIT",IF(CH44&lt;95%,"Proses UAT",IF(CH44=95%,"Selesai UAT",IF(CH44&lt;100%,"Proses Implementasi","Selesai Implementasi"))))))))))))))))))))))</f>
        <v>Not Started</v>
      </c>
      <c r="BW44" s="63" t="str">
        <f t="shared" ref="BW44:BW65" si="96">IF(CI44=0%,"Not Started",IF(CI44&lt;5%,"Proses RBT-RBB",IF(CI44=5%,"Selesai RBT-RBB",IF(CI44&lt;10%,"Proses RBT-RBL",IF(CI44=10%,"Selesai RBT-RBL",IF(CI44&lt;15%,"Proses RBT-RBTD",IF(CI44=15%,"Selesai RBT-RBTD",IF(CI44&lt;20%,"Proses RPP",IF(CI44=20%,"Selesai RPP",IF(CI44&lt;25%,"Proses KAK",IF(CI44=25%,"Selesai KAK",IF(CI44&lt;30%,"Proses Pengadaan",IF(CI44=30%,"Selesai Pengadaan",IF(CI44&lt;45%,"Proses Desain",IF(CI44=45%,"Selesai Desain",IF(CI44&lt;80%,"Proses Pengembangan",IF(CI44=80%,"Selesai Pengembangan",IF(CI44&lt;87.5%,"Proses SIT",IF(CI44=87.5%,"Selesai SIT",IF(CI44&lt;95%,"Proses UAT",IF(CI44=95%,"Selesai UAT",IF(CI44&lt;100%,"Proses Implementasi","Selesai Implementasi"))))))))))))))))))))))</f>
        <v>Not Started</v>
      </c>
      <c r="BX44" s="63" t="str">
        <f t="shared" ref="BX44:BX65" si="97">IF(CJ44=0%,"Not Started",IF(CJ44&lt;5%,"Proses RBT-RBB",IF(CJ44=5%,"Selesai RBT-RBB",IF(CJ44&lt;10%,"Proses RBT-RBL",IF(CJ44=10%,"Selesai RBT-RBL",IF(CJ44&lt;15%,"Proses RBT-RBTD",IF(CJ44=15%,"Selesai RBT-RBTD",IF(CJ44&lt;20%,"Proses RPP",IF(CJ44=20%,"Selesai RPP",IF(CJ44&lt;25%,"Proses KAK",IF(CJ44=25%,"Selesai KAK",IF(CJ44&lt;30%,"Proses Pengadaan",IF(CJ44=30%,"Selesai Pengadaan",IF(CJ44&lt;45%,"Proses Desain",IF(CJ44=45%,"Selesai Desain",IF(CJ44&lt;80%,"Proses Pengembangan",IF(CJ44=80%,"Selesai Pengembangan",IF(CJ44&lt;87.5%,"Proses SIT",IF(CJ44=87.5%,"Selesai SIT",IF(CJ44&lt;95%,"Proses UAT",IF(CJ44=95%,"Selesai UAT",IF(CJ44&lt;100%,"Proses Implementasi","Selesai Implementasi"))))))))))))))))))))))</f>
        <v>Not Started</v>
      </c>
      <c r="BY44" s="63" t="str">
        <f t="shared" ref="BY44:BY65" si="98">IF(CK44=0%,"Not Started",IF(CK44&lt;5%,"Proses RBT-RBB",IF(CK44=5%,"Selesai RBT-RBB",IF(CK44&lt;10%,"Proses RBT-RBL",IF(CK44=10%,"Selesai RBT-RBL",IF(CK44&lt;15%,"Proses RBT-RBTD",IF(CK44=15%,"Selesai RBT-RBTD",IF(CK44&lt;20%,"Proses RPP",IF(CK44=20%,"Selesai RPP",IF(CK44&lt;25%,"Proses KAK",IF(CK44=25%,"Selesai KAK",IF(CK44&lt;30%,"Proses Pengadaan",IF(CK44=30%,"Selesai Pengadaan",IF(CK44&lt;45%,"Proses Desain",IF(CK44=45%,"Selesai Desain",IF(CK44&lt;80%,"Proses Pengembangan",IF(CK44=80%,"Selesai Pengembangan",IF(CK44&lt;87.5%,"Proses SIT",IF(CK44=87.5%,"Selesai SIT",IF(CK44&lt;95%,"Proses UAT",IF(CK44=95%,"Selesai UAT",IF(CK44&lt;100%,"Proses Implementasi","Selesai Implementasi"))))))))))))))))))))))</f>
        <v>Not Started</v>
      </c>
      <c r="BZ44" s="63" t="str">
        <f t="shared" ref="BZ44:BZ65" si="99">IF(CL44=0%,"Not Started",IF(CL44&lt;5%,"Proses RBT-RBB",IF(CL44=5%,"Selesai RBT-RBB",IF(CL44&lt;10%,"Proses RBT-RBL",IF(CL44=10%,"Selesai RBT-RBL",IF(CL44&lt;15%,"Proses RBT-RBTD",IF(CL44=15%,"Selesai RBT-RBTD",IF(CL44&lt;20%,"Proses RPP",IF(CL44=20%,"Selesai RPP",IF(CL44&lt;25%,"Proses KAK",IF(CL44=25%,"Selesai KAK",IF(CL44&lt;30%,"Proses Pengadaan",IF(CL44=30%,"Selesai Pengadaan",IF(CL44&lt;45%,"Proses Desain",IF(CL44=45%,"Selesai Desain",IF(CL44&lt;80%,"Proses Pengembangan",IF(CL44=80%,"Selesai Pengembangan",IF(CL44&lt;87.5%,"Proses SIT",IF(CL44=87.5%,"Selesai SIT",IF(CL44&lt;95%,"Proses UAT",IF(CL44=95%,"Selesai UAT",IF(CL44&lt;100%,"Proses Implementasi","Selesai Implementasi"))))))))))))))))))))))</f>
        <v>Not Started</v>
      </c>
      <c r="CA44" s="63" t="str">
        <f t="shared" ref="CA44:CA65" si="100">IF(CM44=0%,"Not Started",IF(CM44&lt;5%,"Proses RBT-RBB",IF(CM44=5%,"Selesai RBT-RBB",IF(CM44&lt;10%,"Proses RBT-RBL",IF(CM44=10%,"Selesai RBT-RBL",IF(CM44&lt;15%,"Proses RBT-RBTD",IF(CM44=15%,"Selesai RBT-RBTD",IF(CM44&lt;20%,"Proses RPP",IF(CM44=20%,"Selesai RPP",IF(CM44&lt;25%,"Proses KAK",IF(CM44=25%,"Selesai KAK",IF(CM44&lt;30%,"Proses Pengadaan",IF(CM44=30%,"Selesai Pengadaan",IF(CM44&lt;45%,"Proses Desain",IF(CM44=45%,"Selesai Desain",IF(CM44&lt;80%,"Proses Pengembangan",IF(CM44=80%,"Selesai Pengembangan",IF(CM44&lt;87.5%,"Proses SIT",IF(CM44=87.5%,"Selesai SIT",IF(CM44&lt;95%,"Proses UAT",IF(CM44=95%,"Selesai UAT",IF(CM44&lt;100%,"Proses Implementasi","Selesai Implementasi"))))))))))))))))))))))</f>
        <v>Not Started</v>
      </c>
      <c r="CB44" s="63" t="str">
        <f t="shared" ref="CB44:CB65" si="101">IF(CN44=0%,"Not Started",IF(CN44&lt;5%,"Proses RBT-RBB",IF(CN44=5%,"Selesai RBT-RBB",IF(CN44&lt;10%,"Proses RBT-RBL",IF(CN44=10%,"Selesai RBT-RBL",IF(CN44&lt;15%,"Proses RBT-RBTD",IF(CN44=15%,"Selesai RBT-RBTD",IF(CN44&lt;20%,"Proses RPP",IF(CN44=20%,"Selesai RPP",IF(CN44&lt;25%,"Proses KAK",IF(CN44=25%,"Selesai KAK",IF(CN44&lt;30%,"Proses Pengadaan",IF(CN44=30%,"Selesai Pengadaan",IF(CN44&lt;45%,"Proses Desain",IF(CN44=45%,"Selesai Desain",IF(CN44&lt;80%,"Proses Pengembangan",IF(CN44=80%,"Selesai Pengembangan",IF(CN44&lt;87.5%,"Proses SIT",IF(CN44=87.5%,"Selesai SIT",IF(CN44&lt;95%,"Proses UAT",IF(CN44=95%,"Selesai UAT",IF(CN44&lt;100%,"Proses Implementasi","Selesai Implementasi"))))))))))))))))))))))</f>
        <v>Not Started</v>
      </c>
      <c r="CC44" s="44">
        <f t="shared" si="75"/>
        <v>0.99999999999999989</v>
      </c>
      <c r="CD44" s="44"/>
      <c r="CE44" s="44"/>
      <c r="CF44" s="44"/>
      <c r="CG44" s="44"/>
      <c r="CH44" s="44"/>
      <c r="CI44" s="44"/>
      <c r="CJ44" s="44"/>
      <c r="CK44" s="44"/>
      <c r="CL44" s="44"/>
      <c r="CM44" s="44"/>
      <c r="CN44" s="44"/>
      <c r="CO44" s="45">
        <f t="shared" ref="CO44:CO65" si="102">IF(BE44=0%, 100%, (CC44/BE44))</f>
        <v>0.99999999999999989</v>
      </c>
      <c r="CP44" s="45">
        <f t="shared" ref="CP44:CP65" si="103">IF(BF44=0%, 100%, (CD44/BF44))</f>
        <v>0</v>
      </c>
      <c r="CQ44" s="45">
        <f t="shared" ref="CQ44:CQ65" si="104">IF(BG44=0%, 100%, (CE44/BG44))</f>
        <v>0</v>
      </c>
      <c r="CR44" s="45">
        <f t="shared" ref="CR44:CR65" si="105">IF(BH44=0%, 100%, (CF44/BH44))</f>
        <v>0</v>
      </c>
      <c r="CS44" s="45">
        <f t="shared" ref="CS44:CS65" si="106">IF(BI44=0%, 100%, (CG44/BI44))</f>
        <v>0</v>
      </c>
      <c r="CT44" s="45">
        <f t="shared" ref="CT44:CT65" si="107">IF(BJ44=0%, 100%, (CH44/BJ44))</f>
        <v>0</v>
      </c>
      <c r="CU44" s="45">
        <f t="shared" ref="CU44:CU65" si="108">IF(BK44=0%, 100%, (CI44/BK44))</f>
        <v>0</v>
      </c>
      <c r="CV44" s="45">
        <f t="shared" ref="CV44:CV65" si="109">IF(BL44=0%, 100%, (CJ44/BL44))</f>
        <v>0</v>
      </c>
      <c r="CW44" s="45">
        <f t="shared" ref="CW44:CW65" si="110">IF(BM44=0%, 100%, (CK44/BM44))</f>
        <v>0</v>
      </c>
      <c r="CX44" s="45">
        <f t="shared" ref="CX44:CX65" si="111">IF(BN44=0%, 100%, (CL44/BN44))</f>
        <v>0</v>
      </c>
      <c r="CY44" s="45">
        <f t="shared" si="77"/>
        <v>0</v>
      </c>
      <c r="CZ44" s="45"/>
      <c r="DA44" s="45" t="str">
        <f t="shared" ref="DA44:DA65" si="112">IF(BE44=0%,"NS",IF(CC44=100%,"DONE",IF(CO44&gt;100%,"AS",IF(CO44&lt;75%,"BS",IF(CO44&lt;89.9%,"AR","OS")))))</f>
        <v>DONE</v>
      </c>
      <c r="DB44" s="45" t="str">
        <f t="shared" ref="DB44:DB65" si="113">IF(BF44=0%,"NS",IF(CD44=100%,"DONE",IF(CP44&gt;100%,"AS",IF(CP44&lt;75%,"BS",IF(CP44&lt;89.9%,"AR","OS")))))</f>
        <v>BS</v>
      </c>
      <c r="DC44" s="45" t="str">
        <f t="shared" ref="DC44:DC65" si="114">IF(BG44=0%,"NS",IF(CE44=100%,"DONE",IF(CQ44&gt;100%,"AS",IF(CQ44&lt;75%,"BS",IF(CQ44&lt;89.9%,"AR","OS")))))</f>
        <v>BS</v>
      </c>
      <c r="DD44" s="45" t="str">
        <f t="shared" ref="DD44:DD65" si="115">IF(BH44=0%,"NS",IF(CF44=100%,"DONE",IF(CR44&gt;100%,"AS",IF(CR44&lt;75%,"BS",IF(CR44&lt;89.9%,"AR","OS")))))</f>
        <v>BS</v>
      </c>
      <c r="DE44" s="45" t="str">
        <f t="shared" ref="DE44:DE65" si="116">IF(BI44=0%,"NS",IF(CG44=100%,"DONE",IF(CS44&gt;100%,"AS",IF(CS44&lt;75%,"BS",IF(CS44&lt;89.9%,"AR","OS")))))</f>
        <v>BS</v>
      </c>
      <c r="DF44" s="45" t="str">
        <f t="shared" ref="DF44:DF65" si="117">IF(BJ44=0%,"NS",IF(CH44=100%,"DONE",IF(CT44&gt;100%,"AS",IF(CT44&lt;75%,"BS",IF(CT44&lt;89.9%,"AR","OS")))))</f>
        <v>BS</v>
      </c>
      <c r="DG44" s="45" t="str">
        <f t="shared" ref="DG44:DG65" si="118">IF(BK44=0%,"NS",IF(CI44=100%,"DONE",IF(CU44&gt;100%,"AS",IF(CU44&lt;75%,"BS",IF(CU44&lt;89.9%,"AR","OS")))))</f>
        <v>BS</v>
      </c>
      <c r="DH44" s="45" t="str">
        <f t="shared" ref="DH44:DH65" si="119">IF(BL44=0%,"NS",IF(CJ44=100%,"DONE",IF(CV44&gt;100%,"AS",IF(CV44&lt;75%,"BS",IF(CV44&lt;89.9%,"AR","OS")))))</f>
        <v>BS</v>
      </c>
      <c r="DI44" s="45" t="str">
        <f t="shared" ref="DI44:DI65" si="120">IF(BM44=0%,"NS",IF(CK44=100%,"DONE",IF(CW44&gt;100%,"AS",IF(CW44&lt;75%,"BS",IF(CW44&lt;89.9%,"AR","OS")))))</f>
        <v>BS</v>
      </c>
      <c r="DJ44" s="45" t="str">
        <f t="shared" ref="DJ44:DJ65" si="121">IF(BN44=0%,"NS",IF(CL44=100%,"DONE",IF(CX44&gt;100%,"AS",IF(CX44&lt;75%,"BS",IF(CX44&lt;89.9%,"AR","OS")))))</f>
        <v>BS</v>
      </c>
      <c r="DK44" s="45" t="str">
        <f t="shared" si="78"/>
        <v>BS</v>
      </c>
      <c r="DL44" s="45" t="str">
        <f t="shared" ref="DL44:DL65" si="122">IF(BP44=0%,"NS",IF(CN44=100%,"DONE",IF(CZ44&gt;100%,"AS",IF(CZ44&lt;75%,"BS",IF(CZ44&lt;89.9%,"AR","OS")))))</f>
        <v>BS</v>
      </c>
      <c r="DM44" s="45">
        <f t="shared" ref="DM44:DM65" si="123">CC44/$BP44</f>
        <v>0.99999999999999989</v>
      </c>
      <c r="DN44" s="45">
        <f t="shared" ref="DN44:DN65" si="124">CD44/$BP44</f>
        <v>0</v>
      </c>
      <c r="DO44" s="45">
        <f t="shared" ref="DO44:DO65" si="125">CE44/$BP44</f>
        <v>0</v>
      </c>
      <c r="DP44" s="45">
        <f t="shared" ref="DP44:DP65" si="126">CF44/$BP44</f>
        <v>0</v>
      </c>
      <c r="DQ44" s="45">
        <f t="shared" ref="DQ44:DQ65" si="127">CG44/$BP44</f>
        <v>0</v>
      </c>
      <c r="DR44" s="45">
        <f t="shared" ref="DR44:DR65" si="128">CH44/$BP44</f>
        <v>0</v>
      </c>
      <c r="DS44" s="45">
        <f t="shared" ref="DS44:DS65" si="129">CI44/$BP44</f>
        <v>0</v>
      </c>
      <c r="DT44" s="45">
        <f t="shared" ref="DT44:DT65" si="130">CJ44/$BP44</f>
        <v>0</v>
      </c>
      <c r="DU44" s="45">
        <f t="shared" ref="DU44:DU65" si="131">CK44/$BP44</f>
        <v>0</v>
      </c>
      <c r="DV44" s="45">
        <f t="shared" ref="DV44:DV65" si="132">CL44/$BP44</f>
        <v>0</v>
      </c>
      <c r="DW44" s="45">
        <f t="shared" ref="DW44:DW65" si="133">CM44/$BP44</f>
        <v>0</v>
      </c>
      <c r="DX44" s="45">
        <f t="shared" ref="DX44:DX65" si="134">CN44/$BP44</f>
        <v>0</v>
      </c>
      <c r="DY44" s="41">
        <v>1</v>
      </c>
      <c r="DZ44" s="41">
        <v>1</v>
      </c>
      <c r="EA44" s="41">
        <v>1</v>
      </c>
      <c r="EB44" s="41">
        <v>1</v>
      </c>
      <c r="EC44" s="41">
        <v>1</v>
      </c>
      <c r="ED44" s="41">
        <v>1</v>
      </c>
      <c r="EE44" s="41">
        <v>1</v>
      </c>
      <c r="EF44" s="41">
        <v>1</v>
      </c>
      <c r="EG44" s="41">
        <v>1</v>
      </c>
      <c r="EH44" s="460" t="s">
        <v>460</v>
      </c>
      <c r="EI44" s="42">
        <v>45926</v>
      </c>
      <c r="EJ44" s="59">
        <f t="shared" ref="EJ44:EJ51" si="135">AR44</f>
        <v>45838</v>
      </c>
      <c r="EK44" s="229"/>
      <c r="EL44" s="230"/>
      <c r="EM44" s="229"/>
      <c r="EN44" s="222"/>
      <c r="EO44" s="222"/>
      <c r="EP44" s="222"/>
      <c r="EQ44" s="231"/>
      <c r="ER44" s="213"/>
      <c r="ES44" s="220"/>
      <c r="ET44" s="222" t="s">
        <v>461</v>
      </c>
      <c r="EU44" s="220"/>
      <c r="EV44" s="220"/>
      <c r="EW44" s="220"/>
      <c r="EX44" s="220"/>
      <c r="EY44" s="220"/>
      <c r="EZ44" s="220"/>
      <c r="FA44" s="220"/>
      <c r="FB44" s="222"/>
      <c r="FC44" s="222"/>
      <c r="FD44" s="222"/>
      <c r="FE44" s="220"/>
      <c r="FF44" s="220"/>
      <c r="FG44" s="222"/>
      <c r="FH44" s="220"/>
      <c r="FI44" s="220"/>
      <c r="FJ44" s="220"/>
      <c r="FK44" s="220"/>
      <c r="FL44" s="215"/>
      <c r="FM44" s="172" t="s">
        <v>201</v>
      </c>
      <c r="FN44" s="224" t="s">
        <v>202</v>
      </c>
      <c r="FO44" s="224" t="s">
        <v>231</v>
      </c>
      <c r="FP44" s="172" t="s">
        <v>462</v>
      </c>
      <c r="FQ44" s="172" t="s">
        <v>463</v>
      </c>
      <c r="FR44" s="239" t="s">
        <v>184</v>
      </c>
      <c r="FS44" s="213" t="s">
        <v>400</v>
      </c>
      <c r="FT44" s="267" t="s">
        <v>421</v>
      </c>
      <c r="FU44" s="48">
        <v>5</v>
      </c>
    </row>
    <row r="45" spans="1:177" s="13" customFormat="1" ht="144">
      <c r="A45" s="63" t="s">
        <v>464</v>
      </c>
      <c r="B45" s="48" t="s">
        <v>205</v>
      </c>
      <c r="C45" s="64" t="s">
        <v>206</v>
      </c>
      <c r="D45" s="225" t="s">
        <v>207</v>
      </c>
      <c r="E45" s="226" t="s">
        <v>455</v>
      </c>
      <c r="F45" s="227">
        <f>F44+1</f>
        <v>2</v>
      </c>
      <c r="G45" s="65" t="s">
        <v>209</v>
      </c>
      <c r="H45" s="65" t="s">
        <v>456</v>
      </c>
      <c r="I45" s="65" t="s">
        <v>465</v>
      </c>
      <c r="J45" s="48">
        <v>2026</v>
      </c>
      <c r="K45" s="48">
        <v>2027</v>
      </c>
      <c r="L45" s="48" t="s">
        <v>172</v>
      </c>
      <c r="M45" s="48" t="s">
        <v>173</v>
      </c>
      <c r="N45" s="63" t="s">
        <v>174</v>
      </c>
      <c r="O45" s="63" t="s">
        <v>466</v>
      </c>
      <c r="P45" s="63" t="s">
        <v>15</v>
      </c>
      <c r="Q45" s="63" t="s">
        <v>199</v>
      </c>
      <c r="R45" s="63" t="s">
        <v>459</v>
      </c>
      <c r="S45" s="63" t="str">
        <f t="shared" si="71"/>
        <v>Not Started</v>
      </c>
      <c r="T45" s="63" t="str">
        <f t="shared" si="1"/>
        <v>Not Started</v>
      </c>
      <c r="U45" s="63" t="str">
        <f t="shared" si="72"/>
        <v>Rizky Arga</v>
      </c>
      <c r="V45" s="67">
        <f t="shared" si="73"/>
        <v>0</v>
      </c>
      <c r="W45" s="66" t="s">
        <v>237</v>
      </c>
      <c r="X45" s="59">
        <f t="shared" si="74"/>
        <v>46660</v>
      </c>
      <c r="Y45" s="228">
        <v>0</v>
      </c>
      <c r="Z45" s="63"/>
      <c r="AA45" s="62">
        <v>46296</v>
      </c>
      <c r="AB45" s="42">
        <v>46387</v>
      </c>
      <c r="AC45" s="42">
        <v>46388</v>
      </c>
      <c r="AD45" s="42">
        <v>46418</v>
      </c>
      <c r="AE45" s="42"/>
      <c r="AF45" s="42"/>
      <c r="AG45" s="42"/>
      <c r="AH45" s="42"/>
      <c r="AI45" s="42">
        <v>46419</v>
      </c>
      <c r="AJ45" s="42">
        <v>46477</v>
      </c>
      <c r="AK45" s="42">
        <v>46478</v>
      </c>
      <c r="AL45" s="42">
        <v>46568</v>
      </c>
      <c r="AM45" s="42">
        <v>46569</v>
      </c>
      <c r="AN45" s="42">
        <v>46599</v>
      </c>
      <c r="AO45" s="42">
        <v>46600</v>
      </c>
      <c r="AP45" s="42">
        <v>46629</v>
      </c>
      <c r="AQ45" s="42">
        <v>46631</v>
      </c>
      <c r="AR45" s="42">
        <v>46660</v>
      </c>
      <c r="AS45" s="63" t="str">
        <f t="shared" si="79"/>
        <v>Not Started</v>
      </c>
      <c r="AT45" s="63" t="str">
        <f t="shared" si="80"/>
        <v>Not Started</v>
      </c>
      <c r="AU45" s="63" t="str">
        <f t="shared" si="81"/>
        <v>Not Started</v>
      </c>
      <c r="AV45" s="63" t="str">
        <f t="shared" si="82"/>
        <v>Not Started</v>
      </c>
      <c r="AW45" s="63" t="str">
        <f t="shared" si="83"/>
        <v>Not Started</v>
      </c>
      <c r="AX45" s="63" t="str">
        <f t="shared" si="84"/>
        <v>Not Started</v>
      </c>
      <c r="AY45" s="63" t="str">
        <f t="shared" si="85"/>
        <v>Not Started</v>
      </c>
      <c r="AZ45" s="63" t="str">
        <f t="shared" si="86"/>
        <v>Not Started</v>
      </c>
      <c r="BA45" s="63" t="str">
        <f t="shared" si="87"/>
        <v>Not Started</v>
      </c>
      <c r="BB45" s="63" t="str">
        <f t="shared" si="88"/>
        <v>Selesai RBT-RBB</v>
      </c>
      <c r="BC45" s="63" t="str">
        <f t="shared" si="76"/>
        <v>Selesai RBT-RBL</v>
      </c>
      <c r="BD45" s="63" t="str">
        <f t="shared" si="89"/>
        <v>Selesai RBT-RBTD</v>
      </c>
      <c r="BE45" s="43">
        <v>0</v>
      </c>
      <c r="BF45" s="43">
        <v>0</v>
      </c>
      <c r="BG45" s="43">
        <v>0</v>
      </c>
      <c r="BH45" s="43">
        <v>0</v>
      </c>
      <c r="BI45" s="43">
        <v>0</v>
      </c>
      <c r="BJ45" s="43">
        <v>0</v>
      </c>
      <c r="BK45" s="43">
        <v>0</v>
      </c>
      <c r="BL45" s="43">
        <v>0</v>
      </c>
      <c r="BM45" s="43">
        <v>0</v>
      </c>
      <c r="BN45" s="43">
        <v>0.05</v>
      </c>
      <c r="BO45" s="43">
        <v>0.1</v>
      </c>
      <c r="BP45" s="43">
        <v>0.15</v>
      </c>
      <c r="BQ45" s="63" t="str">
        <f t="shared" si="90"/>
        <v>Not Started</v>
      </c>
      <c r="BR45" s="63" t="str">
        <f t="shared" si="91"/>
        <v>Not Started</v>
      </c>
      <c r="BS45" s="63" t="str">
        <f t="shared" si="92"/>
        <v>Not Started</v>
      </c>
      <c r="BT45" s="63" t="str">
        <f t="shared" si="93"/>
        <v>Not Started</v>
      </c>
      <c r="BU45" s="63" t="str">
        <f t="shared" si="94"/>
        <v>Not Started</v>
      </c>
      <c r="BV45" s="63" t="str">
        <f t="shared" si="95"/>
        <v>Not Started</v>
      </c>
      <c r="BW45" s="63" t="str">
        <f t="shared" si="96"/>
        <v>Not Started</v>
      </c>
      <c r="BX45" s="63" t="str">
        <f t="shared" si="97"/>
        <v>Not Started</v>
      </c>
      <c r="BY45" s="63" t="str">
        <f t="shared" si="98"/>
        <v>Not Started</v>
      </c>
      <c r="BZ45" s="63" t="str">
        <f t="shared" si="99"/>
        <v>Not Started</v>
      </c>
      <c r="CA45" s="63" t="str">
        <f t="shared" si="100"/>
        <v>Not Started</v>
      </c>
      <c r="CB45" s="63" t="str">
        <f t="shared" si="101"/>
        <v>Not Started</v>
      </c>
      <c r="CC45" s="44">
        <f t="shared" si="75"/>
        <v>0</v>
      </c>
      <c r="CD45" s="44"/>
      <c r="CE45" s="44"/>
      <c r="CF45" s="44"/>
      <c r="CG45" s="44"/>
      <c r="CH45" s="242"/>
      <c r="CI45" s="44"/>
      <c r="CJ45" s="44"/>
      <c r="CK45" s="44"/>
      <c r="CL45" s="44"/>
      <c r="CM45" s="44"/>
      <c r="CN45" s="44"/>
      <c r="CO45" s="45">
        <f t="shared" si="102"/>
        <v>1</v>
      </c>
      <c r="CP45" s="45">
        <f t="shared" si="103"/>
        <v>1</v>
      </c>
      <c r="CQ45" s="45">
        <f t="shared" si="104"/>
        <v>1</v>
      </c>
      <c r="CR45" s="45">
        <f t="shared" si="105"/>
        <v>1</v>
      </c>
      <c r="CS45" s="45">
        <f t="shared" si="106"/>
        <v>1</v>
      </c>
      <c r="CT45" s="45">
        <f t="shared" si="107"/>
        <v>1</v>
      </c>
      <c r="CU45" s="45">
        <f t="shared" si="108"/>
        <v>1</v>
      </c>
      <c r="CV45" s="45">
        <f t="shared" si="109"/>
        <v>1</v>
      </c>
      <c r="CW45" s="45">
        <f t="shared" si="110"/>
        <v>1</v>
      </c>
      <c r="CX45" s="45">
        <f t="shared" si="111"/>
        <v>0</v>
      </c>
      <c r="CY45" s="45">
        <f t="shared" si="77"/>
        <v>0</v>
      </c>
      <c r="CZ45" s="45"/>
      <c r="DA45" s="45" t="str">
        <f t="shared" si="112"/>
        <v>NS</v>
      </c>
      <c r="DB45" s="45" t="str">
        <f t="shared" si="113"/>
        <v>NS</v>
      </c>
      <c r="DC45" s="45" t="str">
        <f t="shared" si="114"/>
        <v>NS</v>
      </c>
      <c r="DD45" s="45" t="str">
        <f t="shared" si="115"/>
        <v>NS</v>
      </c>
      <c r="DE45" s="45" t="str">
        <f t="shared" si="116"/>
        <v>NS</v>
      </c>
      <c r="DF45" s="45" t="str">
        <f t="shared" si="117"/>
        <v>NS</v>
      </c>
      <c r="DG45" s="45" t="str">
        <f t="shared" si="118"/>
        <v>NS</v>
      </c>
      <c r="DH45" s="45" t="str">
        <f t="shared" si="119"/>
        <v>NS</v>
      </c>
      <c r="DI45" s="45" t="str">
        <f t="shared" si="120"/>
        <v>NS</v>
      </c>
      <c r="DJ45" s="45" t="str">
        <f t="shared" si="121"/>
        <v>BS</v>
      </c>
      <c r="DK45" s="45" t="str">
        <f t="shared" si="78"/>
        <v>BS</v>
      </c>
      <c r="DL45" s="45" t="str">
        <f t="shared" si="122"/>
        <v>BS</v>
      </c>
      <c r="DM45" s="45">
        <f t="shared" si="123"/>
        <v>0</v>
      </c>
      <c r="DN45" s="45">
        <f t="shared" si="124"/>
        <v>0</v>
      </c>
      <c r="DO45" s="45">
        <f t="shared" si="125"/>
        <v>0</v>
      </c>
      <c r="DP45" s="45">
        <f t="shared" si="126"/>
        <v>0</v>
      </c>
      <c r="DQ45" s="45">
        <f t="shared" si="127"/>
        <v>0</v>
      </c>
      <c r="DR45" s="45">
        <f t="shared" si="128"/>
        <v>0</v>
      </c>
      <c r="DS45" s="45">
        <f t="shared" si="129"/>
        <v>0</v>
      </c>
      <c r="DT45" s="45">
        <f t="shared" si="130"/>
        <v>0</v>
      </c>
      <c r="DU45" s="45">
        <f t="shared" si="131"/>
        <v>0</v>
      </c>
      <c r="DV45" s="45">
        <f t="shared" si="132"/>
        <v>0</v>
      </c>
      <c r="DW45" s="45">
        <f t="shared" si="133"/>
        <v>0</v>
      </c>
      <c r="DX45" s="45">
        <f t="shared" si="134"/>
        <v>0</v>
      </c>
      <c r="DY45" s="41"/>
      <c r="DZ45" s="41"/>
      <c r="EA45" s="41"/>
      <c r="EB45" s="41"/>
      <c r="EC45" s="41"/>
      <c r="ED45" s="41"/>
      <c r="EE45" s="41"/>
      <c r="EF45" s="41"/>
      <c r="EG45" s="41"/>
      <c r="EH45" s="47"/>
      <c r="EI45" s="222"/>
      <c r="EJ45" s="59">
        <f t="shared" si="135"/>
        <v>46660</v>
      </c>
      <c r="EK45" s="229"/>
      <c r="EL45" s="230"/>
      <c r="EM45" s="229"/>
      <c r="EN45" s="222"/>
      <c r="EO45" s="222"/>
      <c r="EP45" s="222"/>
      <c r="EQ45" s="231"/>
      <c r="ER45" s="213"/>
      <c r="ES45" s="220"/>
      <c r="ET45" s="220"/>
      <c r="EU45" s="220"/>
      <c r="EV45" s="220"/>
      <c r="EW45" s="220"/>
      <c r="EX45" s="220"/>
      <c r="EY45" s="220"/>
      <c r="EZ45" s="220"/>
      <c r="FA45" s="220"/>
      <c r="FB45" s="222"/>
      <c r="FC45" s="222"/>
      <c r="FD45" s="222"/>
      <c r="FE45" s="220"/>
      <c r="FF45" s="220"/>
      <c r="FG45" s="222"/>
      <c r="FH45" s="220"/>
      <c r="FI45" s="220"/>
      <c r="FJ45" s="220"/>
      <c r="FK45" s="220"/>
      <c r="FL45" s="215"/>
      <c r="FM45" s="172"/>
      <c r="FN45" s="224" t="s">
        <v>202</v>
      </c>
      <c r="FO45" s="224" t="s">
        <v>221</v>
      </c>
      <c r="FP45" s="172"/>
      <c r="FQ45" s="172"/>
      <c r="FR45" s="213"/>
      <c r="FS45" s="213"/>
      <c r="FT45" s="213"/>
      <c r="FU45" s="223"/>
    </row>
    <row r="46" spans="1:177" s="13" customFormat="1" ht="409.5">
      <c r="A46" s="64" t="s">
        <v>467</v>
      </c>
      <c r="B46" s="48" t="s">
        <v>468</v>
      </c>
      <c r="C46" s="64" t="s">
        <v>206</v>
      </c>
      <c r="D46" s="225" t="s">
        <v>207</v>
      </c>
      <c r="E46" s="63" t="s">
        <v>469</v>
      </c>
      <c r="F46" s="227">
        <v>1</v>
      </c>
      <c r="G46" s="213" t="s">
        <v>325</v>
      </c>
      <c r="H46" s="65" t="s">
        <v>470</v>
      </c>
      <c r="I46" s="601" t="s">
        <v>471</v>
      </c>
      <c r="J46" s="48">
        <v>2025</v>
      </c>
      <c r="K46" s="48">
        <v>2025</v>
      </c>
      <c r="L46" s="48" t="s">
        <v>288</v>
      </c>
      <c r="M46" s="48" t="s">
        <v>173</v>
      </c>
      <c r="N46" s="48" t="s">
        <v>174</v>
      </c>
      <c r="O46" s="63" t="s">
        <v>472</v>
      </c>
      <c r="P46" s="63" t="s">
        <v>458</v>
      </c>
      <c r="Q46" s="63" t="s">
        <v>297</v>
      </c>
      <c r="R46" s="63" t="s">
        <v>325</v>
      </c>
      <c r="S46" s="63" t="str">
        <f t="shared" si="71"/>
        <v>Selesai Implementasi</v>
      </c>
      <c r="T46" s="63" t="str">
        <f t="shared" si="1"/>
        <v>DONE</v>
      </c>
      <c r="U46" s="63" t="str">
        <f t="shared" si="72"/>
        <v>Pahman Hasibuan</v>
      </c>
      <c r="V46" s="67">
        <f t="shared" si="73"/>
        <v>0.99999999999999989</v>
      </c>
      <c r="W46" s="66" t="s">
        <v>380</v>
      </c>
      <c r="X46" s="59">
        <f t="shared" si="74"/>
        <v>46010</v>
      </c>
      <c r="Y46" s="68">
        <v>2024</v>
      </c>
      <c r="Z46" s="48"/>
      <c r="AA46" s="62"/>
      <c r="AB46" s="42"/>
      <c r="AC46" s="42">
        <v>45627</v>
      </c>
      <c r="AD46" s="42">
        <v>45657</v>
      </c>
      <c r="AE46" s="250">
        <v>45536</v>
      </c>
      <c r="AF46" s="251">
        <v>45657</v>
      </c>
      <c r="AG46" s="62">
        <v>45536</v>
      </c>
      <c r="AH46" s="42">
        <v>45688</v>
      </c>
      <c r="AI46" s="42">
        <v>45707</v>
      </c>
      <c r="AJ46" s="42">
        <v>45805</v>
      </c>
      <c r="AK46" s="42">
        <v>45783</v>
      </c>
      <c r="AL46" s="42">
        <v>45945</v>
      </c>
      <c r="AM46" s="42">
        <v>45946</v>
      </c>
      <c r="AN46" s="42">
        <v>45960</v>
      </c>
      <c r="AO46" s="42">
        <v>45964</v>
      </c>
      <c r="AP46" s="42">
        <v>45989</v>
      </c>
      <c r="AQ46" s="42">
        <v>45992</v>
      </c>
      <c r="AR46" s="42">
        <v>46010</v>
      </c>
      <c r="AS46" s="63" t="str">
        <f t="shared" si="79"/>
        <v>Selesai Implementasi</v>
      </c>
      <c r="AT46" s="63" t="str">
        <f t="shared" si="80"/>
        <v>Selesai Implementasi</v>
      </c>
      <c r="AU46" s="63" t="str">
        <f t="shared" si="81"/>
        <v>Selesai Implementasi</v>
      </c>
      <c r="AV46" s="63" t="str">
        <f t="shared" si="82"/>
        <v>Selesai Implementasi</v>
      </c>
      <c r="AW46" s="63" t="str">
        <f t="shared" si="83"/>
        <v>Selesai Implementasi</v>
      </c>
      <c r="AX46" s="63" t="str">
        <f t="shared" si="84"/>
        <v>Selesai Implementasi</v>
      </c>
      <c r="AY46" s="63" t="str">
        <f t="shared" si="85"/>
        <v>Selesai Implementasi</v>
      </c>
      <c r="AZ46" s="63" t="str">
        <f t="shared" si="86"/>
        <v>Selesai Implementasi</v>
      </c>
      <c r="BA46" s="63" t="str">
        <f t="shared" si="87"/>
        <v>Selesai Implementasi</v>
      </c>
      <c r="BB46" s="63" t="str">
        <f t="shared" si="88"/>
        <v>Selesai Implementasi</v>
      </c>
      <c r="BC46" s="63" t="str">
        <f t="shared" si="76"/>
        <v>Selesai Implementasi</v>
      </c>
      <c r="BD46" s="63" t="str">
        <f t="shared" si="89"/>
        <v>Selesai Implementasi</v>
      </c>
      <c r="BE46" s="43">
        <v>1</v>
      </c>
      <c r="BF46" s="43">
        <v>1</v>
      </c>
      <c r="BG46" s="43">
        <v>1</v>
      </c>
      <c r="BH46" s="43">
        <v>1</v>
      </c>
      <c r="BI46" s="43">
        <v>1</v>
      </c>
      <c r="BJ46" s="43">
        <v>1</v>
      </c>
      <c r="BK46" s="43">
        <v>1</v>
      </c>
      <c r="BL46" s="43">
        <v>1</v>
      </c>
      <c r="BM46" s="43">
        <v>1</v>
      </c>
      <c r="BN46" s="43">
        <v>1</v>
      </c>
      <c r="BO46" s="43">
        <v>1</v>
      </c>
      <c r="BP46" s="43">
        <v>1</v>
      </c>
      <c r="BQ46" s="63" t="str">
        <f t="shared" si="90"/>
        <v>Selesai Implementasi</v>
      </c>
      <c r="BR46" s="63" t="str">
        <f t="shared" si="91"/>
        <v>Not Started</v>
      </c>
      <c r="BS46" s="63" t="str">
        <f t="shared" si="92"/>
        <v>Not Started</v>
      </c>
      <c r="BT46" s="63" t="str">
        <f t="shared" si="93"/>
        <v>Not Started</v>
      </c>
      <c r="BU46" s="63" t="str">
        <f t="shared" si="94"/>
        <v>Not Started</v>
      </c>
      <c r="BV46" s="63" t="str">
        <f t="shared" si="95"/>
        <v>Not Started</v>
      </c>
      <c r="BW46" s="63" t="str">
        <f t="shared" si="96"/>
        <v>Not Started</v>
      </c>
      <c r="BX46" s="63" t="str">
        <f t="shared" si="97"/>
        <v>Not Started</v>
      </c>
      <c r="BY46" s="63" t="str">
        <f t="shared" si="98"/>
        <v>Not Started</v>
      </c>
      <c r="BZ46" s="63" t="str">
        <f t="shared" si="99"/>
        <v>Not Started</v>
      </c>
      <c r="CA46" s="63" t="str">
        <f t="shared" si="100"/>
        <v>Not Started</v>
      </c>
      <c r="CB46" s="63" t="str">
        <f t="shared" si="101"/>
        <v>Not Started</v>
      </c>
      <c r="CC46" s="44">
        <f t="shared" si="75"/>
        <v>0.99999999999999989</v>
      </c>
      <c r="CD46" s="44"/>
      <c r="CE46" s="44"/>
      <c r="CF46" s="44"/>
      <c r="CG46" s="44"/>
      <c r="CH46" s="44"/>
      <c r="CI46" s="44"/>
      <c r="CJ46" s="44"/>
      <c r="CK46" s="44"/>
      <c r="CL46" s="44"/>
      <c r="CM46" s="44"/>
      <c r="CN46" s="44"/>
      <c r="CO46" s="45">
        <f t="shared" si="102"/>
        <v>0.99999999999999989</v>
      </c>
      <c r="CP46" s="45">
        <f t="shared" si="103"/>
        <v>0</v>
      </c>
      <c r="CQ46" s="45">
        <f t="shared" si="104"/>
        <v>0</v>
      </c>
      <c r="CR46" s="45">
        <f t="shared" si="105"/>
        <v>0</v>
      </c>
      <c r="CS46" s="45">
        <f t="shared" si="106"/>
        <v>0</v>
      </c>
      <c r="CT46" s="45">
        <f t="shared" si="107"/>
        <v>0</v>
      </c>
      <c r="CU46" s="45">
        <f t="shared" si="108"/>
        <v>0</v>
      </c>
      <c r="CV46" s="45">
        <f t="shared" si="109"/>
        <v>0</v>
      </c>
      <c r="CW46" s="45">
        <f t="shared" si="110"/>
        <v>0</v>
      </c>
      <c r="CX46" s="45">
        <f t="shared" si="111"/>
        <v>0</v>
      </c>
      <c r="CY46" s="45">
        <f t="shared" si="77"/>
        <v>0</v>
      </c>
      <c r="CZ46" s="45"/>
      <c r="DA46" s="45" t="str">
        <f t="shared" si="112"/>
        <v>DONE</v>
      </c>
      <c r="DB46" s="45" t="str">
        <f t="shared" si="113"/>
        <v>BS</v>
      </c>
      <c r="DC46" s="45" t="str">
        <f t="shared" si="114"/>
        <v>BS</v>
      </c>
      <c r="DD46" s="45" t="str">
        <f t="shared" si="115"/>
        <v>BS</v>
      </c>
      <c r="DE46" s="45" t="str">
        <f t="shared" si="116"/>
        <v>BS</v>
      </c>
      <c r="DF46" s="45" t="str">
        <f t="shared" si="117"/>
        <v>BS</v>
      </c>
      <c r="DG46" s="45" t="str">
        <f t="shared" si="118"/>
        <v>BS</v>
      </c>
      <c r="DH46" s="45" t="str">
        <f t="shared" si="119"/>
        <v>BS</v>
      </c>
      <c r="DI46" s="45" t="str">
        <f t="shared" si="120"/>
        <v>BS</v>
      </c>
      <c r="DJ46" s="45" t="str">
        <f t="shared" si="121"/>
        <v>BS</v>
      </c>
      <c r="DK46" s="45" t="str">
        <f t="shared" si="78"/>
        <v>BS</v>
      </c>
      <c r="DL46" s="45" t="str">
        <f t="shared" si="122"/>
        <v>BS</v>
      </c>
      <c r="DM46" s="45">
        <f t="shared" si="123"/>
        <v>0.99999999999999989</v>
      </c>
      <c r="DN46" s="45">
        <f t="shared" si="124"/>
        <v>0</v>
      </c>
      <c r="DO46" s="45">
        <f t="shared" si="125"/>
        <v>0</v>
      </c>
      <c r="DP46" s="45">
        <f t="shared" si="126"/>
        <v>0</v>
      </c>
      <c r="DQ46" s="45">
        <f t="shared" si="127"/>
        <v>0</v>
      </c>
      <c r="DR46" s="45">
        <f t="shared" si="128"/>
        <v>0</v>
      </c>
      <c r="DS46" s="45">
        <f t="shared" si="129"/>
        <v>0</v>
      </c>
      <c r="DT46" s="45">
        <f t="shared" si="130"/>
        <v>0</v>
      </c>
      <c r="DU46" s="45">
        <f t="shared" si="131"/>
        <v>0</v>
      </c>
      <c r="DV46" s="45">
        <f t="shared" si="132"/>
        <v>0</v>
      </c>
      <c r="DW46" s="45">
        <f t="shared" si="133"/>
        <v>0</v>
      </c>
      <c r="DX46" s="45">
        <f t="shared" si="134"/>
        <v>0</v>
      </c>
      <c r="DY46" s="182">
        <v>1</v>
      </c>
      <c r="DZ46" s="576">
        <v>1</v>
      </c>
      <c r="EA46" s="575">
        <v>1</v>
      </c>
      <c r="EB46" s="46">
        <v>1</v>
      </c>
      <c r="EC46" s="46">
        <v>1</v>
      </c>
      <c r="ED46" s="46">
        <v>1</v>
      </c>
      <c r="EE46" s="46">
        <v>1</v>
      </c>
      <c r="EF46" s="182">
        <v>1</v>
      </c>
      <c r="EG46" s="576">
        <v>1</v>
      </c>
      <c r="EH46" s="568" t="s">
        <v>1509</v>
      </c>
      <c r="EI46" s="59"/>
      <c r="EJ46" s="59">
        <f t="shared" si="135"/>
        <v>46010</v>
      </c>
      <c r="EK46" s="229"/>
      <c r="EL46" s="229"/>
      <c r="EM46" s="229"/>
      <c r="EN46" s="222"/>
      <c r="EO46" s="222" t="s">
        <v>473</v>
      </c>
      <c r="EP46" s="220"/>
      <c r="EQ46" s="222"/>
      <c r="ER46" s="220"/>
      <c r="ES46" s="220"/>
      <c r="ET46" s="220"/>
      <c r="EU46" s="220"/>
      <c r="EV46" s="220"/>
      <c r="EW46" s="220"/>
      <c r="EX46" s="220"/>
      <c r="EY46" s="220"/>
      <c r="EZ46" s="222" t="s">
        <v>474</v>
      </c>
      <c r="FA46" s="222" t="s">
        <v>475</v>
      </c>
      <c r="FB46" s="220"/>
      <c r="FC46" s="220"/>
      <c r="FD46" s="220"/>
      <c r="FE46" s="220"/>
      <c r="FF46" s="220"/>
      <c r="FG46" s="222"/>
      <c r="FH46" s="220"/>
      <c r="FI46" s="220"/>
      <c r="FJ46" s="220"/>
      <c r="FK46" s="220"/>
      <c r="FL46" s="215"/>
      <c r="FM46" s="172" t="s">
        <v>333</v>
      </c>
      <c r="FN46" s="224" t="s">
        <v>299</v>
      </c>
      <c r="FO46" s="224" t="s">
        <v>300</v>
      </c>
      <c r="FP46" s="172" t="s">
        <v>476</v>
      </c>
      <c r="FQ46" s="172" t="s">
        <v>254</v>
      </c>
      <c r="FR46" s="213" t="s">
        <v>184</v>
      </c>
      <c r="FS46" s="223" t="s">
        <v>477</v>
      </c>
      <c r="FT46" s="213" t="s">
        <v>335</v>
      </c>
      <c r="FU46" s="48">
        <v>6</v>
      </c>
    </row>
    <row r="47" spans="1:177" s="13" customFormat="1" ht="176">
      <c r="A47" s="278" t="s">
        <v>478</v>
      </c>
      <c r="B47" s="48" t="s">
        <v>468</v>
      </c>
      <c r="C47" s="64" t="s">
        <v>206</v>
      </c>
      <c r="D47" s="225" t="s">
        <v>207</v>
      </c>
      <c r="E47" s="63" t="s">
        <v>479</v>
      </c>
      <c r="F47" s="227">
        <v>1</v>
      </c>
      <c r="G47" s="65" t="s">
        <v>480</v>
      </c>
      <c r="H47" s="65" t="s">
        <v>481</v>
      </c>
      <c r="I47" s="222" t="s">
        <v>482</v>
      </c>
      <c r="J47" s="48">
        <v>2024</v>
      </c>
      <c r="K47" s="48">
        <v>2026</v>
      </c>
      <c r="L47" s="48" t="s">
        <v>288</v>
      </c>
      <c r="M47" s="48" t="s">
        <v>173</v>
      </c>
      <c r="N47" s="63" t="s">
        <v>174</v>
      </c>
      <c r="O47" s="66" t="s">
        <v>483</v>
      </c>
      <c r="P47" s="63" t="s">
        <v>458</v>
      </c>
      <c r="Q47" s="48" t="s">
        <v>213</v>
      </c>
      <c r="R47" s="63" t="s">
        <v>484</v>
      </c>
      <c r="S47" s="63" t="str">
        <f t="shared" si="71"/>
        <v>Proses Pengembangan</v>
      </c>
      <c r="T47" s="63" t="str">
        <f t="shared" si="1"/>
        <v>On Progress</v>
      </c>
      <c r="U47" s="63" t="str">
        <f t="shared" si="72"/>
        <v>Rifanda Yulio</v>
      </c>
      <c r="V47" s="67">
        <f t="shared" si="73"/>
        <v>0.61</v>
      </c>
      <c r="W47" s="66" t="s">
        <v>380</v>
      </c>
      <c r="X47" s="59">
        <f t="shared" si="74"/>
        <v>46326</v>
      </c>
      <c r="Y47" s="68" t="s">
        <v>485</v>
      </c>
      <c r="Z47" s="48"/>
      <c r="AA47" s="279"/>
      <c r="AB47" s="48"/>
      <c r="AC47" s="217"/>
      <c r="AD47" s="217"/>
      <c r="AE47" s="42"/>
      <c r="AF47" s="280"/>
      <c r="AG47" s="42">
        <v>45658</v>
      </c>
      <c r="AH47" s="42">
        <v>45868</v>
      </c>
      <c r="AI47" s="42">
        <v>45901</v>
      </c>
      <c r="AJ47" s="42">
        <v>45930</v>
      </c>
      <c r="AK47" s="42">
        <v>45931</v>
      </c>
      <c r="AL47" s="42">
        <v>46111</v>
      </c>
      <c r="AM47" s="42">
        <v>46113</v>
      </c>
      <c r="AN47" s="42">
        <v>46173</v>
      </c>
      <c r="AO47" s="42">
        <v>46174</v>
      </c>
      <c r="AP47" s="42">
        <v>46295</v>
      </c>
      <c r="AQ47" s="59">
        <v>46296</v>
      </c>
      <c r="AR47" s="59">
        <v>46326</v>
      </c>
      <c r="AS47" s="63" t="str">
        <f t="shared" si="79"/>
        <v>Proses Pengembangan</v>
      </c>
      <c r="AT47" s="63" t="str">
        <f t="shared" si="80"/>
        <v>Proses Pengembangan</v>
      </c>
      <c r="AU47" s="63" t="str">
        <f t="shared" si="81"/>
        <v>Selesai Pengembangan</v>
      </c>
      <c r="AV47" s="63" t="str">
        <f t="shared" si="82"/>
        <v>Proses SIT</v>
      </c>
      <c r="AW47" s="63" t="str">
        <f t="shared" si="83"/>
        <v>Proses UAT</v>
      </c>
      <c r="AX47" s="63" t="str">
        <f t="shared" si="84"/>
        <v>Proses UAT</v>
      </c>
      <c r="AY47" s="63" t="str">
        <f t="shared" si="85"/>
        <v>Proses UAT</v>
      </c>
      <c r="AZ47" s="63" t="str">
        <f t="shared" si="86"/>
        <v>Proses UAT</v>
      </c>
      <c r="BA47" s="63" t="str">
        <f t="shared" si="87"/>
        <v>Selesai UAT</v>
      </c>
      <c r="BB47" s="63" t="str">
        <f t="shared" si="88"/>
        <v>Selesai Implementasi</v>
      </c>
      <c r="BC47" s="63" t="str">
        <f t="shared" si="76"/>
        <v>Selesai Implementasi</v>
      </c>
      <c r="BD47" s="63" t="str">
        <f t="shared" si="89"/>
        <v>Selesai Implementasi</v>
      </c>
      <c r="BE47" s="43">
        <v>0.65</v>
      </c>
      <c r="BF47" s="43">
        <v>0.7</v>
      </c>
      <c r="BG47" s="43">
        <v>0.8</v>
      </c>
      <c r="BH47" s="43">
        <v>0.84</v>
      </c>
      <c r="BI47" s="281">
        <v>0.88</v>
      </c>
      <c r="BJ47" s="281">
        <v>0.9</v>
      </c>
      <c r="BK47" s="281">
        <v>0.92</v>
      </c>
      <c r="BL47" s="281">
        <v>0.93</v>
      </c>
      <c r="BM47" s="281">
        <v>0.95</v>
      </c>
      <c r="BN47" s="43">
        <v>1</v>
      </c>
      <c r="BO47" s="43">
        <v>1</v>
      </c>
      <c r="BP47" s="43">
        <v>1</v>
      </c>
      <c r="BQ47" s="63" t="str">
        <f t="shared" si="90"/>
        <v>Proses Pengembangan</v>
      </c>
      <c r="BR47" s="63" t="str">
        <f t="shared" si="91"/>
        <v>Not Started</v>
      </c>
      <c r="BS47" s="63" t="str">
        <f t="shared" si="92"/>
        <v>Not Started</v>
      </c>
      <c r="BT47" s="63" t="str">
        <f t="shared" si="93"/>
        <v>Not Started</v>
      </c>
      <c r="BU47" s="63" t="str">
        <f t="shared" si="94"/>
        <v>Not Started</v>
      </c>
      <c r="BV47" s="63" t="str">
        <f t="shared" si="95"/>
        <v>Not Started</v>
      </c>
      <c r="BW47" s="63" t="str">
        <f t="shared" si="96"/>
        <v>Not Started</v>
      </c>
      <c r="BX47" s="63" t="str">
        <f t="shared" si="97"/>
        <v>Not Started</v>
      </c>
      <c r="BY47" s="63" t="str">
        <f t="shared" si="98"/>
        <v>Not Started</v>
      </c>
      <c r="BZ47" s="63" t="str">
        <f t="shared" si="99"/>
        <v>Not Started</v>
      </c>
      <c r="CA47" s="63" t="str">
        <f t="shared" si="100"/>
        <v>Not Started</v>
      </c>
      <c r="CB47" s="63" t="str">
        <f t="shared" si="101"/>
        <v>Not Started</v>
      </c>
      <c r="CC47" s="44">
        <f t="shared" si="75"/>
        <v>0.61</v>
      </c>
      <c r="CD47" s="44"/>
      <c r="CE47" s="44"/>
      <c r="CF47" s="44"/>
      <c r="CG47" s="44"/>
      <c r="CH47" s="44"/>
      <c r="CI47" s="44"/>
      <c r="CJ47" s="44"/>
      <c r="CK47" s="44"/>
      <c r="CL47" s="44"/>
      <c r="CM47" s="44"/>
      <c r="CN47" s="44"/>
      <c r="CO47" s="45">
        <f t="shared" si="102"/>
        <v>0.93846153846153846</v>
      </c>
      <c r="CP47" s="45">
        <f t="shared" si="103"/>
        <v>0</v>
      </c>
      <c r="CQ47" s="45">
        <f t="shared" si="104"/>
        <v>0</v>
      </c>
      <c r="CR47" s="45">
        <f t="shared" si="105"/>
        <v>0</v>
      </c>
      <c r="CS47" s="45">
        <f t="shared" si="106"/>
        <v>0</v>
      </c>
      <c r="CT47" s="45">
        <f t="shared" si="107"/>
        <v>0</v>
      </c>
      <c r="CU47" s="45">
        <f t="shared" si="108"/>
        <v>0</v>
      </c>
      <c r="CV47" s="45">
        <f t="shared" si="109"/>
        <v>0</v>
      </c>
      <c r="CW47" s="45">
        <f t="shared" si="110"/>
        <v>0</v>
      </c>
      <c r="CX47" s="45">
        <f t="shared" si="111"/>
        <v>0</v>
      </c>
      <c r="CY47" s="45">
        <f t="shared" si="77"/>
        <v>0</v>
      </c>
      <c r="CZ47" s="45"/>
      <c r="DA47" s="45" t="str">
        <f t="shared" si="112"/>
        <v>OS</v>
      </c>
      <c r="DB47" s="45" t="str">
        <f t="shared" si="113"/>
        <v>BS</v>
      </c>
      <c r="DC47" s="45" t="str">
        <f t="shared" si="114"/>
        <v>BS</v>
      </c>
      <c r="DD47" s="45" t="str">
        <f t="shared" si="115"/>
        <v>BS</v>
      </c>
      <c r="DE47" s="45" t="str">
        <f t="shared" si="116"/>
        <v>BS</v>
      </c>
      <c r="DF47" s="45" t="str">
        <f t="shared" si="117"/>
        <v>BS</v>
      </c>
      <c r="DG47" s="45" t="str">
        <f t="shared" si="118"/>
        <v>BS</v>
      </c>
      <c r="DH47" s="45" t="str">
        <f t="shared" si="119"/>
        <v>BS</v>
      </c>
      <c r="DI47" s="45" t="str">
        <f t="shared" si="120"/>
        <v>BS</v>
      </c>
      <c r="DJ47" s="45" t="str">
        <f t="shared" si="121"/>
        <v>BS</v>
      </c>
      <c r="DK47" s="45" t="str">
        <f t="shared" si="78"/>
        <v>BS</v>
      </c>
      <c r="DL47" s="45" t="str">
        <f t="shared" si="122"/>
        <v>BS</v>
      </c>
      <c r="DM47" s="45">
        <f t="shared" si="123"/>
        <v>0.61</v>
      </c>
      <c r="DN47" s="45">
        <f t="shared" si="124"/>
        <v>0</v>
      </c>
      <c r="DO47" s="45">
        <f t="shared" si="125"/>
        <v>0</v>
      </c>
      <c r="DP47" s="45">
        <f t="shared" si="126"/>
        <v>0</v>
      </c>
      <c r="DQ47" s="45">
        <f t="shared" si="127"/>
        <v>0</v>
      </c>
      <c r="DR47" s="45">
        <f t="shared" si="128"/>
        <v>0</v>
      </c>
      <c r="DS47" s="45">
        <f t="shared" si="129"/>
        <v>0</v>
      </c>
      <c r="DT47" s="45">
        <f t="shared" si="130"/>
        <v>0</v>
      </c>
      <c r="DU47" s="45">
        <f t="shared" si="131"/>
        <v>0</v>
      </c>
      <c r="DV47" s="45">
        <f t="shared" si="132"/>
        <v>0</v>
      </c>
      <c r="DW47" s="45">
        <f t="shared" si="133"/>
        <v>0</v>
      </c>
      <c r="DX47" s="45">
        <f t="shared" si="134"/>
        <v>0</v>
      </c>
      <c r="DY47" s="46">
        <v>1</v>
      </c>
      <c r="DZ47" s="183">
        <v>1</v>
      </c>
      <c r="EA47" s="41">
        <v>1</v>
      </c>
      <c r="EB47" s="41">
        <v>1</v>
      </c>
      <c r="EC47" s="41">
        <v>0.9</v>
      </c>
      <c r="ED47" s="41">
        <v>0.5</v>
      </c>
      <c r="EE47" s="41">
        <v>0</v>
      </c>
      <c r="EF47" s="41">
        <v>0</v>
      </c>
      <c r="EG47" s="183">
        <v>0</v>
      </c>
      <c r="EH47" s="184" t="s">
        <v>1493</v>
      </c>
      <c r="EI47" s="59"/>
      <c r="EJ47" s="59">
        <f t="shared" si="135"/>
        <v>46326</v>
      </c>
      <c r="EK47" s="229"/>
      <c r="EL47" s="230"/>
      <c r="EM47" s="230"/>
      <c r="EN47" s="222"/>
      <c r="EO47" s="409"/>
      <c r="EP47" s="282" t="s">
        <v>486</v>
      </c>
      <c r="EQ47" s="222"/>
      <c r="ER47" s="223"/>
      <c r="ES47" s="220"/>
      <c r="ET47" s="222"/>
      <c r="EU47" s="222"/>
      <c r="EV47" s="220"/>
      <c r="EW47" s="220"/>
      <c r="EX47" s="220"/>
      <c r="EY47" s="220"/>
      <c r="EZ47" s="220"/>
      <c r="FA47" s="220"/>
      <c r="FB47" s="220"/>
      <c r="FC47" s="222"/>
      <c r="FD47" s="220"/>
      <c r="FE47" s="220"/>
      <c r="FF47" s="222"/>
      <c r="FG47" s="222"/>
      <c r="FH47" s="220"/>
      <c r="FI47" s="220"/>
      <c r="FJ47" s="220"/>
      <c r="FK47" s="220"/>
      <c r="FL47" s="215"/>
      <c r="FM47" s="172" t="s">
        <v>219</v>
      </c>
      <c r="FN47" s="172" t="s">
        <v>220</v>
      </c>
      <c r="FO47" s="172" t="s">
        <v>221</v>
      </c>
      <c r="FP47" s="172" t="s">
        <v>222</v>
      </c>
      <c r="FQ47" s="172" t="s">
        <v>487</v>
      </c>
      <c r="FR47" s="223" t="s">
        <v>184</v>
      </c>
      <c r="FS47" s="223" t="s">
        <v>488</v>
      </c>
      <c r="FT47" s="213" t="s">
        <v>489</v>
      </c>
      <c r="FU47" s="48">
        <v>6</v>
      </c>
    </row>
    <row r="48" spans="1:177" s="13" customFormat="1" ht="160">
      <c r="A48" s="63" t="s">
        <v>490</v>
      </c>
      <c r="B48" s="48" t="s">
        <v>491</v>
      </c>
      <c r="C48" s="64" t="s">
        <v>206</v>
      </c>
      <c r="D48" s="225" t="s">
        <v>207</v>
      </c>
      <c r="E48" s="63" t="s">
        <v>479</v>
      </c>
      <c r="F48" s="227">
        <f>F47+1</f>
        <v>2</v>
      </c>
      <c r="G48" s="65" t="s">
        <v>480</v>
      </c>
      <c r="H48" s="65" t="s">
        <v>481</v>
      </c>
      <c r="I48" s="65" t="s">
        <v>492</v>
      </c>
      <c r="J48" s="48">
        <v>2028</v>
      </c>
      <c r="K48" s="48">
        <v>2028</v>
      </c>
      <c r="L48" s="48" t="s">
        <v>288</v>
      </c>
      <c r="M48" s="48" t="s">
        <v>173</v>
      </c>
      <c r="N48" s="48" t="s">
        <v>174</v>
      </c>
      <c r="O48" s="283" t="s">
        <v>493</v>
      </c>
      <c r="P48" s="63" t="s">
        <v>494</v>
      </c>
      <c r="Q48" s="48" t="s">
        <v>213</v>
      </c>
      <c r="R48" s="63" t="s">
        <v>495</v>
      </c>
      <c r="S48" s="63" t="str">
        <f t="shared" si="71"/>
        <v>Not Started</v>
      </c>
      <c r="T48" s="63" t="str">
        <f t="shared" si="1"/>
        <v>Not Started</v>
      </c>
      <c r="U48" s="63" t="str">
        <f t="shared" si="72"/>
        <v>Elnestor</v>
      </c>
      <c r="V48" s="67">
        <f t="shared" si="73"/>
        <v>0</v>
      </c>
      <c r="W48" s="66">
        <v>2028</v>
      </c>
      <c r="X48" s="59">
        <f t="shared" si="74"/>
        <v>47208</v>
      </c>
      <c r="Y48" s="68">
        <v>1</v>
      </c>
      <c r="Z48" s="48"/>
      <c r="AA48" s="62">
        <v>46753</v>
      </c>
      <c r="AB48" s="42">
        <v>46843</v>
      </c>
      <c r="AC48" s="42">
        <v>46844</v>
      </c>
      <c r="AD48" s="42">
        <v>46873</v>
      </c>
      <c r="AE48" s="42">
        <v>46844</v>
      </c>
      <c r="AF48" s="42">
        <v>46873</v>
      </c>
      <c r="AG48" s="560"/>
      <c r="AH48" s="560"/>
      <c r="AI48" s="42">
        <v>46874</v>
      </c>
      <c r="AJ48" s="42">
        <v>46904</v>
      </c>
      <c r="AK48" s="42">
        <v>46905</v>
      </c>
      <c r="AL48" s="42">
        <v>47087</v>
      </c>
      <c r="AM48" s="42">
        <v>47088</v>
      </c>
      <c r="AN48" s="42">
        <v>47133</v>
      </c>
      <c r="AO48" s="42">
        <v>47134</v>
      </c>
      <c r="AP48" s="42">
        <v>47177</v>
      </c>
      <c r="AQ48" s="42">
        <v>47178</v>
      </c>
      <c r="AR48" s="42">
        <v>47208</v>
      </c>
      <c r="AS48" s="63" t="str">
        <f t="shared" si="79"/>
        <v>Not Started</v>
      </c>
      <c r="AT48" s="63" t="str">
        <f t="shared" si="80"/>
        <v>Not Started</v>
      </c>
      <c r="AU48" s="63" t="str">
        <f t="shared" si="81"/>
        <v>Not Started</v>
      </c>
      <c r="AV48" s="63" t="str">
        <f t="shared" si="82"/>
        <v>Not Started</v>
      </c>
      <c r="AW48" s="63" t="str">
        <f t="shared" si="83"/>
        <v>Not Started</v>
      </c>
      <c r="AX48" s="63" t="str">
        <f t="shared" si="84"/>
        <v>Not Started</v>
      </c>
      <c r="AY48" s="63" t="str">
        <f t="shared" si="85"/>
        <v>Not Started</v>
      </c>
      <c r="AZ48" s="63" t="str">
        <f t="shared" si="86"/>
        <v>Not Started</v>
      </c>
      <c r="BA48" s="63" t="str">
        <f t="shared" si="87"/>
        <v>Not Started</v>
      </c>
      <c r="BB48" s="63" t="str">
        <f t="shared" si="88"/>
        <v>Not Started</v>
      </c>
      <c r="BC48" s="63" t="str">
        <f t="shared" si="76"/>
        <v>Not Started</v>
      </c>
      <c r="BD48" s="63" t="str">
        <f t="shared" si="89"/>
        <v>Not Started</v>
      </c>
      <c r="BE48" s="43">
        <v>0</v>
      </c>
      <c r="BF48" s="43">
        <v>0</v>
      </c>
      <c r="BG48" s="43">
        <v>0</v>
      </c>
      <c r="BH48" s="43">
        <v>0</v>
      </c>
      <c r="BI48" s="43">
        <v>0</v>
      </c>
      <c r="BJ48" s="43">
        <v>0</v>
      </c>
      <c r="BK48" s="43">
        <v>0</v>
      </c>
      <c r="BL48" s="43">
        <v>0</v>
      </c>
      <c r="BM48" s="43">
        <v>0</v>
      </c>
      <c r="BN48" s="43">
        <v>0</v>
      </c>
      <c r="BO48" s="43">
        <v>0</v>
      </c>
      <c r="BP48" s="43">
        <v>0</v>
      </c>
      <c r="BQ48" s="63" t="str">
        <f t="shared" si="90"/>
        <v>Not Started</v>
      </c>
      <c r="BR48" s="63" t="str">
        <f t="shared" si="91"/>
        <v>Not Started</v>
      </c>
      <c r="BS48" s="63" t="str">
        <f t="shared" si="92"/>
        <v>Not Started</v>
      </c>
      <c r="BT48" s="63" t="str">
        <f t="shared" si="93"/>
        <v>Not Started</v>
      </c>
      <c r="BU48" s="63" t="str">
        <f t="shared" si="94"/>
        <v>Not Started</v>
      </c>
      <c r="BV48" s="63" t="str">
        <f t="shared" si="95"/>
        <v>Not Started</v>
      </c>
      <c r="BW48" s="63" t="str">
        <f t="shared" si="96"/>
        <v>Not Started</v>
      </c>
      <c r="BX48" s="63" t="str">
        <f t="shared" si="97"/>
        <v>Not Started</v>
      </c>
      <c r="BY48" s="63" t="str">
        <f t="shared" si="98"/>
        <v>Not Started</v>
      </c>
      <c r="BZ48" s="63" t="str">
        <f t="shared" si="99"/>
        <v>Proses RBT-RBB</v>
      </c>
      <c r="CA48" s="63" t="str">
        <f t="shared" si="100"/>
        <v>Proses RBT-RBB</v>
      </c>
      <c r="CB48" s="63" t="str">
        <f t="shared" si="101"/>
        <v>Proses RBT-RBB</v>
      </c>
      <c r="CC48" s="44">
        <v>0</v>
      </c>
      <c r="CD48" s="44">
        <v>0</v>
      </c>
      <c r="CE48" s="44">
        <v>0</v>
      </c>
      <c r="CF48" s="44">
        <v>0</v>
      </c>
      <c r="CG48" s="44">
        <v>0</v>
      </c>
      <c r="CH48" s="44"/>
      <c r="CI48" s="44">
        <v>0</v>
      </c>
      <c r="CJ48" s="44"/>
      <c r="CK48" s="44"/>
      <c r="CL48" s="44">
        <v>1.4999999999999999E-2</v>
      </c>
      <c r="CM48" s="44">
        <f t="shared" ref="CM48:CN51" si="136">(($DY48/100%)*15%)+(($DZ48/100%)*5%)+(($EA48/100%)*5%)+(($EB48/100%)*5%)+(($EC48/100%)*15%)+(($ED48/100%)*35%)+(($EE48/100%)*7.5%)+(($EF48/100%)*7.5%)+(($EG48/100%)*5%)</f>
        <v>1.4999999999999999E-2</v>
      </c>
      <c r="CN48" s="44">
        <f t="shared" si="136"/>
        <v>1.4999999999999999E-2</v>
      </c>
      <c r="CO48" s="45">
        <f t="shared" si="102"/>
        <v>1</v>
      </c>
      <c r="CP48" s="45">
        <f t="shared" si="103"/>
        <v>1</v>
      </c>
      <c r="CQ48" s="45">
        <f t="shared" si="104"/>
        <v>1</v>
      </c>
      <c r="CR48" s="45">
        <f t="shared" si="105"/>
        <v>1</v>
      </c>
      <c r="CS48" s="45">
        <f t="shared" si="106"/>
        <v>1</v>
      </c>
      <c r="CT48" s="45">
        <f t="shared" si="107"/>
        <v>1</v>
      </c>
      <c r="CU48" s="45">
        <f t="shared" si="108"/>
        <v>1</v>
      </c>
      <c r="CV48" s="45">
        <f t="shared" si="109"/>
        <v>1</v>
      </c>
      <c r="CW48" s="45">
        <f t="shared" si="110"/>
        <v>1</v>
      </c>
      <c r="CX48" s="45">
        <f t="shared" si="111"/>
        <v>1</v>
      </c>
      <c r="CY48" s="45">
        <f t="shared" si="77"/>
        <v>1</v>
      </c>
      <c r="CZ48" s="45"/>
      <c r="DA48" s="45" t="str">
        <f t="shared" si="112"/>
        <v>NS</v>
      </c>
      <c r="DB48" s="45" t="str">
        <f t="shared" si="113"/>
        <v>NS</v>
      </c>
      <c r="DC48" s="45" t="str">
        <f t="shared" si="114"/>
        <v>NS</v>
      </c>
      <c r="DD48" s="45" t="str">
        <f t="shared" si="115"/>
        <v>NS</v>
      </c>
      <c r="DE48" s="45" t="str">
        <f t="shared" si="116"/>
        <v>NS</v>
      </c>
      <c r="DF48" s="45" t="str">
        <f t="shared" si="117"/>
        <v>NS</v>
      </c>
      <c r="DG48" s="45" t="str">
        <f t="shared" si="118"/>
        <v>NS</v>
      </c>
      <c r="DH48" s="45" t="str">
        <f t="shared" si="119"/>
        <v>NS</v>
      </c>
      <c r="DI48" s="45" t="str">
        <f t="shared" si="120"/>
        <v>NS</v>
      </c>
      <c r="DJ48" s="45" t="str">
        <f t="shared" si="121"/>
        <v>NS</v>
      </c>
      <c r="DK48" s="45" t="str">
        <f t="shared" si="78"/>
        <v>NS</v>
      </c>
      <c r="DL48" s="45" t="str">
        <f t="shared" si="122"/>
        <v>NS</v>
      </c>
      <c r="DM48" s="45" t="e">
        <f t="shared" si="123"/>
        <v>#DIV/0!</v>
      </c>
      <c r="DN48" s="45" t="e">
        <f t="shared" si="124"/>
        <v>#DIV/0!</v>
      </c>
      <c r="DO48" s="45" t="e">
        <f t="shared" si="125"/>
        <v>#DIV/0!</v>
      </c>
      <c r="DP48" s="45" t="e">
        <f t="shared" si="126"/>
        <v>#DIV/0!</v>
      </c>
      <c r="DQ48" s="45" t="e">
        <f t="shared" si="127"/>
        <v>#DIV/0!</v>
      </c>
      <c r="DR48" s="45" t="e">
        <f t="shared" si="128"/>
        <v>#DIV/0!</v>
      </c>
      <c r="DS48" s="45" t="e">
        <f t="shared" si="129"/>
        <v>#DIV/0!</v>
      </c>
      <c r="DT48" s="45" t="e">
        <f t="shared" si="130"/>
        <v>#DIV/0!</v>
      </c>
      <c r="DU48" s="45" t="e">
        <f t="shared" si="131"/>
        <v>#DIV/0!</v>
      </c>
      <c r="DV48" s="45" t="e">
        <f t="shared" si="132"/>
        <v>#DIV/0!</v>
      </c>
      <c r="DW48" s="45" t="e">
        <f t="shared" si="133"/>
        <v>#DIV/0!</v>
      </c>
      <c r="DX48" s="45" t="e">
        <f t="shared" si="134"/>
        <v>#DIV/0!</v>
      </c>
      <c r="DY48" s="41">
        <v>0.1</v>
      </c>
      <c r="DZ48" s="41"/>
      <c r="EA48" s="41"/>
      <c r="EB48" s="41"/>
      <c r="EC48" s="41"/>
      <c r="ED48" s="41"/>
      <c r="EE48" s="41"/>
      <c r="EF48" s="41"/>
      <c r="EG48" s="41"/>
      <c r="EH48" s="47" t="s">
        <v>496</v>
      </c>
      <c r="EI48" s="59"/>
      <c r="EJ48" s="59">
        <f t="shared" si="135"/>
        <v>47208</v>
      </c>
      <c r="EK48" s="229"/>
      <c r="EL48" s="229"/>
      <c r="EM48" s="229"/>
      <c r="EN48" s="222"/>
      <c r="EO48" s="222"/>
      <c r="EP48" s="220"/>
      <c r="EQ48" s="222"/>
      <c r="ER48" s="220"/>
      <c r="ES48" s="220"/>
      <c r="ET48" s="220"/>
      <c r="EU48" s="220"/>
      <c r="EV48" s="220"/>
      <c r="EW48" s="220"/>
      <c r="EX48" s="220"/>
      <c r="EY48" s="220"/>
      <c r="EZ48" s="220"/>
      <c r="FA48" s="220"/>
      <c r="FB48" s="220"/>
      <c r="FC48" s="220"/>
      <c r="FD48" s="220"/>
      <c r="FE48" s="220"/>
      <c r="FF48" s="220"/>
      <c r="FG48" s="222"/>
      <c r="FH48" s="220"/>
      <c r="FI48" s="220"/>
      <c r="FJ48" s="220"/>
      <c r="FK48" s="220"/>
      <c r="FL48" s="215"/>
      <c r="FM48" s="172" t="s">
        <v>219</v>
      </c>
      <c r="FN48" s="172" t="s">
        <v>497</v>
      </c>
      <c r="FO48" s="172" t="s">
        <v>221</v>
      </c>
      <c r="FP48" s="172" t="s">
        <v>222</v>
      </c>
      <c r="FQ48" s="172" t="s">
        <v>450</v>
      </c>
      <c r="FR48" s="223" t="s">
        <v>184</v>
      </c>
      <c r="FS48" s="213" t="s">
        <v>203</v>
      </c>
      <c r="FT48" s="213" t="s">
        <v>498</v>
      </c>
      <c r="FU48" s="48">
        <v>6</v>
      </c>
    </row>
    <row r="49" spans="1:177" s="13" customFormat="1" ht="96">
      <c r="A49" s="63" t="s">
        <v>499</v>
      </c>
      <c r="B49" s="48" t="s">
        <v>205</v>
      </c>
      <c r="C49" s="64" t="s">
        <v>206</v>
      </c>
      <c r="D49" s="225" t="s">
        <v>207</v>
      </c>
      <c r="E49" s="63" t="s">
        <v>479</v>
      </c>
      <c r="F49" s="227">
        <f>F48+1</f>
        <v>3</v>
      </c>
      <c r="G49" s="65" t="s">
        <v>480</v>
      </c>
      <c r="H49" s="65" t="s">
        <v>481</v>
      </c>
      <c r="I49" s="65" t="s">
        <v>500</v>
      </c>
      <c r="J49" s="48">
        <v>2026</v>
      </c>
      <c r="K49" s="48">
        <v>2027</v>
      </c>
      <c r="L49" s="48" t="s">
        <v>288</v>
      </c>
      <c r="M49" s="48" t="s">
        <v>173</v>
      </c>
      <c r="N49" s="48" t="s">
        <v>174</v>
      </c>
      <c r="O49" s="66" t="s">
        <v>501</v>
      </c>
      <c r="P49" s="63" t="s">
        <v>458</v>
      </c>
      <c r="Q49" s="48" t="s">
        <v>213</v>
      </c>
      <c r="R49" s="63" t="s">
        <v>214</v>
      </c>
      <c r="S49" s="63" t="str">
        <f t="shared" si="71"/>
        <v>Not Started</v>
      </c>
      <c r="T49" s="63" t="str">
        <f t="shared" si="1"/>
        <v>Not Started</v>
      </c>
      <c r="U49" s="63" t="str">
        <f t="shared" si="72"/>
        <v>Rifanda Yulio</v>
      </c>
      <c r="V49" s="67">
        <f t="shared" si="73"/>
        <v>0</v>
      </c>
      <c r="W49" s="66" t="s">
        <v>314</v>
      </c>
      <c r="X49" s="59">
        <f t="shared" si="74"/>
        <v>46752</v>
      </c>
      <c r="Y49" s="68">
        <v>0</v>
      </c>
      <c r="Z49" s="48"/>
      <c r="AA49" s="62">
        <v>46143</v>
      </c>
      <c r="AB49" s="42">
        <v>46234</v>
      </c>
      <c r="AC49" s="62">
        <v>46235</v>
      </c>
      <c r="AD49" s="42">
        <v>46265</v>
      </c>
      <c r="AE49" s="62">
        <v>46266</v>
      </c>
      <c r="AF49" s="42">
        <v>46340</v>
      </c>
      <c r="AG49" s="42"/>
      <c r="AH49" s="42"/>
      <c r="AI49" s="42">
        <v>46340</v>
      </c>
      <c r="AJ49" s="42">
        <v>46417</v>
      </c>
      <c r="AK49" s="42">
        <v>46419</v>
      </c>
      <c r="AL49" s="42">
        <v>46568</v>
      </c>
      <c r="AM49" s="42">
        <v>46569</v>
      </c>
      <c r="AN49" s="42">
        <v>46613</v>
      </c>
      <c r="AO49" s="42">
        <v>46614</v>
      </c>
      <c r="AP49" s="42">
        <v>46721</v>
      </c>
      <c r="AQ49" s="42">
        <v>46722</v>
      </c>
      <c r="AR49" s="42">
        <v>46752</v>
      </c>
      <c r="AS49" s="63" t="str">
        <f t="shared" si="79"/>
        <v>Not Started</v>
      </c>
      <c r="AT49" s="63" t="str">
        <f t="shared" si="80"/>
        <v>Not Started</v>
      </c>
      <c r="AU49" s="63" t="str">
        <f t="shared" si="81"/>
        <v>Not Started</v>
      </c>
      <c r="AV49" s="63" t="str">
        <f t="shared" si="82"/>
        <v>Not Started</v>
      </c>
      <c r="AW49" s="63" t="str">
        <f t="shared" si="83"/>
        <v>Selesai RBT-RBB</v>
      </c>
      <c r="AX49" s="63" t="str">
        <f t="shared" si="84"/>
        <v>Selesai RBT-RBL</v>
      </c>
      <c r="AY49" s="63" t="str">
        <f t="shared" si="85"/>
        <v>Selesai RBT-RBTD</v>
      </c>
      <c r="AZ49" s="63" t="str">
        <f t="shared" si="86"/>
        <v>Selesai RPP</v>
      </c>
      <c r="BA49" s="63" t="str">
        <f t="shared" si="87"/>
        <v>Proses KAK</v>
      </c>
      <c r="BB49" s="63" t="str">
        <f t="shared" si="88"/>
        <v>Selesai KAK</v>
      </c>
      <c r="BC49" s="63" t="str">
        <f t="shared" si="76"/>
        <v>Selesai Pengadaan</v>
      </c>
      <c r="BD49" s="63" t="str">
        <f t="shared" si="89"/>
        <v>Proses Desain</v>
      </c>
      <c r="BE49" s="43">
        <v>0</v>
      </c>
      <c r="BF49" s="43">
        <v>0</v>
      </c>
      <c r="BG49" s="43">
        <v>0</v>
      </c>
      <c r="BH49" s="43">
        <v>0</v>
      </c>
      <c r="BI49" s="43">
        <v>0.05</v>
      </c>
      <c r="BJ49" s="43">
        <v>0.1</v>
      </c>
      <c r="BK49" s="43">
        <v>0.15</v>
      </c>
      <c r="BL49" s="43">
        <v>0.2</v>
      </c>
      <c r="BM49" s="43">
        <v>0.22</v>
      </c>
      <c r="BN49" s="43">
        <v>0.25</v>
      </c>
      <c r="BO49" s="43">
        <v>0.3</v>
      </c>
      <c r="BP49" s="43">
        <v>0.35</v>
      </c>
      <c r="BQ49" s="63" t="str">
        <f t="shared" si="90"/>
        <v>Not Started</v>
      </c>
      <c r="BR49" s="63" t="str">
        <f t="shared" si="91"/>
        <v>Not Started</v>
      </c>
      <c r="BS49" s="63" t="str">
        <f t="shared" si="92"/>
        <v>Not Started</v>
      </c>
      <c r="BT49" s="63" t="str">
        <f t="shared" si="93"/>
        <v>Not Started</v>
      </c>
      <c r="BU49" s="63" t="str">
        <f t="shared" si="94"/>
        <v>Not Started</v>
      </c>
      <c r="BV49" s="63" t="str">
        <f t="shared" si="95"/>
        <v>Not Started</v>
      </c>
      <c r="BW49" s="63" t="str">
        <f t="shared" si="96"/>
        <v>Not Started</v>
      </c>
      <c r="BX49" s="63" t="str">
        <f t="shared" si="97"/>
        <v>Not Started</v>
      </c>
      <c r="BY49" s="63" t="str">
        <f t="shared" si="98"/>
        <v>Not Started</v>
      </c>
      <c r="BZ49" s="63" t="str">
        <f t="shared" si="99"/>
        <v>Not Started</v>
      </c>
      <c r="CA49" s="63" t="str">
        <f t="shared" si="100"/>
        <v>Not Started</v>
      </c>
      <c r="CB49" s="63" t="str">
        <f t="shared" si="101"/>
        <v>Not Started</v>
      </c>
      <c r="CC49" s="44">
        <f>(($DY49/100%)*15%)+(($DZ49/100%)*5%)+(($EA49/100%)*5%)+(($EB49/100%)*5%)+(($EC49/100%)*15%)+(($ED49/100%)*35%)+(($EE49/100%)*7.5%)+(($EF49/100%)*7.5%)+(($EG49/100%)*5%)</f>
        <v>0</v>
      </c>
      <c r="CD49" s="44"/>
      <c r="CE49" s="44"/>
      <c r="CF49" s="44"/>
      <c r="CG49" s="44"/>
      <c r="CH49" s="44"/>
      <c r="CI49" s="44"/>
      <c r="CJ49" s="44"/>
      <c r="CK49" s="44"/>
      <c r="CL49" s="44"/>
      <c r="CM49" s="44"/>
      <c r="CN49" s="44"/>
      <c r="CO49" s="45">
        <f t="shared" si="102"/>
        <v>1</v>
      </c>
      <c r="CP49" s="45">
        <f t="shared" si="103"/>
        <v>1</v>
      </c>
      <c r="CQ49" s="45">
        <f t="shared" si="104"/>
        <v>1</v>
      </c>
      <c r="CR49" s="45">
        <f t="shared" si="105"/>
        <v>1</v>
      </c>
      <c r="CS49" s="45">
        <f t="shared" si="106"/>
        <v>0</v>
      </c>
      <c r="CT49" s="45">
        <f t="shared" si="107"/>
        <v>0</v>
      </c>
      <c r="CU49" s="45">
        <f t="shared" si="108"/>
        <v>0</v>
      </c>
      <c r="CV49" s="45">
        <f t="shared" si="109"/>
        <v>0</v>
      </c>
      <c r="CW49" s="45">
        <f t="shared" si="110"/>
        <v>0</v>
      </c>
      <c r="CX49" s="45">
        <f t="shared" si="111"/>
        <v>0</v>
      </c>
      <c r="CY49" s="45">
        <f t="shared" si="77"/>
        <v>0</v>
      </c>
      <c r="CZ49" s="45"/>
      <c r="DA49" s="45" t="str">
        <f t="shared" si="112"/>
        <v>NS</v>
      </c>
      <c r="DB49" s="45" t="str">
        <f t="shared" si="113"/>
        <v>NS</v>
      </c>
      <c r="DC49" s="45" t="str">
        <f t="shared" si="114"/>
        <v>NS</v>
      </c>
      <c r="DD49" s="45" t="str">
        <f t="shared" si="115"/>
        <v>NS</v>
      </c>
      <c r="DE49" s="45" t="str">
        <f t="shared" si="116"/>
        <v>BS</v>
      </c>
      <c r="DF49" s="45" t="str">
        <f t="shared" si="117"/>
        <v>BS</v>
      </c>
      <c r="DG49" s="45" t="str">
        <f t="shared" si="118"/>
        <v>BS</v>
      </c>
      <c r="DH49" s="45" t="str">
        <f t="shared" si="119"/>
        <v>BS</v>
      </c>
      <c r="DI49" s="45" t="str">
        <f t="shared" si="120"/>
        <v>BS</v>
      </c>
      <c r="DJ49" s="45" t="str">
        <f t="shared" si="121"/>
        <v>BS</v>
      </c>
      <c r="DK49" s="45" t="str">
        <f t="shared" si="78"/>
        <v>BS</v>
      </c>
      <c r="DL49" s="45" t="str">
        <f t="shared" si="122"/>
        <v>BS</v>
      </c>
      <c r="DM49" s="45">
        <f t="shared" si="123"/>
        <v>0</v>
      </c>
      <c r="DN49" s="45">
        <f t="shared" si="124"/>
        <v>0</v>
      </c>
      <c r="DO49" s="45">
        <f t="shared" si="125"/>
        <v>0</v>
      </c>
      <c r="DP49" s="45">
        <f t="shared" si="126"/>
        <v>0</v>
      </c>
      <c r="DQ49" s="45">
        <f t="shared" si="127"/>
        <v>0</v>
      </c>
      <c r="DR49" s="45">
        <f t="shared" si="128"/>
        <v>0</v>
      </c>
      <c r="DS49" s="45">
        <f t="shared" si="129"/>
        <v>0</v>
      </c>
      <c r="DT49" s="45">
        <f t="shared" si="130"/>
        <v>0</v>
      </c>
      <c r="DU49" s="45">
        <f t="shared" si="131"/>
        <v>0</v>
      </c>
      <c r="DV49" s="45">
        <f t="shared" si="132"/>
        <v>0</v>
      </c>
      <c r="DW49" s="45">
        <f t="shared" si="133"/>
        <v>0</v>
      </c>
      <c r="DX49" s="45">
        <f t="shared" si="134"/>
        <v>0</v>
      </c>
      <c r="DY49" s="41"/>
      <c r="DZ49" s="41"/>
      <c r="EA49" s="41"/>
      <c r="EB49" s="41"/>
      <c r="EC49" s="41"/>
      <c r="ED49" s="41"/>
      <c r="EE49" s="41"/>
      <c r="EF49" s="41"/>
      <c r="EG49" s="41"/>
      <c r="EH49" s="47" t="s">
        <v>502</v>
      </c>
      <c r="EI49" s="59"/>
      <c r="EJ49" s="59">
        <f t="shared" si="135"/>
        <v>46752</v>
      </c>
      <c r="EK49" s="229"/>
      <c r="EL49" s="229"/>
      <c r="EM49" s="229"/>
      <c r="EN49" s="222"/>
      <c r="EO49" s="222"/>
      <c r="EP49" s="220"/>
      <c r="EQ49" s="222"/>
      <c r="ER49" s="220"/>
      <c r="ES49" s="220"/>
      <c r="ET49" s="220"/>
      <c r="EU49" s="220"/>
      <c r="EV49" s="220"/>
      <c r="EW49" s="220"/>
      <c r="EX49" s="220"/>
      <c r="EY49" s="220"/>
      <c r="EZ49" s="220"/>
      <c r="FA49" s="220"/>
      <c r="FB49" s="220"/>
      <c r="FC49" s="220"/>
      <c r="FD49" s="220"/>
      <c r="FE49" s="220"/>
      <c r="FF49" s="220"/>
      <c r="FG49" s="222"/>
      <c r="FH49" s="220"/>
      <c r="FI49" s="220"/>
      <c r="FJ49" s="220"/>
      <c r="FK49" s="220"/>
      <c r="FL49" s="215"/>
      <c r="FM49" s="172" t="s">
        <v>219</v>
      </c>
      <c r="FN49" s="172" t="s">
        <v>220</v>
      </c>
      <c r="FO49" s="172" t="s">
        <v>221</v>
      </c>
      <c r="FP49" s="172" t="s">
        <v>503</v>
      </c>
      <c r="FQ49" s="172" t="s">
        <v>450</v>
      </c>
      <c r="FR49" s="223"/>
      <c r="FS49" s="223"/>
      <c r="FT49" s="223"/>
      <c r="FU49" s="223"/>
    </row>
    <row r="50" spans="1:177" s="13" customFormat="1" ht="144">
      <c r="A50" s="63" t="s">
        <v>504</v>
      </c>
      <c r="B50" s="48" t="s">
        <v>468</v>
      </c>
      <c r="C50" s="64" t="s">
        <v>206</v>
      </c>
      <c r="D50" s="225" t="s">
        <v>207</v>
      </c>
      <c r="E50" s="63" t="s">
        <v>479</v>
      </c>
      <c r="F50" s="227">
        <f>F49+1</f>
        <v>4</v>
      </c>
      <c r="G50" s="65" t="s">
        <v>480</v>
      </c>
      <c r="H50" s="65" t="s">
        <v>481</v>
      </c>
      <c r="I50" s="65" t="s">
        <v>505</v>
      </c>
      <c r="J50" s="48">
        <v>2026</v>
      </c>
      <c r="K50" s="48">
        <v>2028</v>
      </c>
      <c r="L50" s="48" t="s">
        <v>288</v>
      </c>
      <c r="M50" s="48" t="s">
        <v>173</v>
      </c>
      <c r="N50" s="48" t="s">
        <v>174</v>
      </c>
      <c r="O50" s="66" t="s">
        <v>506</v>
      </c>
      <c r="P50" s="63" t="s">
        <v>458</v>
      </c>
      <c r="Q50" s="48" t="s">
        <v>213</v>
      </c>
      <c r="R50" s="63" t="s">
        <v>214</v>
      </c>
      <c r="S50" s="63" t="str">
        <f t="shared" si="71"/>
        <v>Not Started</v>
      </c>
      <c r="T50" s="63" t="str">
        <f t="shared" si="1"/>
        <v>Not Started</v>
      </c>
      <c r="U50" s="63" t="str">
        <f t="shared" si="72"/>
        <v>Rifanda Yulio</v>
      </c>
      <c r="V50" s="67">
        <f t="shared" si="73"/>
        <v>0</v>
      </c>
      <c r="W50" s="66" t="s">
        <v>237</v>
      </c>
      <c r="X50" s="59">
        <f t="shared" si="74"/>
        <v>46873</v>
      </c>
      <c r="Y50" s="68">
        <v>0</v>
      </c>
      <c r="Z50" s="48"/>
      <c r="AA50" s="62">
        <v>46204</v>
      </c>
      <c r="AB50" s="42">
        <v>46387</v>
      </c>
      <c r="AC50" s="42">
        <v>46388</v>
      </c>
      <c r="AD50" s="42">
        <v>46418</v>
      </c>
      <c r="AE50" s="42">
        <v>46419</v>
      </c>
      <c r="AF50" s="42">
        <v>46446</v>
      </c>
      <c r="AG50" s="42"/>
      <c r="AH50" s="42"/>
      <c r="AI50" s="42">
        <v>46447</v>
      </c>
      <c r="AJ50" s="42">
        <v>46598</v>
      </c>
      <c r="AK50" s="42">
        <v>46600</v>
      </c>
      <c r="AL50" s="42">
        <v>46721</v>
      </c>
      <c r="AM50" s="42">
        <v>46722</v>
      </c>
      <c r="AN50" s="42">
        <v>46783</v>
      </c>
      <c r="AO50" s="42">
        <v>46784</v>
      </c>
      <c r="AP50" s="42">
        <v>46843</v>
      </c>
      <c r="AQ50" s="42">
        <v>46844</v>
      </c>
      <c r="AR50" s="42">
        <v>46873</v>
      </c>
      <c r="AS50" s="63" t="str">
        <f t="shared" si="79"/>
        <v>Not Started</v>
      </c>
      <c r="AT50" s="63" t="str">
        <f t="shared" si="80"/>
        <v>Not Started</v>
      </c>
      <c r="AU50" s="63" t="str">
        <f t="shared" si="81"/>
        <v>Not Started</v>
      </c>
      <c r="AV50" s="63" t="str">
        <f t="shared" si="82"/>
        <v>Not Started</v>
      </c>
      <c r="AW50" s="63" t="str">
        <f t="shared" si="83"/>
        <v>Not Started</v>
      </c>
      <c r="AX50" s="63" t="str">
        <f t="shared" si="84"/>
        <v>Not Started</v>
      </c>
      <c r="AY50" s="63" t="str">
        <f t="shared" si="85"/>
        <v>Proses RBT-RBB</v>
      </c>
      <c r="AZ50" s="63" t="str">
        <f t="shared" si="86"/>
        <v>Proses RBT-RBB</v>
      </c>
      <c r="BA50" s="63" t="str">
        <f t="shared" si="87"/>
        <v>Proses RBT-RBL</v>
      </c>
      <c r="BB50" s="63" t="str">
        <f t="shared" si="88"/>
        <v>Proses RBT-RBL</v>
      </c>
      <c r="BC50" s="63" t="str">
        <f t="shared" si="76"/>
        <v>Selesai RBT-RBL</v>
      </c>
      <c r="BD50" s="63" t="str">
        <f t="shared" si="89"/>
        <v>Proses RBT-RBTD</v>
      </c>
      <c r="BE50" s="43">
        <v>0</v>
      </c>
      <c r="BF50" s="43">
        <v>0</v>
      </c>
      <c r="BG50" s="43">
        <v>0</v>
      </c>
      <c r="BH50" s="43">
        <v>0</v>
      </c>
      <c r="BI50" s="43">
        <v>0</v>
      </c>
      <c r="BJ50" s="43">
        <v>0</v>
      </c>
      <c r="BK50" s="43">
        <v>0.02</v>
      </c>
      <c r="BL50" s="43">
        <v>0.04</v>
      </c>
      <c r="BM50" s="43">
        <v>0.06</v>
      </c>
      <c r="BN50" s="43">
        <v>0.08</v>
      </c>
      <c r="BO50" s="43">
        <v>0.1</v>
      </c>
      <c r="BP50" s="43">
        <v>0.12</v>
      </c>
      <c r="BQ50" s="63" t="str">
        <f t="shared" si="90"/>
        <v>Not Started</v>
      </c>
      <c r="BR50" s="63" t="str">
        <f t="shared" si="91"/>
        <v>Not Started</v>
      </c>
      <c r="BS50" s="63" t="str">
        <f t="shared" si="92"/>
        <v>Not Started</v>
      </c>
      <c r="BT50" s="63" t="str">
        <f t="shared" si="93"/>
        <v>Not Started</v>
      </c>
      <c r="BU50" s="63" t="str">
        <f t="shared" si="94"/>
        <v>Not Started</v>
      </c>
      <c r="BV50" s="63" t="str">
        <f t="shared" si="95"/>
        <v>Not Started</v>
      </c>
      <c r="BW50" s="63" t="str">
        <f t="shared" si="96"/>
        <v>Not Started</v>
      </c>
      <c r="BX50" s="63" t="str">
        <f t="shared" si="97"/>
        <v>Not Started</v>
      </c>
      <c r="BY50" s="63" t="str">
        <f t="shared" si="98"/>
        <v>Not Started</v>
      </c>
      <c r="BZ50" s="63" t="str">
        <f t="shared" si="99"/>
        <v>Not Started</v>
      </c>
      <c r="CA50" s="63" t="str">
        <f t="shared" si="100"/>
        <v>Not Started</v>
      </c>
      <c r="CB50" s="63" t="str">
        <f t="shared" si="101"/>
        <v>Not Started</v>
      </c>
      <c r="CC50" s="44">
        <f>(($DY50/100%)*15%)+(($DZ50/100%)*5%)+(($EA50/100%)*5%)+(($EB50/100%)*5%)+(($EC50/100%)*15%)+(($ED50/100%)*35%)+(($EE50/100%)*7.5%)+(($EF50/100%)*7.5%)+(($EG50/100%)*5%)</f>
        <v>0</v>
      </c>
      <c r="CD50" s="44"/>
      <c r="CE50" s="44"/>
      <c r="CF50" s="44"/>
      <c r="CG50" s="44"/>
      <c r="CH50" s="44"/>
      <c r="CI50" s="44"/>
      <c r="CJ50" s="44"/>
      <c r="CK50" s="44"/>
      <c r="CL50" s="44"/>
      <c r="CM50" s="44"/>
      <c r="CN50" s="44"/>
      <c r="CO50" s="45">
        <f t="shared" si="102"/>
        <v>1</v>
      </c>
      <c r="CP50" s="45">
        <f t="shared" si="103"/>
        <v>1</v>
      </c>
      <c r="CQ50" s="45">
        <f t="shared" si="104"/>
        <v>1</v>
      </c>
      <c r="CR50" s="45">
        <f t="shared" si="105"/>
        <v>1</v>
      </c>
      <c r="CS50" s="45">
        <f t="shared" si="106"/>
        <v>1</v>
      </c>
      <c r="CT50" s="45">
        <f t="shared" si="107"/>
        <v>1</v>
      </c>
      <c r="CU50" s="45">
        <f t="shared" si="108"/>
        <v>0</v>
      </c>
      <c r="CV50" s="45">
        <f t="shared" si="109"/>
        <v>0</v>
      </c>
      <c r="CW50" s="45">
        <f t="shared" si="110"/>
        <v>0</v>
      </c>
      <c r="CX50" s="45">
        <f t="shared" si="111"/>
        <v>0</v>
      </c>
      <c r="CY50" s="45">
        <f t="shared" si="77"/>
        <v>0</v>
      </c>
      <c r="CZ50" s="45"/>
      <c r="DA50" s="45" t="str">
        <f t="shared" si="112"/>
        <v>NS</v>
      </c>
      <c r="DB50" s="45" t="str">
        <f t="shared" si="113"/>
        <v>NS</v>
      </c>
      <c r="DC50" s="45" t="str">
        <f t="shared" si="114"/>
        <v>NS</v>
      </c>
      <c r="DD50" s="45" t="str">
        <f t="shared" si="115"/>
        <v>NS</v>
      </c>
      <c r="DE50" s="45" t="str">
        <f t="shared" si="116"/>
        <v>NS</v>
      </c>
      <c r="DF50" s="45" t="str">
        <f t="shared" si="117"/>
        <v>NS</v>
      </c>
      <c r="DG50" s="45" t="str">
        <f t="shared" si="118"/>
        <v>BS</v>
      </c>
      <c r="DH50" s="45" t="str">
        <f t="shared" si="119"/>
        <v>BS</v>
      </c>
      <c r="DI50" s="45" t="str">
        <f t="shared" si="120"/>
        <v>BS</v>
      </c>
      <c r="DJ50" s="45" t="str">
        <f t="shared" si="121"/>
        <v>BS</v>
      </c>
      <c r="DK50" s="45" t="str">
        <f t="shared" si="78"/>
        <v>BS</v>
      </c>
      <c r="DL50" s="45" t="str">
        <f t="shared" si="122"/>
        <v>BS</v>
      </c>
      <c r="DM50" s="45">
        <f t="shared" si="123"/>
        <v>0</v>
      </c>
      <c r="DN50" s="45">
        <f t="shared" si="124"/>
        <v>0</v>
      </c>
      <c r="DO50" s="45">
        <f t="shared" si="125"/>
        <v>0</v>
      </c>
      <c r="DP50" s="45">
        <f t="shared" si="126"/>
        <v>0</v>
      </c>
      <c r="DQ50" s="45">
        <f t="shared" si="127"/>
        <v>0</v>
      </c>
      <c r="DR50" s="45">
        <f t="shared" si="128"/>
        <v>0</v>
      </c>
      <c r="DS50" s="45">
        <f t="shared" si="129"/>
        <v>0</v>
      </c>
      <c r="DT50" s="45">
        <f t="shared" si="130"/>
        <v>0</v>
      </c>
      <c r="DU50" s="45">
        <f t="shared" si="131"/>
        <v>0</v>
      </c>
      <c r="DV50" s="45">
        <f t="shared" si="132"/>
        <v>0</v>
      </c>
      <c r="DW50" s="45">
        <f t="shared" si="133"/>
        <v>0</v>
      </c>
      <c r="DX50" s="45">
        <f t="shared" si="134"/>
        <v>0</v>
      </c>
      <c r="DY50" s="41"/>
      <c r="DZ50" s="41"/>
      <c r="EA50" s="41"/>
      <c r="EB50" s="41"/>
      <c r="EC50" s="41"/>
      <c r="ED50" s="41"/>
      <c r="EE50" s="41"/>
      <c r="EF50" s="41"/>
      <c r="EG50" s="41"/>
      <c r="EH50" s="47" t="s">
        <v>507</v>
      </c>
      <c r="EI50" s="59"/>
      <c r="EJ50" s="59">
        <f t="shared" si="135"/>
        <v>46873</v>
      </c>
      <c r="EK50" s="229"/>
      <c r="EL50" s="229"/>
      <c r="EM50" s="229"/>
      <c r="EN50" s="222"/>
      <c r="EO50" s="222"/>
      <c r="EP50" s="220"/>
      <c r="EQ50" s="222"/>
      <c r="ER50" s="220"/>
      <c r="ES50" s="220"/>
      <c r="ET50" s="220"/>
      <c r="EU50" s="220"/>
      <c r="EV50" s="220"/>
      <c r="EW50" s="220"/>
      <c r="EX50" s="220"/>
      <c r="EY50" s="220"/>
      <c r="EZ50" s="220"/>
      <c r="FA50" s="220"/>
      <c r="FB50" s="220"/>
      <c r="FC50" s="220"/>
      <c r="FD50" s="220"/>
      <c r="FE50" s="220"/>
      <c r="FF50" s="220"/>
      <c r="FG50" s="222"/>
      <c r="FH50" s="220"/>
      <c r="FI50" s="220"/>
      <c r="FJ50" s="220"/>
      <c r="FK50" s="220"/>
      <c r="FL50" s="215"/>
      <c r="FM50" s="172" t="s">
        <v>219</v>
      </c>
      <c r="FN50" s="172" t="s">
        <v>220</v>
      </c>
      <c r="FO50" s="172" t="s">
        <v>221</v>
      </c>
      <c r="FP50" s="172" t="s">
        <v>222</v>
      </c>
      <c r="FQ50" s="172" t="s">
        <v>450</v>
      </c>
      <c r="FR50" s="223"/>
      <c r="FS50" s="223"/>
      <c r="FT50" s="213" t="s">
        <v>508</v>
      </c>
      <c r="FU50" s="48">
        <v>6</v>
      </c>
    </row>
    <row r="51" spans="1:177" s="13" customFormat="1" ht="144">
      <c r="A51" s="64"/>
      <c r="B51" s="48" t="s">
        <v>468</v>
      </c>
      <c r="C51" s="64" t="s">
        <v>206</v>
      </c>
      <c r="D51" s="225" t="s">
        <v>207</v>
      </c>
      <c r="E51" s="63" t="s">
        <v>479</v>
      </c>
      <c r="F51" s="227">
        <f>F50+1</f>
        <v>5</v>
      </c>
      <c r="G51" s="185" t="s">
        <v>480</v>
      </c>
      <c r="H51" s="65" t="s">
        <v>481</v>
      </c>
      <c r="I51" s="65" t="s">
        <v>509</v>
      </c>
      <c r="J51" s="48">
        <v>2027</v>
      </c>
      <c r="K51" s="48">
        <v>2028</v>
      </c>
      <c r="L51" s="48" t="s">
        <v>288</v>
      </c>
      <c r="M51" s="48" t="s">
        <v>173</v>
      </c>
      <c r="N51" s="48" t="s">
        <v>174</v>
      </c>
      <c r="O51" s="66" t="s">
        <v>510</v>
      </c>
      <c r="P51" s="63" t="s">
        <v>458</v>
      </c>
      <c r="Q51" s="48" t="s">
        <v>213</v>
      </c>
      <c r="R51" s="63" t="s">
        <v>484</v>
      </c>
      <c r="S51" s="63" t="str">
        <f t="shared" si="71"/>
        <v>Not Started</v>
      </c>
      <c r="T51" s="63" t="str">
        <f t="shared" si="1"/>
        <v>Not Started</v>
      </c>
      <c r="U51" s="63" t="str">
        <f t="shared" si="72"/>
        <v>Rifanda Yulio</v>
      </c>
      <c r="V51" s="67">
        <f t="shared" si="73"/>
        <v>0</v>
      </c>
      <c r="W51" s="66">
        <v>2027</v>
      </c>
      <c r="X51" s="59">
        <f t="shared" si="74"/>
        <v>46903</v>
      </c>
      <c r="Y51" s="68"/>
      <c r="Z51" s="48" t="s">
        <v>179</v>
      </c>
      <c r="AA51" s="42">
        <v>46447</v>
      </c>
      <c r="AB51" s="42">
        <v>46538</v>
      </c>
      <c r="AC51" s="42">
        <v>46539</v>
      </c>
      <c r="AD51" s="42">
        <v>46568</v>
      </c>
      <c r="AE51" s="42">
        <v>46539</v>
      </c>
      <c r="AF51" s="42">
        <v>46568</v>
      </c>
      <c r="AG51" s="42"/>
      <c r="AH51" s="42"/>
      <c r="AI51" s="42">
        <v>46569</v>
      </c>
      <c r="AJ51" s="42">
        <v>46599</v>
      </c>
      <c r="AK51" s="42">
        <v>46600</v>
      </c>
      <c r="AL51" s="42">
        <v>46752</v>
      </c>
      <c r="AM51" s="42">
        <v>46753</v>
      </c>
      <c r="AN51" s="42">
        <v>46783</v>
      </c>
      <c r="AO51" s="42">
        <v>46784</v>
      </c>
      <c r="AP51" s="42">
        <v>46873</v>
      </c>
      <c r="AQ51" s="42">
        <v>46874</v>
      </c>
      <c r="AR51" s="42">
        <v>46903</v>
      </c>
      <c r="AS51" s="63" t="str">
        <f t="shared" si="79"/>
        <v>Not Started</v>
      </c>
      <c r="AT51" s="63" t="str">
        <f t="shared" si="80"/>
        <v>Not Started</v>
      </c>
      <c r="AU51" s="63" t="str">
        <f t="shared" si="81"/>
        <v>Not Started</v>
      </c>
      <c r="AV51" s="63" t="str">
        <f t="shared" si="82"/>
        <v>Not Started</v>
      </c>
      <c r="AW51" s="63" t="str">
        <f t="shared" si="83"/>
        <v>Not Started</v>
      </c>
      <c r="AX51" s="63" t="str">
        <f t="shared" si="84"/>
        <v>Not Started</v>
      </c>
      <c r="AY51" s="63" t="str">
        <f t="shared" si="85"/>
        <v>Selesai RBT-RBB</v>
      </c>
      <c r="AZ51" s="63" t="str">
        <f t="shared" si="86"/>
        <v>Selesai RBT-RBL</v>
      </c>
      <c r="BA51" s="63" t="str">
        <f t="shared" si="87"/>
        <v>Selesai RBT-RBTD</v>
      </c>
      <c r="BB51" s="63" t="str">
        <f t="shared" si="88"/>
        <v>Proses Pengadaan</v>
      </c>
      <c r="BC51" s="63" t="str">
        <f t="shared" si="76"/>
        <v>Not Started</v>
      </c>
      <c r="BD51" s="63" t="str">
        <f t="shared" si="89"/>
        <v>Not Started</v>
      </c>
      <c r="BE51" s="43">
        <v>0</v>
      </c>
      <c r="BF51" s="43">
        <v>0</v>
      </c>
      <c r="BG51" s="43">
        <v>0</v>
      </c>
      <c r="BH51" s="43">
        <v>0</v>
      </c>
      <c r="BI51" s="43">
        <v>0</v>
      </c>
      <c r="BJ51" s="43">
        <v>0</v>
      </c>
      <c r="BK51" s="43">
        <v>0.05</v>
      </c>
      <c r="BL51" s="43">
        <v>0.1</v>
      </c>
      <c r="BM51" s="43">
        <v>0.15</v>
      </c>
      <c r="BN51" s="43">
        <v>0.26</v>
      </c>
      <c r="BO51" s="43">
        <v>0</v>
      </c>
      <c r="BP51" s="43">
        <v>0</v>
      </c>
      <c r="BQ51" s="63" t="str">
        <f t="shared" si="90"/>
        <v>Not Started</v>
      </c>
      <c r="BR51" s="63" t="str">
        <f t="shared" si="91"/>
        <v>Not Started</v>
      </c>
      <c r="BS51" s="63" t="str">
        <f t="shared" si="92"/>
        <v>Not Started</v>
      </c>
      <c r="BT51" s="63" t="str">
        <f t="shared" si="93"/>
        <v>Not Started</v>
      </c>
      <c r="BU51" s="63" t="str">
        <f t="shared" si="94"/>
        <v>Not Started</v>
      </c>
      <c r="BV51" s="63" t="str">
        <f t="shared" si="95"/>
        <v>Not Started</v>
      </c>
      <c r="BW51" s="63" t="str">
        <f t="shared" si="96"/>
        <v>Not Started</v>
      </c>
      <c r="BX51" s="63" t="str">
        <f t="shared" si="97"/>
        <v>Not Started</v>
      </c>
      <c r="BY51" s="63" t="str">
        <f t="shared" si="98"/>
        <v>Not Started</v>
      </c>
      <c r="BZ51" s="63" t="str">
        <f t="shared" si="99"/>
        <v>Proses Pengadaan</v>
      </c>
      <c r="CA51" s="63" t="str">
        <f t="shared" si="100"/>
        <v>Proses Pengadaan</v>
      </c>
      <c r="CB51" s="63" t="str">
        <f t="shared" si="101"/>
        <v>Proses Pengadaan</v>
      </c>
      <c r="CC51" s="44"/>
      <c r="CD51" s="44"/>
      <c r="CE51" s="44"/>
      <c r="CF51" s="44"/>
      <c r="CG51" s="44"/>
      <c r="CH51" s="44"/>
      <c r="CI51" s="44"/>
      <c r="CJ51" s="44"/>
      <c r="CK51" s="44"/>
      <c r="CL51" s="44">
        <v>0.255</v>
      </c>
      <c r="CM51" s="44">
        <f t="shared" si="136"/>
        <v>0.255</v>
      </c>
      <c r="CN51" s="44">
        <f t="shared" si="136"/>
        <v>0.255</v>
      </c>
      <c r="CO51" s="45">
        <f t="shared" si="102"/>
        <v>1</v>
      </c>
      <c r="CP51" s="45">
        <f t="shared" si="103"/>
        <v>1</v>
      </c>
      <c r="CQ51" s="45">
        <f t="shared" si="104"/>
        <v>1</v>
      </c>
      <c r="CR51" s="45">
        <f t="shared" si="105"/>
        <v>1</v>
      </c>
      <c r="CS51" s="45">
        <f t="shared" si="106"/>
        <v>1</v>
      </c>
      <c r="CT51" s="45">
        <f t="shared" si="107"/>
        <v>1</v>
      </c>
      <c r="CU51" s="45">
        <f t="shared" si="108"/>
        <v>0</v>
      </c>
      <c r="CV51" s="45">
        <f t="shared" si="109"/>
        <v>0</v>
      </c>
      <c r="CW51" s="45">
        <f t="shared" si="110"/>
        <v>0</v>
      </c>
      <c r="CX51" s="45">
        <f t="shared" si="111"/>
        <v>0.98076923076923073</v>
      </c>
      <c r="CY51" s="45">
        <f t="shared" si="77"/>
        <v>1</v>
      </c>
      <c r="CZ51" s="45"/>
      <c r="DA51" s="45" t="str">
        <f t="shared" si="112"/>
        <v>NS</v>
      </c>
      <c r="DB51" s="45" t="str">
        <f t="shared" si="113"/>
        <v>NS</v>
      </c>
      <c r="DC51" s="45" t="str">
        <f t="shared" si="114"/>
        <v>NS</v>
      </c>
      <c r="DD51" s="45" t="str">
        <f t="shared" si="115"/>
        <v>NS</v>
      </c>
      <c r="DE51" s="45" t="str">
        <f t="shared" si="116"/>
        <v>NS</v>
      </c>
      <c r="DF51" s="45" t="str">
        <f t="shared" si="117"/>
        <v>NS</v>
      </c>
      <c r="DG51" s="45" t="str">
        <f t="shared" si="118"/>
        <v>BS</v>
      </c>
      <c r="DH51" s="45" t="str">
        <f t="shared" si="119"/>
        <v>BS</v>
      </c>
      <c r="DI51" s="45" t="str">
        <f t="shared" si="120"/>
        <v>BS</v>
      </c>
      <c r="DJ51" s="45" t="str">
        <f t="shared" si="121"/>
        <v>OS</v>
      </c>
      <c r="DK51" s="45" t="str">
        <f t="shared" si="78"/>
        <v>NS</v>
      </c>
      <c r="DL51" s="45" t="str">
        <f t="shared" si="122"/>
        <v>NS</v>
      </c>
      <c r="DM51" s="45" t="e">
        <f t="shared" si="123"/>
        <v>#DIV/0!</v>
      </c>
      <c r="DN51" s="45" t="e">
        <f t="shared" si="124"/>
        <v>#DIV/0!</v>
      </c>
      <c r="DO51" s="45" t="e">
        <f t="shared" si="125"/>
        <v>#DIV/0!</v>
      </c>
      <c r="DP51" s="45" t="e">
        <f t="shared" si="126"/>
        <v>#DIV/0!</v>
      </c>
      <c r="DQ51" s="45" t="e">
        <f t="shared" si="127"/>
        <v>#DIV/0!</v>
      </c>
      <c r="DR51" s="45" t="e">
        <f t="shared" si="128"/>
        <v>#DIV/0!</v>
      </c>
      <c r="DS51" s="45" t="e">
        <f t="shared" si="129"/>
        <v>#DIV/0!</v>
      </c>
      <c r="DT51" s="45" t="e">
        <f t="shared" si="130"/>
        <v>#DIV/0!</v>
      </c>
      <c r="DU51" s="45" t="e">
        <f t="shared" si="131"/>
        <v>#DIV/0!</v>
      </c>
      <c r="DV51" s="45" t="e">
        <f t="shared" si="132"/>
        <v>#DIV/0!</v>
      </c>
      <c r="DW51" s="45" t="e">
        <f t="shared" si="133"/>
        <v>#DIV/0!</v>
      </c>
      <c r="DX51" s="45" t="e">
        <f t="shared" si="134"/>
        <v>#DIV/0!</v>
      </c>
      <c r="DY51" s="41">
        <v>1</v>
      </c>
      <c r="DZ51" s="41">
        <v>0.3</v>
      </c>
      <c r="EA51" s="41">
        <v>0.8</v>
      </c>
      <c r="EB51" s="41">
        <v>1</v>
      </c>
      <c r="EC51" s="41"/>
      <c r="ED51" s="41"/>
      <c r="EE51" s="41"/>
      <c r="EF51" s="41"/>
      <c r="EG51" s="41"/>
      <c r="EH51" s="51" t="s">
        <v>511</v>
      </c>
      <c r="EI51" s="59"/>
      <c r="EJ51" s="59">
        <f t="shared" si="135"/>
        <v>46903</v>
      </c>
      <c r="EK51" s="229"/>
      <c r="EL51" s="229"/>
      <c r="EM51" s="229"/>
      <c r="EN51" s="222"/>
      <c r="EO51" s="222"/>
      <c r="EP51" s="220"/>
      <c r="EQ51" s="222"/>
      <c r="ER51" s="220"/>
      <c r="ES51" s="220"/>
      <c r="ET51" s="220"/>
      <c r="EU51" s="220"/>
      <c r="EV51" s="220"/>
      <c r="EW51" s="220"/>
      <c r="EX51" s="220"/>
      <c r="EY51" s="220"/>
      <c r="EZ51" s="220"/>
      <c r="FA51" s="220"/>
      <c r="FB51" s="220"/>
      <c r="FC51" s="220"/>
      <c r="FD51" s="220"/>
      <c r="FE51" s="220"/>
      <c r="FF51" s="220"/>
      <c r="FG51" s="222"/>
      <c r="FH51" s="220"/>
      <c r="FI51" s="220"/>
      <c r="FJ51" s="220"/>
      <c r="FK51" s="220"/>
      <c r="FL51" s="215"/>
      <c r="FM51" s="172" t="s">
        <v>219</v>
      </c>
      <c r="FN51" s="172" t="s">
        <v>220</v>
      </c>
      <c r="FO51" s="172" t="s">
        <v>221</v>
      </c>
      <c r="FP51" s="172" t="s">
        <v>222</v>
      </c>
      <c r="FQ51" s="172" t="s">
        <v>487</v>
      </c>
      <c r="FR51" s="223" t="s">
        <v>184</v>
      </c>
      <c r="FS51" s="223" t="s">
        <v>488</v>
      </c>
      <c r="FT51" s="213" t="s">
        <v>512</v>
      </c>
      <c r="FU51" s="48"/>
    </row>
    <row r="52" spans="1:177" s="13" customFormat="1" ht="144">
      <c r="A52" s="64"/>
      <c r="B52" s="48" t="s">
        <v>468</v>
      </c>
      <c r="C52" s="64" t="s">
        <v>206</v>
      </c>
      <c r="D52" s="225" t="s">
        <v>207</v>
      </c>
      <c r="E52" s="63" t="s">
        <v>479</v>
      </c>
      <c r="F52" s="227">
        <f>F51+1</f>
        <v>6</v>
      </c>
      <c r="G52" s="185" t="s">
        <v>480</v>
      </c>
      <c r="H52" s="65" t="s">
        <v>481</v>
      </c>
      <c r="I52" s="65" t="s">
        <v>513</v>
      </c>
      <c r="J52" s="48">
        <v>2027</v>
      </c>
      <c r="K52" s="48">
        <v>2028</v>
      </c>
      <c r="L52" s="48" t="s">
        <v>288</v>
      </c>
      <c r="M52" s="48" t="s">
        <v>173</v>
      </c>
      <c r="N52" s="48" t="s">
        <v>174</v>
      </c>
      <c r="O52" s="66" t="s">
        <v>514</v>
      </c>
      <c r="P52" s="63" t="s">
        <v>458</v>
      </c>
      <c r="Q52" s="48" t="s">
        <v>213</v>
      </c>
      <c r="R52" s="63" t="s">
        <v>484</v>
      </c>
      <c r="S52" s="63" t="str">
        <f t="shared" si="71"/>
        <v>Not Started</v>
      </c>
      <c r="T52" s="63" t="str">
        <f t="shared" si="1"/>
        <v>Not Started</v>
      </c>
      <c r="U52" s="63" t="str">
        <f t="shared" si="72"/>
        <v>Rifanda Yulio</v>
      </c>
      <c r="V52" s="67">
        <f t="shared" si="73"/>
        <v>0</v>
      </c>
      <c r="W52" s="66">
        <v>2027</v>
      </c>
      <c r="X52" s="59">
        <f t="shared" si="74"/>
        <v>47087</v>
      </c>
      <c r="Y52" s="68"/>
      <c r="Z52" s="48" t="s">
        <v>179</v>
      </c>
      <c r="AA52" s="62">
        <v>46388</v>
      </c>
      <c r="AB52" s="62">
        <v>46476</v>
      </c>
      <c r="AC52" s="62">
        <v>46478</v>
      </c>
      <c r="AD52" s="62">
        <v>46507</v>
      </c>
      <c r="AE52" s="62">
        <v>46631</v>
      </c>
      <c r="AF52" s="62">
        <v>46660</v>
      </c>
      <c r="AG52" s="42"/>
      <c r="AH52" s="42"/>
      <c r="AI52" s="62">
        <v>46661</v>
      </c>
      <c r="AJ52" s="62">
        <v>46690</v>
      </c>
      <c r="AK52" s="62">
        <v>46692</v>
      </c>
      <c r="AL52" s="62">
        <v>46903</v>
      </c>
      <c r="AM52" s="62">
        <v>46905</v>
      </c>
      <c r="AN52" s="62">
        <v>46948</v>
      </c>
      <c r="AO52" s="62">
        <v>46949</v>
      </c>
      <c r="AP52" s="62">
        <v>47056</v>
      </c>
      <c r="AQ52" s="62">
        <v>47058</v>
      </c>
      <c r="AR52" s="62">
        <v>47087</v>
      </c>
      <c r="AS52" s="63" t="str">
        <f t="shared" si="79"/>
        <v>Selesai RBT-RBB</v>
      </c>
      <c r="AT52" s="63" t="str">
        <f t="shared" si="80"/>
        <v>Selesai RBT-RBL</v>
      </c>
      <c r="AU52" s="63" t="str">
        <f t="shared" si="81"/>
        <v>Selesai RBT-RBTD</v>
      </c>
      <c r="AV52" s="63" t="str">
        <f t="shared" si="82"/>
        <v>Selesai RPP</v>
      </c>
      <c r="AW52" s="63" t="str">
        <f t="shared" si="83"/>
        <v>Selesai RPP</v>
      </c>
      <c r="AX52" s="63" t="str">
        <f t="shared" si="84"/>
        <v>Selesai RPP</v>
      </c>
      <c r="AY52" s="63" t="str">
        <f t="shared" si="85"/>
        <v>Selesai RPP</v>
      </c>
      <c r="AZ52" s="63" t="str">
        <f t="shared" si="86"/>
        <v>Selesai RPP</v>
      </c>
      <c r="BA52" s="63" t="str">
        <f t="shared" si="87"/>
        <v>Selesai Pengadaan</v>
      </c>
      <c r="BB52" s="63" t="str">
        <f t="shared" si="88"/>
        <v>Selesai Desain</v>
      </c>
      <c r="BC52" s="63" t="str">
        <f t="shared" si="76"/>
        <v>Proses Pengembangan</v>
      </c>
      <c r="BD52" s="63" t="str">
        <f t="shared" si="89"/>
        <v>Proses Pengembangan</v>
      </c>
      <c r="BE52" s="43">
        <v>0.05</v>
      </c>
      <c r="BF52" s="43">
        <v>0.1</v>
      </c>
      <c r="BG52" s="43">
        <v>0.15</v>
      </c>
      <c r="BH52" s="43">
        <v>0.2</v>
      </c>
      <c r="BI52" s="43">
        <v>0.2</v>
      </c>
      <c r="BJ52" s="43">
        <v>0.2</v>
      </c>
      <c r="BK52" s="43">
        <v>0.2</v>
      </c>
      <c r="BL52" s="43">
        <v>0.2</v>
      </c>
      <c r="BM52" s="43">
        <v>0.3</v>
      </c>
      <c r="BN52" s="43">
        <v>0.45</v>
      </c>
      <c r="BO52" s="43">
        <v>0.5</v>
      </c>
      <c r="BP52" s="43">
        <v>0.55000000000000004</v>
      </c>
      <c r="BQ52" s="63" t="str">
        <f t="shared" si="90"/>
        <v>Not Started</v>
      </c>
      <c r="BR52" s="63" t="str">
        <f t="shared" si="91"/>
        <v>Not Started</v>
      </c>
      <c r="BS52" s="63" t="str">
        <f t="shared" si="92"/>
        <v>Not Started</v>
      </c>
      <c r="BT52" s="63" t="str">
        <f t="shared" si="93"/>
        <v>Not Started</v>
      </c>
      <c r="BU52" s="63" t="str">
        <f t="shared" si="94"/>
        <v>Not Started</v>
      </c>
      <c r="BV52" s="63" t="str">
        <f t="shared" si="95"/>
        <v>Not Started</v>
      </c>
      <c r="BW52" s="63" t="str">
        <f t="shared" si="96"/>
        <v>Not Started</v>
      </c>
      <c r="BX52" s="63" t="str">
        <f t="shared" si="97"/>
        <v>Not Started</v>
      </c>
      <c r="BY52" s="63" t="str">
        <f t="shared" si="98"/>
        <v>Not Started</v>
      </c>
      <c r="BZ52" s="63" t="str">
        <f t="shared" si="99"/>
        <v>Not Started</v>
      </c>
      <c r="CA52" s="63" t="str">
        <f t="shared" si="100"/>
        <v>Not Started</v>
      </c>
      <c r="CB52" s="63" t="str">
        <f t="shared" si="101"/>
        <v>Not Started</v>
      </c>
      <c r="CC52" s="44">
        <f t="shared" ref="CC52:CC67" si="137">(($DY52/100%)*15%)+(($DZ52/100%)*5%)+(($EA52/100%)*5%)+(($EB52/100%)*5%)+(($EC52/100%)*15%)+(($ED52/100%)*35%)+(($EE52/100%)*7.5%)+(($EF52/100%)*7.5%)+(($EG52/100%)*5%)</f>
        <v>0</v>
      </c>
      <c r="CD52" s="44"/>
      <c r="CE52" s="44"/>
      <c r="CF52" s="44"/>
      <c r="CG52" s="44"/>
      <c r="CH52" s="44"/>
      <c r="CI52" s="44"/>
      <c r="CJ52" s="44"/>
      <c r="CK52" s="44"/>
      <c r="CL52" s="44"/>
      <c r="CM52" s="44"/>
      <c r="CN52" s="44"/>
      <c r="CO52" s="45">
        <f t="shared" si="102"/>
        <v>0</v>
      </c>
      <c r="CP52" s="45">
        <f t="shared" si="103"/>
        <v>0</v>
      </c>
      <c r="CQ52" s="45">
        <f t="shared" si="104"/>
        <v>0</v>
      </c>
      <c r="CR52" s="45">
        <f t="shared" si="105"/>
        <v>0</v>
      </c>
      <c r="CS52" s="45">
        <f t="shared" si="106"/>
        <v>0</v>
      </c>
      <c r="CT52" s="45">
        <f t="shared" si="107"/>
        <v>0</v>
      </c>
      <c r="CU52" s="45">
        <f t="shared" si="108"/>
        <v>0</v>
      </c>
      <c r="CV52" s="45">
        <f t="shared" si="109"/>
        <v>0</v>
      </c>
      <c r="CW52" s="45">
        <f t="shared" si="110"/>
        <v>0</v>
      </c>
      <c r="CX52" s="45">
        <f t="shared" si="111"/>
        <v>0</v>
      </c>
      <c r="CY52" s="45">
        <f t="shared" si="77"/>
        <v>0</v>
      </c>
      <c r="CZ52" s="45"/>
      <c r="DA52" s="45" t="str">
        <f t="shared" si="112"/>
        <v>BS</v>
      </c>
      <c r="DB52" s="45" t="str">
        <f t="shared" si="113"/>
        <v>BS</v>
      </c>
      <c r="DC52" s="45" t="str">
        <f t="shared" si="114"/>
        <v>BS</v>
      </c>
      <c r="DD52" s="45" t="str">
        <f t="shared" si="115"/>
        <v>BS</v>
      </c>
      <c r="DE52" s="45" t="str">
        <f t="shared" si="116"/>
        <v>BS</v>
      </c>
      <c r="DF52" s="45" t="str">
        <f t="shared" si="117"/>
        <v>BS</v>
      </c>
      <c r="DG52" s="45" t="str">
        <f t="shared" si="118"/>
        <v>BS</v>
      </c>
      <c r="DH52" s="45" t="str">
        <f t="shared" si="119"/>
        <v>BS</v>
      </c>
      <c r="DI52" s="45" t="str">
        <f t="shared" si="120"/>
        <v>BS</v>
      </c>
      <c r="DJ52" s="45" t="str">
        <f t="shared" si="121"/>
        <v>BS</v>
      </c>
      <c r="DK52" s="45" t="str">
        <f t="shared" si="78"/>
        <v>BS</v>
      </c>
      <c r="DL52" s="45" t="str">
        <f t="shared" si="122"/>
        <v>BS</v>
      </c>
      <c r="DM52" s="45">
        <f t="shared" si="123"/>
        <v>0</v>
      </c>
      <c r="DN52" s="45">
        <f t="shared" si="124"/>
        <v>0</v>
      </c>
      <c r="DO52" s="45">
        <f t="shared" si="125"/>
        <v>0</v>
      </c>
      <c r="DP52" s="45">
        <f t="shared" si="126"/>
        <v>0</v>
      </c>
      <c r="DQ52" s="45">
        <f t="shared" si="127"/>
        <v>0</v>
      </c>
      <c r="DR52" s="45">
        <f t="shared" si="128"/>
        <v>0</v>
      </c>
      <c r="DS52" s="45">
        <f t="shared" si="129"/>
        <v>0</v>
      </c>
      <c r="DT52" s="45">
        <f t="shared" si="130"/>
        <v>0</v>
      </c>
      <c r="DU52" s="45">
        <f t="shared" si="131"/>
        <v>0</v>
      </c>
      <c r="DV52" s="45">
        <f t="shared" si="132"/>
        <v>0</v>
      </c>
      <c r="DW52" s="45">
        <f t="shared" si="133"/>
        <v>0</v>
      </c>
      <c r="DX52" s="45">
        <f t="shared" si="134"/>
        <v>0</v>
      </c>
      <c r="DY52" s="41"/>
      <c r="DZ52" s="41"/>
      <c r="EA52" s="41"/>
      <c r="EB52" s="41"/>
      <c r="EC52" s="41"/>
      <c r="ED52" s="41"/>
      <c r="EE52" s="41"/>
      <c r="EF52" s="41"/>
      <c r="EG52" s="41"/>
      <c r="EH52" s="461" t="s">
        <v>515</v>
      </c>
      <c r="EI52" s="59"/>
      <c r="EJ52" s="59" t="e">
        <f>#REF!</f>
        <v>#REF!</v>
      </c>
      <c r="EK52" s="229"/>
      <c r="EL52" s="229"/>
      <c r="EM52" s="229"/>
      <c r="EN52" s="222"/>
      <c r="EO52" s="222"/>
      <c r="EP52" s="220"/>
      <c r="EQ52" s="222"/>
      <c r="ER52" s="220"/>
      <c r="ES52" s="220"/>
      <c r="ET52" s="220"/>
      <c r="EU52" s="220"/>
      <c r="EV52" s="220"/>
      <c r="EW52" s="220"/>
      <c r="EX52" s="220"/>
      <c r="EY52" s="220"/>
      <c r="EZ52" s="220"/>
      <c r="FA52" s="220"/>
      <c r="FB52" s="220"/>
      <c r="FC52" s="220"/>
      <c r="FD52" s="220"/>
      <c r="FE52" s="220"/>
      <c r="FF52" s="220"/>
      <c r="FG52" s="222"/>
      <c r="FH52" s="220"/>
      <c r="FI52" s="220"/>
      <c r="FJ52" s="220"/>
      <c r="FK52" s="220"/>
      <c r="FL52" s="215"/>
      <c r="FM52" s="172" t="s">
        <v>219</v>
      </c>
      <c r="FN52" s="172" t="s">
        <v>220</v>
      </c>
      <c r="FO52" s="172" t="s">
        <v>221</v>
      </c>
      <c r="FP52" s="172" t="s">
        <v>222</v>
      </c>
      <c r="FQ52" s="172" t="s">
        <v>487</v>
      </c>
      <c r="FR52" s="223"/>
      <c r="FS52" s="223"/>
      <c r="FT52" s="213"/>
      <c r="FU52" s="48"/>
    </row>
    <row r="53" spans="1:177" s="16" customFormat="1" ht="409.5">
      <c r="A53" s="278" t="s">
        <v>516</v>
      </c>
      <c r="B53" s="48" t="s">
        <v>468</v>
      </c>
      <c r="C53" s="64" t="s">
        <v>206</v>
      </c>
      <c r="D53" s="225" t="s">
        <v>207</v>
      </c>
      <c r="E53" s="63" t="s">
        <v>517</v>
      </c>
      <c r="F53" s="279">
        <v>1</v>
      </c>
      <c r="G53" s="65" t="s">
        <v>518</v>
      </c>
      <c r="H53" s="65" t="s">
        <v>519</v>
      </c>
      <c r="I53" s="222" t="s">
        <v>520</v>
      </c>
      <c r="J53" s="48">
        <v>2024</v>
      </c>
      <c r="K53" s="48">
        <v>2026</v>
      </c>
      <c r="L53" s="48" t="s">
        <v>352</v>
      </c>
      <c r="M53" s="48" t="s">
        <v>173</v>
      </c>
      <c r="N53" s="48" t="s">
        <v>174</v>
      </c>
      <c r="O53" s="66" t="s">
        <v>521</v>
      </c>
      <c r="P53" s="63" t="s">
        <v>458</v>
      </c>
      <c r="Q53" s="63" t="s">
        <v>297</v>
      </c>
      <c r="R53" s="63" t="s">
        <v>522</v>
      </c>
      <c r="S53" s="63" t="str">
        <f t="shared" si="71"/>
        <v>Proses Pengembangan</v>
      </c>
      <c r="T53" s="63" t="str">
        <f t="shared" si="1"/>
        <v>On Progress</v>
      </c>
      <c r="U53" s="63" t="str">
        <f t="shared" si="72"/>
        <v>Yolanda Dini</v>
      </c>
      <c r="V53" s="67">
        <f t="shared" si="73"/>
        <v>0.69499999999999995</v>
      </c>
      <c r="W53" s="66" t="s">
        <v>380</v>
      </c>
      <c r="X53" s="59">
        <f t="shared" si="74"/>
        <v>46295</v>
      </c>
      <c r="Y53" s="68" t="s">
        <v>485</v>
      </c>
      <c r="Z53" s="48"/>
      <c r="AA53" s="279"/>
      <c r="AB53" s="48"/>
      <c r="AC53" s="48"/>
      <c r="AD53" s="284"/>
      <c r="AE53" s="48"/>
      <c r="AF53" s="48"/>
      <c r="AG53" s="42">
        <v>45658</v>
      </c>
      <c r="AH53" s="42">
        <v>45810</v>
      </c>
      <c r="AI53" s="42">
        <v>45824</v>
      </c>
      <c r="AJ53" s="42">
        <v>45912</v>
      </c>
      <c r="AK53" s="42">
        <v>45915</v>
      </c>
      <c r="AL53" s="42">
        <v>46124</v>
      </c>
      <c r="AM53" s="42">
        <v>46127</v>
      </c>
      <c r="AN53" s="42">
        <v>46185</v>
      </c>
      <c r="AO53" s="42">
        <v>46188</v>
      </c>
      <c r="AP53" s="42">
        <v>46234</v>
      </c>
      <c r="AQ53" s="42">
        <v>46235</v>
      </c>
      <c r="AR53" s="42">
        <v>46295</v>
      </c>
      <c r="AS53" s="63" t="str">
        <f t="shared" si="79"/>
        <v>Proses Pengembangan</v>
      </c>
      <c r="AT53" s="63" t="str">
        <f t="shared" si="80"/>
        <v>Proses Pengembangan</v>
      </c>
      <c r="AU53" s="63" t="str">
        <f t="shared" si="81"/>
        <v>Proses Pengembangan</v>
      </c>
      <c r="AV53" s="63" t="str">
        <f t="shared" si="82"/>
        <v>Selesai Pengembangan</v>
      </c>
      <c r="AW53" s="63" t="str">
        <f t="shared" si="83"/>
        <v>Proses SIT</v>
      </c>
      <c r="AX53" s="63" t="str">
        <f t="shared" si="84"/>
        <v>Proses UAT</v>
      </c>
      <c r="AY53" s="63" t="str">
        <f t="shared" si="85"/>
        <v>Selesai UAT</v>
      </c>
      <c r="AZ53" s="63" t="str">
        <f t="shared" si="86"/>
        <v>Proses Implementasi</v>
      </c>
      <c r="BA53" s="63" t="str">
        <f t="shared" si="87"/>
        <v>Selesai Implementasi</v>
      </c>
      <c r="BB53" s="63" t="str">
        <f t="shared" si="88"/>
        <v>Selesai Implementasi</v>
      </c>
      <c r="BC53" s="63" t="str">
        <f t="shared" si="76"/>
        <v>Selesai Implementasi</v>
      </c>
      <c r="BD53" s="63" t="str">
        <f t="shared" si="89"/>
        <v>Selesai Implementasi</v>
      </c>
      <c r="BE53" s="43">
        <v>0.6</v>
      </c>
      <c r="BF53" s="43">
        <v>0.66</v>
      </c>
      <c r="BG53" s="43">
        <v>0.73</v>
      </c>
      <c r="BH53" s="43">
        <v>0.8</v>
      </c>
      <c r="BI53" s="43">
        <v>0.85</v>
      </c>
      <c r="BJ53" s="43">
        <v>0.9</v>
      </c>
      <c r="BK53" s="43">
        <v>0.95</v>
      </c>
      <c r="BL53" s="43">
        <v>0.98</v>
      </c>
      <c r="BM53" s="43">
        <v>1</v>
      </c>
      <c r="BN53" s="43">
        <v>1</v>
      </c>
      <c r="BO53" s="43">
        <v>1</v>
      </c>
      <c r="BP53" s="43">
        <v>1</v>
      </c>
      <c r="BQ53" s="63" t="str">
        <f t="shared" si="90"/>
        <v>Proses Pengembangan</v>
      </c>
      <c r="BR53" s="63" t="str">
        <f t="shared" si="91"/>
        <v>Not Started</v>
      </c>
      <c r="BS53" s="63" t="str">
        <f t="shared" si="92"/>
        <v>Not Started</v>
      </c>
      <c r="BT53" s="63" t="str">
        <f t="shared" si="93"/>
        <v>Not Started</v>
      </c>
      <c r="BU53" s="63" t="str">
        <f t="shared" si="94"/>
        <v>Not Started</v>
      </c>
      <c r="BV53" s="63" t="str">
        <f t="shared" si="95"/>
        <v>Not Started</v>
      </c>
      <c r="BW53" s="63" t="str">
        <f t="shared" si="96"/>
        <v>Not Started</v>
      </c>
      <c r="BX53" s="63" t="str">
        <f t="shared" si="97"/>
        <v>Not Started</v>
      </c>
      <c r="BY53" s="63" t="str">
        <f t="shared" si="98"/>
        <v>Not Started</v>
      </c>
      <c r="BZ53" s="63" t="str">
        <f t="shared" si="99"/>
        <v>Not Started</v>
      </c>
      <c r="CA53" s="63" t="str">
        <f t="shared" si="100"/>
        <v>Not Started</v>
      </c>
      <c r="CB53" s="63" t="str">
        <f t="shared" si="101"/>
        <v>Not Started</v>
      </c>
      <c r="CC53" s="44">
        <f t="shared" si="137"/>
        <v>0.69499999999999995</v>
      </c>
      <c r="CD53" s="44"/>
      <c r="CE53" s="44"/>
      <c r="CF53" s="44"/>
      <c r="CG53" s="44"/>
      <c r="CH53" s="44"/>
      <c r="CI53" s="44"/>
      <c r="CJ53" s="44"/>
      <c r="CK53" s="44"/>
      <c r="CL53" s="44"/>
      <c r="CM53" s="44"/>
      <c r="CN53" s="44"/>
      <c r="CO53" s="45">
        <f t="shared" si="102"/>
        <v>1.1583333333333332</v>
      </c>
      <c r="CP53" s="45">
        <f t="shared" si="103"/>
        <v>0</v>
      </c>
      <c r="CQ53" s="45">
        <f t="shared" si="104"/>
        <v>0</v>
      </c>
      <c r="CR53" s="45">
        <f t="shared" si="105"/>
        <v>0</v>
      </c>
      <c r="CS53" s="45">
        <f t="shared" si="106"/>
        <v>0</v>
      </c>
      <c r="CT53" s="45">
        <f t="shared" si="107"/>
        <v>0</v>
      </c>
      <c r="CU53" s="45">
        <f t="shared" si="108"/>
        <v>0</v>
      </c>
      <c r="CV53" s="45">
        <f t="shared" si="109"/>
        <v>0</v>
      </c>
      <c r="CW53" s="45">
        <f t="shared" si="110"/>
        <v>0</v>
      </c>
      <c r="CX53" s="45">
        <f t="shared" si="111"/>
        <v>0</v>
      </c>
      <c r="CY53" s="45">
        <f t="shared" si="77"/>
        <v>0</v>
      </c>
      <c r="CZ53" s="45"/>
      <c r="DA53" s="45" t="str">
        <f t="shared" si="112"/>
        <v>AS</v>
      </c>
      <c r="DB53" s="45" t="str">
        <f t="shared" si="113"/>
        <v>BS</v>
      </c>
      <c r="DC53" s="45" t="str">
        <f t="shared" si="114"/>
        <v>BS</v>
      </c>
      <c r="DD53" s="45" t="str">
        <f t="shared" si="115"/>
        <v>BS</v>
      </c>
      <c r="DE53" s="45" t="str">
        <f t="shared" si="116"/>
        <v>BS</v>
      </c>
      <c r="DF53" s="45" t="str">
        <f t="shared" si="117"/>
        <v>BS</v>
      </c>
      <c r="DG53" s="45" t="str">
        <f t="shared" si="118"/>
        <v>BS</v>
      </c>
      <c r="DH53" s="45" t="str">
        <f t="shared" si="119"/>
        <v>BS</v>
      </c>
      <c r="DI53" s="45" t="str">
        <f t="shared" si="120"/>
        <v>BS</v>
      </c>
      <c r="DJ53" s="45" t="str">
        <f t="shared" si="121"/>
        <v>BS</v>
      </c>
      <c r="DK53" s="45" t="str">
        <f t="shared" si="78"/>
        <v>BS</v>
      </c>
      <c r="DL53" s="45" t="str">
        <f t="shared" si="122"/>
        <v>BS</v>
      </c>
      <c r="DM53" s="45">
        <f t="shared" si="123"/>
        <v>0.69499999999999995</v>
      </c>
      <c r="DN53" s="45">
        <f t="shared" si="124"/>
        <v>0</v>
      </c>
      <c r="DO53" s="45">
        <f t="shared" si="125"/>
        <v>0</v>
      </c>
      <c r="DP53" s="45">
        <f t="shared" si="126"/>
        <v>0</v>
      </c>
      <c r="DQ53" s="45">
        <f t="shared" si="127"/>
        <v>0</v>
      </c>
      <c r="DR53" s="45">
        <f t="shared" si="128"/>
        <v>0</v>
      </c>
      <c r="DS53" s="45">
        <f t="shared" si="129"/>
        <v>0</v>
      </c>
      <c r="DT53" s="45">
        <f t="shared" si="130"/>
        <v>0</v>
      </c>
      <c r="DU53" s="45">
        <f t="shared" si="131"/>
        <v>0</v>
      </c>
      <c r="DV53" s="45">
        <f t="shared" si="132"/>
        <v>0</v>
      </c>
      <c r="DW53" s="45">
        <f t="shared" si="133"/>
        <v>0</v>
      </c>
      <c r="DX53" s="45">
        <f t="shared" si="134"/>
        <v>0</v>
      </c>
      <c r="DY53" s="46">
        <v>1</v>
      </c>
      <c r="DZ53" s="41">
        <v>1</v>
      </c>
      <c r="EA53" s="41">
        <v>1</v>
      </c>
      <c r="EB53" s="41">
        <v>1</v>
      </c>
      <c r="EC53" s="41">
        <v>1</v>
      </c>
      <c r="ED53" s="41">
        <v>0.7</v>
      </c>
      <c r="EE53" s="54"/>
      <c r="EF53" s="54"/>
      <c r="EG53" s="54"/>
      <c r="EH53" s="47" t="s">
        <v>1530</v>
      </c>
      <c r="EI53" s="222"/>
      <c r="EJ53" s="59">
        <f t="shared" ref="EJ53:EJ66" si="138">AR53</f>
        <v>46295</v>
      </c>
      <c r="EK53" s="229"/>
      <c r="EL53" s="59"/>
      <c r="EM53" s="59"/>
      <c r="EN53" s="222"/>
      <c r="EO53" s="222" t="s">
        <v>523</v>
      </c>
      <c r="EP53" s="220"/>
      <c r="EQ53" s="222"/>
      <c r="ER53" s="223"/>
      <c r="ES53" s="220"/>
      <c r="ET53" s="222"/>
      <c r="EU53" s="222"/>
      <c r="EV53" s="220"/>
      <c r="EW53" s="220"/>
      <c r="EX53" s="220"/>
      <c r="EY53" s="220"/>
      <c r="EZ53" s="220"/>
      <c r="FA53" s="222" t="s">
        <v>524</v>
      </c>
      <c r="FB53" s="220"/>
      <c r="FC53" s="222"/>
      <c r="FD53" s="220"/>
      <c r="FE53" s="220"/>
      <c r="FF53" s="222"/>
      <c r="FG53" s="222"/>
      <c r="FH53" s="220"/>
      <c r="FI53" s="220"/>
      <c r="FJ53" s="220"/>
      <c r="FK53" s="220"/>
      <c r="FL53" s="215"/>
      <c r="FM53" s="172" t="s">
        <v>525</v>
      </c>
      <c r="FN53" s="340" t="s">
        <v>315</v>
      </c>
      <c r="FO53" s="224" t="s">
        <v>300</v>
      </c>
      <c r="FP53" s="172" t="s">
        <v>526</v>
      </c>
      <c r="FQ53" s="172" t="s">
        <v>527</v>
      </c>
      <c r="FR53" s="213" t="s">
        <v>184</v>
      </c>
      <c r="FS53" s="223" t="s">
        <v>203</v>
      </c>
      <c r="FT53" s="213" t="s">
        <v>346</v>
      </c>
      <c r="FU53" s="48">
        <v>7</v>
      </c>
    </row>
    <row r="54" spans="1:177" s="16" customFormat="1" ht="409.5">
      <c r="A54" s="278" t="s">
        <v>528</v>
      </c>
      <c r="B54" s="48" t="s">
        <v>468</v>
      </c>
      <c r="C54" s="64" t="s">
        <v>206</v>
      </c>
      <c r="D54" s="225" t="s">
        <v>207</v>
      </c>
      <c r="E54" s="63" t="s">
        <v>529</v>
      </c>
      <c r="F54" s="279">
        <v>1</v>
      </c>
      <c r="G54" s="222" t="s">
        <v>43</v>
      </c>
      <c r="H54" s="222" t="s">
        <v>43</v>
      </c>
      <c r="I54" s="222" t="s">
        <v>530</v>
      </c>
      <c r="J54" s="48">
        <v>2024</v>
      </c>
      <c r="K54" s="48">
        <v>2026</v>
      </c>
      <c r="L54" s="48" t="s">
        <v>288</v>
      </c>
      <c r="M54" s="48" t="s">
        <v>173</v>
      </c>
      <c r="N54" s="48" t="s">
        <v>174</v>
      </c>
      <c r="O54" s="66" t="s">
        <v>521</v>
      </c>
      <c r="P54" s="63" t="s">
        <v>212</v>
      </c>
      <c r="Q54" s="63" t="s">
        <v>297</v>
      </c>
      <c r="R54" s="66" t="s">
        <v>531</v>
      </c>
      <c r="S54" s="63" t="str">
        <f t="shared" si="71"/>
        <v>Proses Pengembangan</v>
      </c>
      <c r="T54" s="63" t="str">
        <f t="shared" si="1"/>
        <v>On Progress</v>
      </c>
      <c r="U54" s="63" t="str">
        <f t="shared" si="72"/>
        <v>Yolanda Dini</v>
      </c>
      <c r="V54" s="67">
        <f t="shared" si="73"/>
        <v>0.73</v>
      </c>
      <c r="W54" s="66" t="s">
        <v>532</v>
      </c>
      <c r="X54" s="59">
        <f t="shared" si="74"/>
        <v>46295</v>
      </c>
      <c r="Y54" s="68" t="s">
        <v>485</v>
      </c>
      <c r="Z54" s="48"/>
      <c r="AA54" s="279"/>
      <c r="AB54" s="48"/>
      <c r="AC54" s="48"/>
      <c r="AD54" s="284"/>
      <c r="AE54" s="48"/>
      <c r="AF54" s="48"/>
      <c r="AG54" s="42">
        <v>45658</v>
      </c>
      <c r="AH54" s="42">
        <v>45810</v>
      </c>
      <c r="AI54" s="42">
        <v>45824</v>
      </c>
      <c r="AJ54" s="42">
        <v>45912</v>
      </c>
      <c r="AK54" s="42">
        <v>45915</v>
      </c>
      <c r="AL54" s="42">
        <v>46124</v>
      </c>
      <c r="AM54" s="42">
        <v>46127</v>
      </c>
      <c r="AN54" s="42">
        <v>46185</v>
      </c>
      <c r="AO54" s="42">
        <v>46188</v>
      </c>
      <c r="AP54" s="42">
        <v>46234</v>
      </c>
      <c r="AQ54" s="42">
        <v>46235</v>
      </c>
      <c r="AR54" s="42">
        <v>46295</v>
      </c>
      <c r="AS54" s="63" t="str">
        <f t="shared" si="79"/>
        <v>Proses Pengembangan</v>
      </c>
      <c r="AT54" s="63" t="str">
        <f t="shared" si="80"/>
        <v>Proses Pengembangan</v>
      </c>
      <c r="AU54" s="63" t="str">
        <f t="shared" si="81"/>
        <v>Proses Pengembangan</v>
      </c>
      <c r="AV54" s="63" t="str">
        <f t="shared" si="82"/>
        <v>Selesai Pengembangan</v>
      </c>
      <c r="AW54" s="63" t="str">
        <f t="shared" si="83"/>
        <v>Proses SIT</v>
      </c>
      <c r="AX54" s="63" t="str">
        <f t="shared" si="84"/>
        <v>Proses UAT</v>
      </c>
      <c r="AY54" s="63" t="str">
        <f t="shared" si="85"/>
        <v>Selesai UAT</v>
      </c>
      <c r="AZ54" s="63" t="str">
        <f t="shared" si="86"/>
        <v>Proses Implementasi</v>
      </c>
      <c r="BA54" s="63" t="str">
        <f t="shared" si="87"/>
        <v>Selesai Implementasi</v>
      </c>
      <c r="BB54" s="63" t="str">
        <f t="shared" si="88"/>
        <v>Selesai Implementasi</v>
      </c>
      <c r="BC54" s="63" t="str">
        <f t="shared" si="76"/>
        <v>Selesai Implementasi</v>
      </c>
      <c r="BD54" s="63" t="str">
        <f t="shared" si="89"/>
        <v>Selesai Implementasi</v>
      </c>
      <c r="BE54" s="43">
        <v>0.6</v>
      </c>
      <c r="BF54" s="43">
        <v>0.66</v>
      </c>
      <c r="BG54" s="43">
        <v>0.73</v>
      </c>
      <c r="BH54" s="43">
        <v>0.8</v>
      </c>
      <c r="BI54" s="43">
        <v>0.85</v>
      </c>
      <c r="BJ54" s="43">
        <v>0.9</v>
      </c>
      <c r="BK54" s="43">
        <v>0.95</v>
      </c>
      <c r="BL54" s="43">
        <v>0.98</v>
      </c>
      <c r="BM54" s="43">
        <v>1</v>
      </c>
      <c r="BN54" s="43">
        <v>1</v>
      </c>
      <c r="BO54" s="43">
        <v>1</v>
      </c>
      <c r="BP54" s="43">
        <v>1</v>
      </c>
      <c r="BQ54" s="63" t="str">
        <f t="shared" si="90"/>
        <v>Proses Pengembangan</v>
      </c>
      <c r="BR54" s="63" t="str">
        <f t="shared" si="91"/>
        <v>Not Started</v>
      </c>
      <c r="BS54" s="63" t="str">
        <f t="shared" si="92"/>
        <v>Not Started</v>
      </c>
      <c r="BT54" s="63" t="str">
        <f t="shared" si="93"/>
        <v>Not Started</v>
      </c>
      <c r="BU54" s="63" t="str">
        <f t="shared" si="94"/>
        <v>Not Started</v>
      </c>
      <c r="BV54" s="63" t="str">
        <f t="shared" si="95"/>
        <v>Not Started</v>
      </c>
      <c r="BW54" s="63" t="str">
        <f t="shared" si="96"/>
        <v>Not Started</v>
      </c>
      <c r="BX54" s="63" t="str">
        <f t="shared" si="97"/>
        <v>Not Started</v>
      </c>
      <c r="BY54" s="63" t="str">
        <f t="shared" si="98"/>
        <v>Not Started</v>
      </c>
      <c r="BZ54" s="63" t="str">
        <f t="shared" si="99"/>
        <v>Not Started</v>
      </c>
      <c r="CA54" s="63" t="str">
        <f t="shared" si="100"/>
        <v>Not Started</v>
      </c>
      <c r="CB54" s="63" t="str">
        <f t="shared" si="101"/>
        <v>Not Started</v>
      </c>
      <c r="CC54" s="44">
        <f t="shared" si="137"/>
        <v>0.73</v>
      </c>
      <c r="CD54" s="44"/>
      <c r="CE54" s="44"/>
      <c r="CF54" s="44"/>
      <c r="CG54" s="44"/>
      <c r="CH54" s="44"/>
      <c r="CI54" s="44"/>
      <c r="CJ54" s="44"/>
      <c r="CK54" s="44"/>
      <c r="CL54" s="44"/>
      <c r="CM54" s="44"/>
      <c r="CN54" s="44"/>
      <c r="CO54" s="45">
        <f t="shared" si="102"/>
        <v>1.2166666666666668</v>
      </c>
      <c r="CP54" s="45">
        <f t="shared" si="103"/>
        <v>0</v>
      </c>
      <c r="CQ54" s="45">
        <f t="shared" si="104"/>
        <v>0</v>
      </c>
      <c r="CR54" s="45">
        <f t="shared" si="105"/>
        <v>0</v>
      </c>
      <c r="CS54" s="45">
        <f t="shared" si="106"/>
        <v>0</v>
      </c>
      <c r="CT54" s="45">
        <f t="shared" si="107"/>
        <v>0</v>
      </c>
      <c r="CU54" s="45">
        <f t="shared" si="108"/>
        <v>0</v>
      </c>
      <c r="CV54" s="45">
        <f t="shared" si="109"/>
        <v>0</v>
      </c>
      <c r="CW54" s="45">
        <f t="shared" si="110"/>
        <v>0</v>
      </c>
      <c r="CX54" s="45">
        <f t="shared" si="111"/>
        <v>0</v>
      </c>
      <c r="CY54" s="45">
        <f t="shared" si="77"/>
        <v>0</v>
      </c>
      <c r="CZ54" s="45"/>
      <c r="DA54" s="45" t="str">
        <f t="shared" si="112"/>
        <v>AS</v>
      </c>
      <c r="DB54" s="45" t="str">
        <f t="shared" si="113"/>
        <v>BS</v>
      </c>
      <c r="DC54" s="45" t="str">
        <f t="shared" si="114"/>
        <v>BS</v>
      </c>
      <c r="DD54" s="45" t="str">
        <f t="shared" si="115"/>
        <v>BS</v>
      </c>
      <c r="DE54" s="45" t="str">
        <f t="shared" si="116"/>
        <v>BS</v>
      </c>
      <c r="DF54" s="45" t="str">
        <f t="shared" si="117"/>
        <v>BS</v>
      </c>
      <c r="DG54" s="45" t="str">
        <f t="shared" si="118"/>
        <v>BS</v>
      </c>
      <c r="DH54" s="45" t="str">
        <f t="shared" si="119"/>
        <v>BS</v>
      </c>
      <c r="DI54" s="45" t="str">
        <f t="shared" si="120"/>
        <v>BS</v>
      </c>
      <c r="DJ54" s="45" t="str">
        <f t="shared" si="121"/>
        <v>BS</v>
      </c>
      <c r="DK54" s="45" t="str">
        <f t="shared" si="78"/>
        <v>BS</v>
      </c>
      <c r="DL54" s="45" t="str">
        <f t="shared" si="122"/>
        <v>BS</v>
      </c>
      <c r="DM54" s="45">
        <f t="shared" si="123"/>
        <v>0.73</v>
      </c>
      <c r="DN54" s="45">
        <f t="shared" si="124"/>
        <v>0</v>
      </c>
      <c r="DO54" s="45">
        <f t="shared" si="125"/>
        <v>0</v>
      </c>
      <c r="DP54" s="45">
        <f t="shared" si="126"/>
        <v>0</v>
      </c>
      <c r="DQ54" s="45">
        <f t="shared" si="127"/>
        <v>0</v>
      </c>
      <c r="DR54" s="45">
        <f t="shared" si="128"/>
        <v>0</v>
      </c>
      <c r="DS54" s="45">
        <f t="shared" si="129"/>
        <v>0</v>
      </c>
      <c r="DT54" s="45">
        <f t="shared" si="130"/>
        <v>0</v>
      </c>
      <c r="DU54" s="45">
        <f t="shared" si="131"/>
        <v>0</v>
      </c>
      <c r="DV54" s="45">
        <f t="shared" si="132"/>
        <v>0</v>
      </c>
      <c r="DW54" s="45">
        <f t="shared" si="133"/>
        <v>0</v>
      </c>
      <c r="DX54" s="45">
        <f t="shared" si="134"/>
        <v>0</v>
      </c>
      <c r="DY54" s="41">
        <v>1</v>
      </c>
      <c r="DZ54" s="41">
        <v>1</v>
      </c>
      <c r="EA54" s="41">
        <v>1</v>
      </c>
      <c r="EB54" s="41">
        <v>1</v>
      </c>
      <c r="EC54" s="41">
        <v>1</v>
      </c>
      <c r="ED54" s="41">
        <v>0.8</v>
      </c>
      <c r="EE54" s="54"/>
      <c r="EF54" s="54"/>
      <c r="EG54" s="54"/>
      <c r="EH54" s="47" t="s">
        <v>1529</v>
      </c>
      <c r="EI54" s="222"/>
      <c r="EJ54" s="59">
        <f t="shared" si="138"/>
        <v>46295</v>
      </c>
      <c r="EK54" s="229"/>
      <c r="EL54" s="59"/>
      <c r="EM54" s="59"/>
      <c r="EN54" s="222"/>
      <c r="EO54" s="222" t="s">
        <v>523</v>
      </c>
      <c r="EP54" s="220"/>
      <c r="EQ54" s="222"/>
      <c r="ER54" s="223"/>
      <c r="ES54" s="220"/>
      <c r="ET54" s="222"/>
      <c r="EU54" s="222"/>
      <c r="EV54" s="220"/>
      <c r="EW54" s="220"/>
      <c r="EX54" s="220"/>
      <c r="EY54" s="220"/>
      <c r="EZ54" s="220"/>
      <c r="FA54" s="222" t="s">
        <v>524</v>
      </c>
      <c r="FB54" s="220"/>
      <c r="FC54" s="222"/>
      <c r="FD54" s="220"/>
      <c r="FE54" s="220"/>
      <c r="FF54" s="222"/>
      <c r="FG54" s="222"/>
      <c r="FH54" s="220"/>
      <c r="FI54" s="220"/>
      <c r="FJ54" s="220"/>
      <c r="FK54" s="220"/>
      <c r="FL54" s="215"/>
      <c r="FM54" s="172" t="s">
        <v>525</v>
      </c>
      <c r="FN54" s="340" t="s">
        <v>315</v>
      </c>
      <c r="FO54" s="224" t="s">
        <v>300</v>
      </c>
      <c r="FP54" s="172" t="s">
        <v>533</v>
      </c>
      <c r="FQ54" s="172" t="s">
        <v>223</v>
      </c>
      <c r="FR54" s="213" t="s">
        <v>184</v>
      </c>
      <c r="FS54" s="223" t="s">
        <v>203</v>
      </c>
      <c r="FT54" s="213" t="s">
        <v>346</v>
      </c>
      <c r="FU54" s="48">
        <v>7</v>
      </c>
    </row>
    <row r="55" spans="1:177" s="16" customFormat="1" ht="240">
      <c r="A55" s="278" t="s">
        <v>534</v>
      </c>
      <c r="B55" s="48" t="s">
        <v>468</v>
      </c>
      <c r="C55" s="64" t="s">
        <v>206</v>
      </c>
      <c r="D55" s="225" t="s">
        <v>207</v>
      </c>
      <c r="E55" s="63" t="s">
        <v>529</v>
      </c>
      <c r="F55" s="279">
        <f>F54+1</f>
        <v>2</v>
      </c>
      <c r="G55" s="222" t="s">
        <v>43</v>
      </c>
      <c r="H55" s="222" t="s">
        <v>43</v>
      </c>
      <c r="I55" s="65" t="s">
        <v>535</v>
      </c>
      <c r="J55" s="48">
        <v>2024</v>
      </c>
      <c r="K55" s="48">
        <v>2027</v>
      </c>
      <c r="L55" s="48" t="s">
        <v>288</v>
      </c>
      <c r="M55" s="48" t="s">
        <v>173</v>
      </c>
      <c r="N55" s="48" t="s">
        <v>174</v>
      </c>
      <c r="O55" s="66" t="s">
        <v>521</v>
      </c>
      <c r="P55" s="63" t="s">
        <v>212</v>
      </c>
      <c r="Q55" s="63" t="s">
        <v>297</v>
      </c>
      <c r="R55" s="63" t="s">
        <v>44</v>
      </c>
      <c r="S55" s="63" t="str">
        <f t="shared" si="71"/>
        <v>Selesai Pengadaan</v>
      </c>
      <c r="T55" s="63" t="str">
        <f t="shared" si="1"/>
        <v>On Progress</v>
      </c>
      <c r="U55" s="63" t="str">
        <f t="shared" si="72"/>
        <v>Yolanda Dini</v>
      </c>
      <c r="V55" s="67">
        <f t="shared" si="73"/>
        <v>0.3</v>
      </c>
      <c r="W55" s="66" t="s">
        <v>380</v>
      </c>
      <c r="X55" s="59">
        <f t="shared" si="74"/>
        <v>46660</v>
      </c>
      <c r="Y55" s="68" t="s">
        <v>485</v>
      </c>
      <c r="Z55" s="48"/>
      <c r="AA55" s="279"/>
      <c r="AB55" s="48"/>
      <c r="AC55" s="48"/>
      <c r="AD55" s="48"/>
      <c r="AE55" s="48"/>
      <c r="AF55" s="48"/>
      <c r="AG55" s="42">
        <v>45658</v>
      </c>
      <c r="AH55" s="42">
        <v>45747</v>
      </c>
      <c r="AI55" s="42">
        <v>46296</v>
      </c>
      <c r="AJ55" s="42">
        <v>46340</v>
      </c>
      <c r="AK55" s="42">
        <v>46341</v>
      </c>
      <c r="AL55" s="42">
        <v>46491</v>
      </c>
      <c r="AM55" s="42">
        <v>46492</v>
      </c>
      <c r="AN55" s="42">
        <v>46552</v>
      </c>
      <c r="AO55" s="42">
        <v>46553</v>
      </c>
      <c r="AP55" s="42">
        <v>46598</v>
      </c>
      <c r="AQ55" s="42">
        <v>46600</v>
      </c>
      <c r="AR55" s="42">
        <v>46660</v>
      </c>
      <c r="AS55" s="63" t="str">
        <f t="shared" si="79"/>
        <v>Selesai Pengadaan</v>
      </c>
      <c r="AT55" s="63" t="str">
        <f t="shared" si="80"/>
        <v>Selesai Pengadaan</v>
      </c>
      <c r="AU55" s="63" t="str">
        <f t="shared" si="81"/>
        <v>Selesai Pengadaan</v>
      </c>
      <c r="AV55" s="63" t="str">
        <f t="shared" si="82"/>
        <v>Selesai Pengadaan</v>
      </c>
      <c r="AW55" s="63" t="str">
        <f t="shared" si="83"/>
        <v>Selesai Pengadaan</v>
      </c>
      <c r="AX55" s="63" t="str">
        <f t="shared" si="84"/>
        <v>Selesai Pengadaan</v>
      </c>
      <c r="AY55" s="63" t="str">
        <f t="shared" si="85"/>
        <v>Selesai Pengadaan</v>
      </c>
      <c r="AZ55" s="63" t="str">
        <f t="shared" si="86"/>
        <v>Selesai Pengadaan</v>
      </c>
      <c r="BA55" s="63" t="str">
        <f t="shared" si="87"/>
        <v>Selesai Pengadaan</v>
      </c>
      <c r="BB55" s="63" t="str">
        <f t="shared" si="88"/>
        <v>Proses Desain</v>
      </c>
      <c r="BC55" s="63" t="str">
        <f t="shared" si="76"/>
        <v>Selesai Desain</v>
      </c>
      <c r="BD55" s="63" t="str">
        <f t="shared" si="89"/>
        <v>Proses Pengembangan</v>
      </c>
      <c r="BE55" s="43">
        <v>0.3</v>
      </c>
      <c r="BF55" s="43">
        <v>0.3</v>
      </c>
      <c r="BG55" s="43">
        <v>0.3</v>
      </c>
      <c r="BH55" s="43">
        <v>0.3</v>
      </c>
      <c r="BI55" s="43">
        <v>0.3</v>
      </c>
      <c r="BJ55" s="43">
        <v>0.3</v>
      </c>
      <c r="BK55" s="43">
        <v>0.3</v>
      </c>
      <c r="BL55" s="43">
        <v>0.3</v>
      </c>
      <c r="BM55" s="43">
        <v>0.3</v>
      </c>
      <c r="BN55" s="43">
        <v>0.37</v>
      </c>
      <c r="BO55" s="43">
        <v>0.45</v>
      </c>
      <c r="BP55" s="43">
        <v>0.52</v>
      </c>
      <c r="BQ55" s="63" t="str">
        <f t="shared" si="90"/>
        <v>Selesai Pengadaan</v>
      </c>
      <c r="BR55" s="63" t="str">
        <f t="shared" si="91"/>
        <v>Not Started</v>
      </c>
      <c r="BS55" s="63" t="str">
        <f t="shared" si="92"/>
        <v>Not Started</v>
      </c>
      <c r="BT55" s="63" t="str">
        <f t="shared" si="93"/>
        <v>Not Started</v>
      </c>
      <c r="BU55" s="63" t="str">
        <f t="shared" si="94"/>
        <v>Not Started</v>
      </c>
      <c r="BV55" s="63" t="str">
        <f t="shared" si="95"/>
        <v>Not Started</v>
      </c>
      <c r="BW55" s="63" t="str">
        <f t="shared" si="96"/>
        <v>Not Started</v>
      </c>
      <c r="BX55" s="63" t="str">
        <f t="shared" si="97"/>
        <v>Not Started</v>
      </c>
      <c r="BY55" s="63" t="str">
        <f t="shared" si="98"/>
        <v>Not Started</v>
      </c>
      <c r="BZ55" s="63" t="str">
        <f t="shared" si="99"/>
        <v>Not Started</v>
      </c>
      <c r="CA55" s="63" t="str">
        <f t="shared" si="100"/>
        <v>Not Started</v>
      </c>
      <c r="CB55" s="63" t="str">
        <f t="shared" si="101"/>
        <v>Not Started</v>
      </c>
      <c r="CC55" s="44">
        <f t="shared" si="137"/>
        <v>0.3</v>
      </c>
      <c r="CD55" s="44"/>
      <c r="CE55" s="44"/>
      <c r="CF55" s="44"/>
      <c r="CG55" s="44"/>
      <c r="CH55" s="44"/>
      <c r="CI55" s="44"/>
      <c r="CJ55" s="44"/>
      <c r="CK55" s="44"/>
      <c r="CL55" s="44"/>
      <c r="CM55" s="44"/>
      <c r="CN55" s="44"/>
      <c r="CO55" s="45">
        <f t="shared" si="102"/>
        <v>1</v>
      </c>
      <c r="CP55" s="45">
        <f t="shared" si="103"/>
        <v>0</v>
      </c>
      <c r="CQ55" s="45">
        <f t="shared" si="104"/>
        <v>0</v>
      </c>
      <c r="CR55" s="45">
        <f t="shared" si="105"/>
        <v>0</v>
      </c>
      <c r="CS55" s="45">
        <f t="shared" si="106"/>
        <v>0</v>
      </c>
      <c r="CT55" s="45">
        <f t="shared" si="107"/>
        <v>0</v>
      </c>
      <c r="CU55" s="45">
        <f t="shared" si="108"/>
        <v>0</v>
      </c>
      <c r="CV55" s="45">
        <f t="shared" si="109"/>
        <v>0</v>
      </c>
      <c r="CW55" s="45">
        <f t="shared" si="110"/>
        <v>0</v>
      </c>
      <c r="CX55" s="45">
        <f t="shared" si="111"/>
        <v>0</v>
      </c>
      <c r="CY55" s="45">
        <f t="shared" si="77"/>
        <v>0</v>
      </c>
      <c r="CZ55" s="45"/>
      <c r="DA55" s="45" t="str">
        <f t="shared" si="112"/>
        <v>OS</v>
      </c>
      <c r="DB55" s="45" t="str">
        <f t="shared" si="113"/>
        <v>BS</v>
      </c>
      <c r="DC55" s="45" t="str">
        <f t="shared" si="114"/>
        <v>BS</v>
      </c>
      <c r="DD55" s="45" t="str">
        <f t="shared" si="115"/>
        <v>BS</v>
      </c>
      <c r="DE55" s="45" t="str">
        <f t="shared" si="116"/>
        <v>BS</v>
      </c>
      <c r="DF55" s="45" t="str">
        <f t="shared" si="117"/>
        <v>BS</v>
      </c>
      <c r="DG55" s="45" t="str">
        <f t="shared" si="118"/>
        <v>BS</v>
      </c>
      <c r="DH55" s="45" t="str">
        <f t="shared" si="119"/>
        <v>BS</v>
      </c>
      <c r="DI55" s="45" t="str">
        <f t="shared" si="120"/>
        <v>BS</v>
      </c>
      <c r="DJ55" s="45" t="str">
        <f t="shared" si="121"/>
        <v>BS</v>
      </c>
      <c r="DK55" s="45" t="str">
        <f t="shared" si="78"/>
        <v>BS</v>
      </c>
      <c r="DL55" s="45" t="str">
        <f t="shared" si="122"/>
        <v>BS</v>
      </c>
      <c r="DM55" s="45">
        <f t="shared" si="123"/>
        <v>0.57692307692307687</v>
      </c>
      <c r="DN55" s="45">
        <f t="shared" si="124"/>
        <v>0</v>
      </c>
      <c r="DO55" s="45">
        <f t="shared" si="125"/>
        <v>0</v>
      </c>
      <c r="DP55" s="45">
        <f t="shared" si="126"/>
        <v>0</v>
      </c>
      <c r="DQ55" s="45">
        <f t="shared" si="127"/>
        <v>0</v>
      </c>
      <c r="DR55" s="45">
        <f t="shared" si="128"/>
        <v>0</v>
      </c>
      <c r="DS55" s="45">
        <f t="shared" si="129"/>
        <v>0</v>
      </c>
      <c r="DT55" s="45">
        <f t="shared" si="130"/>
        <v>0</v>
      </c>
      <c r="DU55" s="45">
        <f t="shared" si="131"/>
        <v>0</v>
      </c>
      <c r="DV55" s="45">
        <f t="shared" si="132"/>
        <v>0</v>
      </c>
      <c r="DW55" s="45">
        <f t="shared" si="133"/>
        <v>0</v>
      </c>
      <c r="DX55" s="45">
        <f t="shared" si="134"/>
        <v>0</v>
      </c>
      <c r="DY55" s="41">
        <v>1</v>
      </c>
      <c r="DZ55" s="41">
        <v>1</v>
      </c>
      <c r="EA55" s="41">
        <v>1</v>
      </c>
      <c r="EB55" s="41">
        <v>1</v>
      </c>
      <c r="EC55" s="54"/>
      <c r="ED55" s="54"/>
      <c r="EE55" s="54"/>
      <c r="EF55" s="54"/>
      <c r="EG55" s="54"/>
      <c r="EH55" s="57" t="s">
        <v>536</v>
      </c>
      <c r="EI55" s="222"/>
      <c r="EJ55" s="59">
        <f t="shared" si="138"/>
        <v>46660</v>
      </c>
      <c r="EK55" s="229"/>
      <c r="EL55" s="59"/>
      <c r="EM55" s="59"/>
      <c r="EN55" s="222"/>
      <c r="EO55" s="222" t="s">
        <v>523</v>
      </c>
      <c r="EP55" s="220"/>
      <c r="EQ55" s="222"/>
      <c r="ER55" s="223"/>
      <c r="ES55" s="220"/>
      <c r="ET55" s="222"/>
      <c r="EU55" s="222"/>
      <c r="EV55" s="220"/>
      <c r="EW55" s="220"/>
      <c r="EX55" s="220"/>
      <c r="EY55" s="220"/>
      <c r="EZ55" s="220"/>
      <c r="FA55" s="222" t="s">
        <v>524</v>
      </c>
      <c r="FB55" s="220"/>
      <c r="FC55" s="222"/>
      <c r="FD55" s="220"/>
      <c r="FE55" s="220"/>
      <c r="FF55" s="222"/>
      <c r="FG55" s="222"/>
      <c r="FH55" s="220"/>
      <c r="FI55" s="220"/>
      <c r="FJ55" s="220"/>
      <c r="FK55" s="220"/>
      <c r="FL55" s="215"/>
      <c r="FM55" s="172" t="s">
        <v>525</v>
      </c>
      <c r="FN55" s="340" t="s">
        <v>315</v>
      </c>
      <c r="FO55" s="224" t="s">
        <v>300</v>
      </c>
      <c r="FP55" s="172" t="s">
        <v>533</v>
      </c>
      <c r="FQ55" s="172" t="s">
        <v>527</v>
      </c>
      <c r="FR55" s="213" t="s">
        <v>184</v>
      </c>
      <c r="FS55" s="223" t="s">
        <v>203</v>
      </c>
      <c r="FT55" s="213" t="s">
        <v>346</v>
      </c>
      <c r="FU55" s="48">
        <v>3</v>
      </c>
    </row>
    <row r="56" spans="1:177" s="16" customFormat="1" ht="208">
      <c r="A56" s="64" t="s">
        <v>537</v>
      </c>
      <c r="B56" s="48" t="s">
        <v>538</v>
      </c>
      <c r="C56" s="64" t="s">
        <v>206</v>
      </c>
      <c r="D56" s="225" t="s">
        <v>207</v>
      </c>
      <c r="E56" s="63" t="s">
        <v>539</v>
      </c>
      <c r="F56" s="249">
        <v>1</v>
      </c>
      <c r="G56" s="65" t="s">
        <v>540</v>
      </c>
      <c r="H56" s="65" t="s">
        <v>541</v>
      </c>
      <c r="I56" s="65" t="s">
        <v>46</v>
      </c>
      <c r="J56" s="48">
        <v>2024</v>
      </c>
      <c r="K56" s="48">
        <v>2027</v>
      </c>
      <c r="L56" s="48" t="s">
        <v>288</v>
      </c>
      <c r="M56" s="48" t="s">
        <v>173</v>
      </c>
      <c r="N56" s="48" t="s">
        <v>174</v>
      </c>
      <c r="O56" s="63" t="s">
        <v>542</v>
      </c>
      <c r="P56" s="63" t="s">
        <v>212</v>
      </c>
      <c r="Q56" s="63" t="s">
        <v>189</v>
      </c>
      <c r="R56" s="66" t="s">
        <v>543</v>
      </c>
      <c r="S56" s="63" t="str">
        <f t="shared" si="71"/>
        <v>Proses Desain</v>
      </c>
      <c r="T56" s="63" t="str">
        <f t="shared" si="1"/>
        <v>On Progress</v>
      </c>
      <c r="U56" s="63" t="str">
        <f t="shared" si="72"/>
        <v>Aldo Fernanda</v>
      </c>
      <c r="V56" s="67">
        <f t="shared" si="73"/>
        <v>0.37</v>
      </c>
      <c r="W56" s="66" t="s">
        <v>532</v>
      </c>
      <c r="X56" s="59">
        <f t="shared" si="74"/>
        <v>46518</v>
      </c>
      <c r="Y56" s="68">
        <v>0</v>
      </c>
      <c r="Z56" s="48"/>
      <c r="AA56" s="62"/>
      <c r="AB56" s="286">
        <v>2024</v>
      </c>
      <c r="AC56" s="42"/>
      <c r="AD56" s="286">
        <v>2024</v>
      </c>
      <c r="AE56" s="42"/>
      <c r="AF56" s="48"/>
      <c r="AG56" s="48"/>
      <c r="AH56" s="48"/>
      <c r="AI56" s="42">
        <v>46023</v>
      </c>
      <c r="AJ56" s="42">
        <v>46120</v>
      </c>
      <c r="AK56" s="42">
        <v>46123</v>
      </c>
      <c r="AL56" s="42">
        <v>46332</v>
      </c>
      <c r="AM56" s="42">
        <v>46335</v>
      </c>
      <c r="AN56" s="42">
        <v>46392</v>
      </c>
      <c r="AO56" s="42">
        <v>46395</v>
      </c>
      <c r="AP56" s="42">
        <v>46484</v>
      </c>
      <c r="AQ56" s="42">
        <v>46486</v>
      </c>
      <c r="AR56" s="42">
        <v>46518</v>
      </c>
      <c r="AS56" s="63" t="str">
        <f t="shared" si="79"/>
        <v>Proses Desain</v>
      </c>
      <c r="AT56" s="63" t="str">
        <f t="shared" si="80"/>
        <v>Proses Desain</v>
      </c>
      <c r="AU56" s="63" t="str">
        <f t="shared" si="81"/>
        <v>Selesai Desain</v>
      </c>
      <c r="AV56" s="63" t="str">
        <f t="shared" si="82"/>
        <v>Proses Pengembangan</v>
      </c>
      <c r="AW56" s="63" t="str">
        <f t="shared" si="83"/>
        <v>Proses Pengembangan</v>
      </c>
      <c r="AX56" s="63" t="str">
        <f t="shared" si="84"/>
        <v>Proses Pengembangan</v>
      </c>
      <c r="AY56" s="63" t="str">
        <f t="shared" si="85"/>
        <v>Proses Pengembangan</v>
      </c>
      <c r="AZ56" s="63" t="str">
        <f t="shared" si="86"/>
        <v>Proses Pengembangan</v>
      </c>
      <c r="BA56" s="63" t="str">
        <f t="shared" si="87"/>
        <v>Proses Pengembangan</v>
      </c>
      <c r="BB56" s="63" t="str">
        <f t="shared" si="88"/>
        <v>Selesai Pengembangan</v>
      </c>
      <c r="BC56" s="63" t="str">
        <f t="shared" si="76"/>
        <v>Proses SIT</v>
      </c>
      <c r="BD56" s="63" t="str">
        <f t="shared" si="89"/>
        <v>Proses SIT</v>
      </c>
      <c r="BE56" s="43">
        <v>0.35</v>
      </c>
      <c r="BF56" s="43">
        <v>0.4</v>
      </c>
      <c r="BG56" s="43">
        <v>0.45</v>
      </c>
      <c r="BH56" s="43">
        <v>0.5</v>
      </c>
      <c r="BI56" s="43">
        <v>0.55000000000000004</v>
      </c>
      <c r="BJ56" s="43">
        <v>0.6</v>
      </c>
      <c r="BK56" s="43">
        <v>0.65</v>
      </c>
      <c r="BL56" s="43">
        <v>0.7</v>
      </c>
      <c r="BM56" s="43">
        <v>0.75</v>
      </c>
      <c r="BN56" s="43">
        <v>0.8</v>
      </c>
      <c r="BO56" s="43">
        <v>0.82</v>
      </c>
      <c r="BP56" s="43">
        <v>0.85</v>
      </c>
      <c r="BQ56" s="63" t="str">
        <f t="shared" si="90"/>
        <v>Proses Desain</v>
      </c>
      <c r="BR56" s="63" t="str">
        <f t="shared" si="91"/>
        <v>Not Started</v>
      </c>
      <c r="BS56" s="63" t="str">
        <f t="shared" si="92"/>
        <v>Not Started</v>
      </c>
      <c r="BT56" s="63" t="str">
        <f t="shared" si="93"/>
        <v>Not Started</v>
      </c>
      <c r="BU56" s="63" t="str">
        <f t="shared" si="94"/>
        <v>Not Started</v>
      </c>
      <c r="BV56" s="63" t="str">
        <f t="shared" si="95"/>
        <v>Not Started</v>
      </c>
      <c r="BW56" s="63" t="str">
        <f t="shared" si="96"/>
        <v>Not Started</v>
      </c>
      <c r="BX56" s="63" t="str">
        <f t="shared" si="97"/>
        <v>Not Started</v>
      </c>
      <c r="BY56" s="63" t="str">
        <f t="shared" si="98"/>
        <v>Not Started</v>
      </c>
      <c r="BZ56" s="63" t="str">
        <f t="shared" si="99"/>
        <v>Not Started</v>
      </c>
      <c r="CA56" s="63" t="str">
        <f t="shared" si="100"/>
        <v>Not Started</v>
      </c>
      <c r="CB56" s="63" t="str">
        <f t="shared" si="101"/>
        <v>Not Started</v>
      </c>
      <c r="CC56" s="44">
        <f t="shared" si="137"/>
        <v>0.37</v>
      </c>
      <c r="CD56" s="44"/>
      <c r="CE56" s="44"/>
      <c r="CF56" s="44"/>
      <c r="CG56" s="44"/>
      <c r="CH56" s="44"/>
      <c r="CI56" s="44"/>
      <c r="CJ56" s="44"/>
      <c r="CK56" s="44"/>
      <c r="CL56" s="44"/>
      <c r="CM56" s="44"/>
      <c r="CN56" s="44"/>
      <c r="CO56" s="45">
        <f t="shared" si="102"/>
        <v>1.0571428571428572</v>
      </c>
      <c r="CP56" s="45">
        <f t="shared" si="103"/>
        <v>0</v>
      </c>
      <c r="CQ56" s="45">
        <f t="shared" si="104"/>
        <v>0</v>
      </c>
      <c r="CR56" s="45">
        <f t="shared" si="105"/>
        <v>0</v>
      </c>
      <c r="CS56" s="45">
        <f t="shared" si="106"/>
        <v>0</v>
      </c>
      <c r="CT56" s="45">
        <f t="shared" si="107"/>
        <v>0</v>
      </c>
      <c r="CU56" s="45">
        <f t="shared" si="108"/>
        <v>0</v>
      </c>
      <c r="CV56" s="45">
        <f t="shared" si="109"/>
        <v>0</v>
      </c>
      <c r="CW56" s="45">
        <f t="shared" si="110"/>
        <v>0</v>
      </c>
      <c r="CX56" s="45">
        <f t="shared" si="111"/>
        <v>0</v>
      </c>
      <c r="CY56" s="45">
        <f t="shared" si="77"/>
        <v>0</v>
      </c>
      <c r="CZ56" s="45"/>
      <c r="DA56" s="45" t="str">
        <f t="shared" si="112"/>
        <v>AS</v>
      </c>
      <c r="DB56" s="45" t="str">
        <f t="shared" si="113"/>
        <v>BS</v>
      </c>
      <c r="DC56" s="45" t="str">
        <f t="shared" si="114"/>
        <v>BS</v>
      </c>
      <c r="DD56" s="45" t="str">
        <f t="shared" si="115"/>
        <v>BS</v>
      </c>
      <c r="DE56" s="45" t="str">
        <f t="shared" si="116"/>
        <v>BS</v>
      </c>
      <c r="DF56" s="45" t="str">
        <f t="shared" si="117"/>
        <v>BS</v>
      </c>
      <c r="DG56" s="45" t="str">
        <f t="shared" si="118"/>
        <v>BS</v>
      </c>
      <c r="DH56" s="45" t="str">
        <f t="shared" si="119"/>
        <v>BS</v>
      </c>
      <c r="DI56" s="45" t="str">
        <f t="shared" si="120"/>
        <v>BS</v>
      </c>
      <c r="DJ56" s="45" t="str">
        <f t="shared" si="121"/>
        <v>BS</v>
      </c>
      <c r="DK56" s="45" t="str">
        <f t="shared" si="78"/>
        <v>BS</v>
      </c>
      <c r="DL56" s="45" t="str">
        <f t="shared" si="122"/>
        <v>BS</v>
      </c>
      <c r="DM56" s="45">
        <f t="shared" si="123"/>
        <v>0.43529411764705883</v>
      </c>
      <c r="DN56" s="45">
        <f t="shared" si="124"/>
        <v>0</v>
      </c>
      <c r="DO56" s="45">
        <f t="shared" si="125"/>
        <v>0</v>
      </c>
      <c r="DP56" s="45">
        <f t="shared" si="126"/>
        <v>0</v>
      </c>
      <c r="DQ56" s="45">
        <f t="shared" si="127"/>
        <v>0</v>
      </c>
      <c r="DR56" s="45">
        <f t="shared" si="128"/>
        <v>0</v>
      </c>
      <c r="DS56" s="45">
        <f t="shared" si="129"/>
        <v>0</v>
      </c>
      <c r="DT56" s="45">
        <f t="shared" si="130"/>
        <v>0</v>
      </c>
      <c r="DU56" s="45">
        <f t="shared" si="131"/>
        <v>0</v>
      </c>
      <c r="DV56" s="45">
        <f t="shared" si="132"/>
        <v>0</v>
      </c>
      <c r="DW56" s="45">
        <f t="shared" si="133"/>
        <v>0</v>
      </c>
      <c r="DX56" s="45">
        <f t="shared" si="134"/>
        <v>0</v>
      </c>
      <c r="DY56" s="46">
        <v>0.9</v>
      </c>
      <c r="DZ56" s="41">
        <v>0.7</v>
      </c>
      <c r="EA56" s="41">
        <v>1</v>
      </c>
      <c r="EB56" s="41">
        <v>0.9</v>
      </c>
      <c r="EC56" s="41">
        <v>0.7</v>
      </c>
      <c r="ED56" s="69"/>
      <c r="EE56" s="69"/>
      <c r="EF56" s="69"/>
      <c r="EG56" s="70"/>
      <c r="EH56" s="529" t="s">
        <v>1615</v>
      </c>
      <c r="EI56" s="260"/>
      <c r="EJ56" s="59">
        <f t="shared" si="138"/>
        <v>46518</v>
      </c>
      <c r="EK56" s="229"/>
      <c r="EL56" s="59"/>
      <c r="EM56" s="59"/>
      <c r="EN56" s="222"/>
      <c r="EO56" s="222" t="s">
        <v>544</v>
      </c>
      <c r="EP56" s="222"/>
      <c r="EQ56" s="220"/>
      <c r="ER56" s="223"/>
      <c r="ES56" s="220"/>
      <c r="ET56" s="220"/>
      <c r="EU56" s="220"/>
      <c r="EV56" s="220"/>
      <c r="EW56" s="220"/>
      <c r="EX56" s="220"/>
      <c r="EY56" s="220"/>
      <c r="EZ56" s="220"/>
      <c r="FA56" s="222" t="s">
        <v>545</v>
      </c>
      <c r="FB56" s="222"/>
      <c r="FC56" s="220"/>
      <c r="FD56" s="220"/>
      <c r="FE56" s="220"/>
      <c r="FF56" s="220" t="s">
        <v>546</v>
      </c>
      <c r="FG56" s="222"/>
      <c r="FH56" s="220"/>
      <c r="FI56" s="220"/>
      <c r="FJ56" s="220"/>
      <c r="FK56" s="220"/>
      <c r="FL56" s="215"/>
      <c r="FM56" s="172" t="s">
        <v>547</v>
      </c>
      <c r="FN56" s="172" t="s">
        <v>180</v>
      </c>
      <c r="FO56" s="224" t="s">
        <v>300</v>
      </c>
      <c r="FP56" s="172" t="s">
        <v>548</v>
      </c>
      <c r="FQ56" s="172" t="s">
        <v>290</v>
      </c>
      <c r="FR56" s="287" t="s">
        <v>549</v>
      </c>
      <c r="FS56" s="287" t="s">
        <v>550</v>
      </c>
      <c r="FT56" s="287" t="s">
        <v>551</v>
      </c>
      <c r="FU56" s="48">
        <v>10</v>
      </c>
    </row>
    <row r="57" spans="1:177" s="16" customFormat="1" ht="192">
      <c r="A57" s="64" t="s">
        <v>552</v>
      </c>
      <c r="B57" s="48" t="s">
        <v>538</v>
      </c>
      <c r="C57" s="64" t="s">
        <v>206</v>
      </c>
      <c r="D57" s="225" t="s">
        <v>207</v>
      </c>
      <c r="E57" s="63" t="s">
        <v>539</v>
      </c>
      <c r="F57" s="249">
        <v>2</v>
      </c>
      <c r="G57" s="65" t="s">
        <v>540</v>
      </c>
      <c r="H57" s="65" t="s">
        <v>541</v>
      </c>
      <c r="I57" s="65" t="s">
        <v>47</v>
      </c>
      <c r="J57" s="48">
        <v>2024</v>
      </c>
      <c r="K57" s="48">
        <v>2027</v>
      </c>
      <c r="L57" s="48" t="s">
        <v>288</v>
      </c>
      <c r="M57" s="48" t="s">
        <v>173</v>
      </c>
      <c r="N57" s="48" t="s">
        <v>174</v>
      </c>
      <c r="O57" s="63" t="s">
        <v>553</v>
      </c>
      <c r="P57" s="63" t="s">
        <v>212</v>
      </c>
      <c r="Q57" s="63" t="s">
        <v>297</v>
      </c>
      <c r="R57" s="66" t="s">
        <v>310</v>
      </c>
      <c r="S57" s="63" t="str">
        <f t="shared" si="71"/>
        <v>Proses Desain</v>
      </c>
      <c r="T57" s="63" t="str">
        <f t="shared" si="1"/>
        <v>On Progress</v>
      </c>
      <c r="U57" s="63" t="str">
        <f t="shared" si="72"/>
        <v>Pahman Hasibuan</v>
      </c>
      <c r="V57" s="67">
        <f t="shared" si="73"/>
        <v>0.435</v>
      </c>
      <c r="W57" s="66" t="s">
        <v>380</v>
      </c>
      <c r="X57" s="59">
        <f t="shared" si="74"/>
        <v>46518</v>
      </c>
      <c r="Y57" s="68">
        <v>2025</v>
      </c>
      <c r="Z57" s="48"/>
      <c r="AA57" s="62"/>
      <c r="AB57" s="286">
        <v>2024</v>
      </c>
      <c r="AC57" s="42"/>
      <c r="AD57" s="286">
        <v>2024</v>
      </c>
      <c r="AE57" s="42"/>
      <c r="AF57" s="48"/>
      <c r="AG57" s="48"/>
      <c r="AH57" s="48"/>
      <c r="AI57" s="42">
        <v>46023</v>
      </c>
      <c r="AJ57" s="42">
        <v>46120</v>
      </c>
      <c r="AK57" s="42">
        <v>46123</v>
      </c>
      <c r="AL57" s="42">
        <v>46332</v>
      </c>
      <c r="AM57" s="42">
        <v>46335</v>
      </c>
      <c r="AN57" s="42">
        <v>46392</v>
      </c>
      <c r="AO57" s="42">
        <v>46395</v>
      </c>
      <c r="AP57" s="42">
        <v>46484</v>
      </c>
      <c r="AQ57" s="42">
        <v>46486</v>
      </c>
      <c r="AR57" s="42">
        <v>46518</v>
      </c>
      <c r="AS57" s="63" t="str">
        <f t="shared" si="79"/>
        <v>Proses Desain</v>
      </c>
      <c r="AT57" s="63" t="str">
        <f t="shared" si="80"/>
        <v>Proses Desain</v>
      </c>
      <c r="AU57" s="63" t="str">
        <f t="shared" si="81"/>
        <v>Selesai Desain</v>
      </c>
      <c r="AV57" s="63" t="str">
        <f t="shared" si="82"/>
        <v>Proses Pengembangan</v>
      </c>
      <c r="AW57" s="63" t="str">
        <f t="shared" si="83"/>
        <v>Proses Pengembangan</v>
      </c>
      <c r="AX57" s="63" t="str">
        <f t="shared" si="84"/>
        <v>Proses Pengembangan</v>
      </c>
      <c r="AY57" s="63" t="str">
        <f t="shared" si="85"/>
        <v>Proses Pengembangan</v>
      </c>
      <c r="AZ57" s="63" t="str">
        <f t="shared" si="86"/>
        <v>Proses Pengembangan</v>
      </c>
      <c r="BA57" s="63" t="str">
        <f t="shared" si="87"/>
        <v>Proses Pengembangan</v>
      </c>
      <c r="BB57" s="63" t="str">
        <f t="shared" si="88"/>
        <v>Selesai Pengembangan</v>
      </c>
      <c r="BC57" s="63" t="str">
        <f t="shared" si="76"/>
        <v>Proses SIT</v>
      </c>
      <c r="BD57" s="63" t="str">
        <f t="shared" si="89"/>
        <v>Proses SIT</v>
      </c>
      <c r="BE57" s="43">
        <v>0.35</v>
      </c>
      <c r="BF57" s="43">
        <v>0.4</v>
      </c>
      <c r="BG57" s="43">
        <v>0.45</v>
      </c>
      <c r="BH57" s="43">
        <v>0.5</v>
      </c>
      <c r="BI57" s="43">
        <v>0.55000000000000004</v>
      </c>
      <c r="BJ57" s="43">
        <v>0.6</v>
      </c>
      <c r="BK57" s="43">
        <v>0.65</v>
      </c>
      <c r="BL57" s="43">
        <v>0.7</v>
      </c>
      <c r="BM57" s="43">
        <v>0.75</v>
      </c>
      <c r="BN57" s="43">
        <v>0.8</v>
      </c>
      <c r="BO57" s="43">
        <v>0.82</v>
      </c>
      <c r="BP57" s="43">
        <v>0.85</v>
      </c>
      <c r="BQ57" s="63" t="str">
        <f t="shared" si="90"/>
        <v>Proses Desain</v>
      </c>
      <c r="BR57" s="63" t="str">
        <f t="shared" si="91"/>
        <v>Not Started</v>
      </c>
      <c r="BS57" s="63" t="str">
        <f t="shared" si="92"/>
        <v>Not Started</v>
      </c>
      <c r="BT57" s="63" t="str">
        <f t="shared" si="93"/>
        <v>Not Started</v>
      </c>
      <c r="BU57" s="63" t="str">
        <f t="shared" si="94"/>
        <v>Not Started</v>
      </c>
      <c r="BV57" s="63" t="str">
        <f t="shared" si="95"/>
        <v>Not Started</v>
      </c>
      <c r="BW57" s="63" t="str">
        <f t="shared" si="96"/>
        <v>Not Started</v>
      </c>
      <c r="BX57" s="63" t="str">
        <f t="shared" si="97"/>
        <v>Not Started</v>
      </c>
      <c r="BY57" s="63" t="str">
        <f t="shared" si="98"/>
        <v>Not Started</v>
      </c>
      <c r="BZ57" s="63" t="str">
        <f t="shared" si="99"/>
        <v>Not Started</v>
      </c>
      <c r="CA57" s="63" t="str">
        <f t="shared" si="100"/>
        <v>Not Started</v>
      </c>
      <c r="CB57" s="63" t="str">
        <f t="shared" si="101"/>
        <v>Not Started</v>
      </c>
      <c r="CC57" s="44">
        <f t="shared" si="137"/>
        <v>0.435</v>
      </c>
      <c r="CD57" s="44"/>
      <c r="CE57" s="44"/>
      <c r="CF57" s="44"/>
      <c r="CG57" s="44"/>
      <c r="CH57" s="44"/>
      <c r="CI57" s="44"/>
      <c r="CJ57" s="44"/>
      <c r="CK57" s="44"/>
      <c r="CL57" s="44"/>
      <c r="CM57" s="44"/>
      <c r="CN57" s="44"/>
      <c r="CO57" s="45">
        <f t="shared" si="102"/>
        <v>1.2428571428571429</v>
      </c>
      <c r="CP57" s="45">
        <f t="shared" si="103"/>
        <v>0</v>
      </c>
      <c r="CQ57" s="45">
        <f t="shared" si="104"/>
        <v>0</v>
      </c>
      <c r="CR57" s="45">
        <f t="shared" si="105"/>
        <v>0</v>
      </c>
      <c r="CS57" s="45">
        <f t="shared" si="106"/>
        <v>0</v>
      </c>
      <c r="CT57" s="45">
        <f t="shared" si="107"/>
        <v>0</v>
      </c>
      <c r="CU57" s="45">
        <f t="shared" si="108"/>
        <v>0</v>
      </c>
      <c r="CV57" s="45">
        <f t="shared" si="109"/>
        <v>0</v>
      </c>
      <c r="CW57" s="45">
        <f t="shared" si="110"/>
        <v>0</v>
      </c>
      <c r="CX57" s="45">
        <f t="shared" si="111"/>
        <v>0</v>
      </c>
      <c r="CY57" s="45">
        <f t="shared" si="77"/>
        <v>0</v>
      </c>
      <c r="CZ57" s="45"/>
      <c r="DA57" s="45" t="str">
        <f t="shared" si="112"/>
        <v>AS</v>
      </c>
      <c r="DB57" s="45" t="str">
        <f t="shared" si="113"/>
        <v>BS</v>
      </c>
      <c r="DC57" s="45" t="str">
        <f t="shared" si="114"/>
        <v>BS</v>
      </c>
      <c r="DD57" s="45" t="str">
        <f t="shared" si="115"/>
        <v>BS</v>
      </c>
      <c r="DE57" s="45" t="str">
        <f t="shared" si="116"/>
        <v>BS</v>
      </c>
      <c r="DF57" s="45" t="str">
        <f t="shared" si="117"/>
        <v>BS</v>
      </c>
      <c r="DG57" s="45" t="str">
        <f t="shared" si="118"/>
        <v>BS</v>
      </c>
      <c r="DH57" s="45" t="str">
        <f t="shared" si="119"/>
        <v>BS</v>
      </c>
      <c r="DI57" s="45" t="str">
        <f t="shared" si="120"/>
        <v>BS</v>
      </c>
      <c r="DJ57" s="45" t="str">
        <f t="shared" si="121"/>
        <v>BS</v>
      </c>
      <c r="DK57" s="45" t="str">
        <f t="shared" si="78"/>
        <v>BS</v>
      </c>
      <c r="DL57" s="45" t="str">
        <f t="shared" si="122"/>
        <v>BS</v>
      </c>
      <c r="DM57" s="45">
        <f t="shared" si="123"/>
        <v>0.5117647058823529</v>
      </c>
      <c r="DN57" s="45">
        <f t="shared" si="124"/>
        <v>0</v>
      </c>
      <c r="DO57" s="45">
        <f t="shared" si="125"/>
        <v>0</v>
      </c>
      <c r="DP57" s="45">
        <f t="shared" si="126"/>
        <v>0</v>
      </c>
      <c r="DQ57" s="45">
        <f t="shared" si="127"/>
        <v>0</v>
      </c>
      <c r="DR57" s="45">
        <f t="shared" si="128"/>
        <v>0</v>
      </c>
      <c r="DS57" s="45">
        <f t="shared" si="129"/>
        <v>0</v>
      </c>
      <c r="DT57" s="45">
        <f t="shared" si="130"/>
        <v>0</v>
      </c>
      <c r="DU57" s="45">
        <f t="shared" si="131"/>
        <v>0</v>
      </c>
      <c r="DV57" s="45">
        <f t="shared" si="132"/>
        <v>0</v>
      </c>
      <c r="DW57" s="45">
        <f t="shared" si="133"/>
        <v>0</v>
      </c>
      <c r="DX57" s="45">
        <f t="shared" si="134"/>
        <v>0</v>
      </c>
      <c r="DY57" s="46">
        <v>1</v>
      </c>
      <c r="DZ57" s="46">
        <v>1</v>
      </c>
      <c r="EA57" s="46">
        <v>1</v>
      </c>
      <c r="EB57" s="46">
        <v>1</v>
      </c>
      <c r="EC57" s="46">
        <v>0.9</v>
      </c>
      <c r="ED57" s="41">
        <v>0</v>
      </c>
      <c r="EE57" s="41">
        <v>0</v>
      </c>
      <c r="EF57" s="41">
        <v>0</v>
      </c>
      <c r="EG57" s="41">
        <v>0</v>
      </c>
      <c r="EH57" s="177" t="s">
        <v>1510</v>
      </c>
      <c r="EI57" s="222"/>
      <c r="EJ57" s="59">
        <f t="shared" si="138"/>
        <v>46518</v>
      </c>
      <c r="EK57" s="229"/>
      <c r="EL57" s="229"/>
      <c r="EM57" s="229"/>
      <c r="EN57" s="222"/>
      <c r="EO57" s="222" t="s">
        <v>544</v>
      </c>
      <c r="EP57" s="222"/>
      <c r="EQ57" s="220"/>
      <c r="ER57" s="223"/>
      <c r="ES57" s="220"/>
      <c r="ET57" s="220"/>
      <c r="EU57" s="220"/>
      <c r="EV57" s="220"/>
      <c r="EW57" s="220"/>
      <c r="EX57" s="220"/>
      <c r="EY57" s="220"/>
      <c r="EZ57" s="220"/>
      <c r="FA57" s="222"/>
      <c r="FB57" s="222"/>
      <c r="FC57" s="220"/>
      <c r="FD57" s="220"/>
      <c r="FE57" s="220"/>
      <c r="FF57" s="220"/>
      <c r="FG57" s="222"/>
      <c r="FH57" s="220"/>
      <c r="FI57" s="220"/>
      <c r="FJ57" s="220"/>
      <c r="FK57" s="220"/>
      <c r="FL57" s="215"/>
      <c r="FM57" s="172" t="s">
        <v>554</v>
      </c>
      <c r="FN57" s="172" t="s">
        <v>299</v>
      </c>
      <c r="FO57" s="224" t="s">
        <v>300</v>
      </c>
      <c r="FP57" s="172" t="s">
        <v>555</v>
      </c>
      <c r="FQ57" s="172" t="s">
        <v>556</v>
      </c>
      <c r="FR57" s="287" t="s">
        <v>549</v>
      </c>
      <c r="FS57" s="287" t="s">
        <v>345</v>
      </c>
      <c r="FT57" s="213" t="s">
        <v>346</v>
      </c>
      <c r="FU57" s="48">
        <v>4</v>
      </c>
    </row>
    <row r="58" spans="1:177" s="16" customFormat="1" ht="272">
      <c r="A58" s="64" t="s">
        <v>557</v>
      </c>
      <c r="B58" s="48" t="s">
        <v>538</v>
      </c>
      <c r="C58" s="64" t="s">
        <v>206</v>
      </c>
      <c r="D58" s="225" t="s">
        <v>207</v>
      </c>
      <c r="E58" s="63" t="s">
        <v>539</v>
      </c>
      <c r="F58" s="249">
        <v>3</v>
      </c>
      <c r="G58" s="65" t="s">
        <v>540</v>
      </c>
      <c r="H58" s="65" t="s">
        <v>541</v>
      </c>
      <c r="I58" s="65" t="s">
        <v>48</v>
      </c>
      <c r="J58" s="48">
        <v>2024</v>
      </c>
      <c r="K58" s="48">
        <v>2027</v>
      </c>
      <c r="L58" s="48" t="s">
        <v>288</v>
      </c>
      <c r="M58" s="48" t="s">
        <v>173</v>
      </c>
      <c r="N58" s="48" t="s">
        <v>174</v>
      </c>
      <c r="O58" s="63" t="s">
        <v>472</v>
      </c>
      <c r="P58" s="63" t="s">
        <v>212</v>
      </c>
      <c r="Q58" s="63" t="s">
        <v>558</v>
      </c>
      <c r="R58" s="66" t="s">
        <v>559</v>
      </c>
      <c r="S58" s="63" t="str">
        <f t="shared" si="71"/>
        <v>Proses Pengadaan</v>
      </c>
      <c r="T58" s="63" t="str">
        <f t="shared" si="1"/>
        <v>On Progress</v>
      </c>
      <c r="U58" s="63" t="str">
        <f t="shared" si="72"/>
        <v>Rangga Dhaniarto</v>
      </c>
      <c r="V58" s="67">
        <f t="shared" si="73"/>
        <v>0.25750000000000001</v>
      </c>
      <c r="W58" s="66" t="s">
        <v>380</v>
      </c>
      <c r="X58" s="59">
        <f t="shared" si="74"/>
        <v>46518</v>
      </c>
      <c r="Y58" s="68">
        <v>1</v>
      </c>
      <c r="Z58" s="48"/>
      <c r="AA58" s="249"/>
      <c r="AB58" s="286" t="s">
        <v>560</v>
      </c>
      <c r="AC58" s="42"/>
      <c r="AD58" s="286">
        <v>2024</v>
      </c>
      <c r="AE58" s="42"/>
      <c r="AF58" s="48"/>
      <c r="AG58" s="48"/>
      <c r="AH58" s="48"/>
      <c r="AI58" s="42">
        <v>46023</v>
      </c>
      <c r="AJ58" s="42">
        <v>46120</v>
      </c>
      <c r="AK58" s="42">
        <v>46123</v>
      </c>
      <c r="AL58" s="42">
        <v>46332</v>
      </c>
      <c r="AM58" s="42">
        <v>46335</v>
      </c>
      <c r="AN58" s="42">
        <v>46392</v>
      </c>
      <c r="AO58" s="42">
        <v>46395</v>
      </c>
      <c r="AP58" s="42">
        <v>46484</v>
      </c>
      <c r="AQ58" s="42">
        <v>46486</v>
      </c>
      <c r="AR58" s="42">
        <v>46518</v>
      </c>
      <c r="AS58" s="63" t="str">
        <f t="shared" si="79"/>
        <v>Proses Desain</v>
      </c>
      <c r="AT58" s="63" t="str">
        <f t="shared" si="80"/>
        <v>Proses Desain</v>
      </c>
      <c r="AU58" s="63" t="str">
        <f t="shared" si="81"/>
        <v>Selesai Desain</v>
      </c>
      <c r="AV58" s="63" t="str">
        <f t="shared" si="82"/>
        <v>Proses Pengembangan</v>
      </c>
      <c r="AW58" s="63" t="str">
        <f t="shared" si="83"/>
        <v>Proses Pengembangan</v>
      </c>
      <c r="AX58" s="63" t="str">
        <f t="shared" si="84"/>
        <v>Proses Pengembangan</v>
      </c>
      <c r="AY58" s="63" t="str">
        <f t="shared" si="85"/>
        <v>Proses Pengembangan</v>
      </c>
      <c r="AZ58" s="63" t="str">
        <f t="shared" si="86"/>
        <v>Proses Pengembangan</v>
      </c>
      <c r="BA58" s="63" t="str">
        <f t="shared" si="87"/>
        <v>Proses Pengembangan</v>
      </c>
      <c r="BB58" s="63" t="str">
        <f t="shared" si="88"/>
        <v>Selesai Pengembangan</v>
      </c>
      <c r="BC58" s="63" t="str">
        <f t="shared" si="76"/>
        <v>Proses SIT</v>
      </c>
      <c r="BD58" s="63" t="str">
        <f t="shared" si="89"/>
        <v>Proses SIT</v>
      </c>
      <c r="BE58" s="43">
        <v>0.35</v>
      </c>
      <c r="BF58" s="43">
        <v>0.4</v>
      </c>
      <c r="BG58" s="43">
        <v>0.45</v>
      </c>
      <c r="BH58" s="43">
        <v>0.5</v>
      </c>
      <c r="BI58" s="43">
        <v>0.55000000000000004</v>
      </c>
      <c r="BJ58" s="43">
        <v>0.6</v>
      </c>
      <c r="BK58" s="43">
        <v>0.65</v>
      </c>
      <c r="BL58" s="43">
        <v>0.7</v>
      </c>
      <c r="BM58" s="43">
        <v>0.75</v>
      </c>
      <c r="BN58" s="43">
        <v>0.8</v>
      </c>
      <c r="BO58" s="43">
        <v>0.82</v>
      </c>
      <c r="BP58" s="43">
        <v>0.85</v>
      </c>
      <c r="BQ58" s="63" t="str">
        <f t="shared" si="90"/>
        <v>Proses Pengadaan</v>
      </c>
      <c r="BR58" s="63" t="str">
        <f t="shared" si="91"/>
        <v>Not Started</v>
      </c>
      <c r="BS58" s="63" t="str">
        <f t="shared" si="92"/>
        <v>Not Started</v>
      </c>
      <c r="BT58" s="63" t="str">
        <f t="shared" si="93"/>
        <v>Not Started</v>
      </c>
      <c r="BU58" s="63" t="str">
        <f t="shared" si="94"/>
        <v>Not Started</v>
      </c>
      <c r="BV58" s="63" t="str">
        <f t="shared" si="95"/>
        <v>Not Started</v>
      </c>
      <c r="BW58" s="63" t="str">
        <f t="shared" si="96"/>
        <v>Not Started</v>
      </c>
      <c r="BX58" s="63" t="str">
        <f t="shared" si="97"/>
        <v>Not Started</v>
      </c>
      <c r="BY58" s="63" t="str">
        <f t="shared" si="98"/>
        <v>Not Started</v>
      </c>
      <c r="BZ58" s="63" t="str">
        <f t="shared" si="99"/>
        <v>Not Started</v>
      </c>
      <c r="CA58" s="63" t="str">
        <f t="shared" si="100"/>
        <v>Not Started</v>
      </c>
      <c r="CB58" s="63" t="str">
        <f t="shared" si="101"/>
        <v>Not Started</v>
      </c>
      <c r="CC58" s="44">
        <f t="shared" si="137"/>
        <v>0.25750000000000001</v>
      </c>
      <c r="CD58" s="44"/>
      <c r="CE58" s="44"/>
      <c r="CF58" s="44"/>
      <c r="CG58" s="44"/>
      <c r="CH58" s="44"/>
      <c r="CI58" s="44"/>
      <c r="CJ58" s="44"/>
      <c r="CK58" s="44"/>
      <c r="CL58" s="44"/>
      <c r="CM58" s="44"/>
      <c r="CN58" s="44"/>
      <c r="CO58" s="45">
        <f t="shared" si="102"/>
        <v>0.73571428571428577</v>
      </c>
      <c r="CP58" s="45">
        <f t="shared" si="103"/>
        <v>0</v>
      </c>
      <c r="CQ58" s="45">
        <f t="shared" si="104"/>
        <v>0</v>
      </c>
      <c r="CR58" s="45">
        <f t="shared" si="105"/>
        <v>0</v>
      </c>
      <c r="CS58" s="45">
        <f t="shared" si="106"/>
        <v>0</v>
      </c>
      <c r="CT58" s="45">
        <f t="shared" si="107"/>
        <v>0</v>
      </c>
      <c r="CU58" s="45">
        <f t="shared" si="108"/>
        <v>0</v>
      </c>
      <c r="CV58" s="45">
        <f t="shared" si="109"/>
        <v>0</v>
      </c>
      <c r="CW58" s="45">
        <f t="shared" si="110"/>
        <v>0</v>
      </c>
      <c r="CX58" s="45">
        <f t="shared" si="111"/>
        <v>0</v>
      </c>
      <c r="CY58" s="45">
        <f t="shared" si="77"/>
        <v>0</v>
      </c>
      <c r="CZ58" s="45"/>
      <c r="DA58" s="45" t="str">
        <f t="shared" si="112"/>
        <v>BS</v>
      </c>
      <c r="DB58" s="45" t="str">
        <f t="shared" si="113"/>
        <v>BS</v>
      </c>
      <c r="DC58" s="45" t="str">
        <f t="shared" si="114"/>
        <v>BS</v>
      </c>
      <c r="DD58" s="45" t="str">
        <f t="shared" si="115"/>
        <v>BS</v>
      </c>
      <c r="DE58" s="45" t="str">
        <f t="shared" si="116"/>
        <v>BS</v>
      </c>
      <c r="DF58" s="45" t="str">
        <f t="shared" si="117"/>
        <v>BS</v>
      </c>
      <c r="DG58" s="45" t="str">
        <f t="shared" si="118"/>
        <v>BS</v>
      </c>
      <c r="DH58" s="45" t="str">
        <f t="shared" si="119"/>
        <v>BS</v>
      </c>
      <c r="DI58" s="45" t="str">
        <f t="shared" si="120"/>
        <v>BS</v>
      </c>
      <c r="DJ58" s="45" t="str">
        <f t="shared" si="121"/>
        <v>BS</v>
      </c>
      <c r="DK58" s="45" t="str">
        <f t="shared" si="78"/>
        <v>BS</v>
      </c>
      <c r="DL58" s="45" t="str">
        <f t="shared" si="122"/>
        <v>BS</v>
      </c>
      <c r="DM58" s="45">
        <f t="shared" si="123"/>
        <v>0.30294117647058827</v>
      </c>
      <c r="DN58" s="45">
        <f t="shared" si="124"/>
        <v>0</v>
      </c>
      <c r="DO58" s="45">
        <f t="shared" si="125"/>
        <v>0</v>
      </c>
      <c r="DP58" s="45">
        <f t="shared" si="126"/>
        <v>0</v>
      </c>
      <c r="DQ58" s="45">
        <f t="shared" si="127"/>
        <v>0</v>
      </c>
      <c r="DR58" s="45">
        <f t="shared" si="128"/>
        <v>0</v>
      </c>
      <c r="DS58" s="45">
        <f t="shared" si="129"/>
        <v>0</v>
      </c>
      <c r="DT58" s="45">
        <f t="shared" si="130"/>
        <v>0</v>
      </c>
      <c r="DU58" s="45">
        <f t="shared" si="131"/>
        <v>0</v>
      </c>
      <c r="DV58" s="45">
        <f t="shared" si="132"/>
        <v>0</v>
      </c>
      <c r="DW58" s="45">
        <f t="shared" si="133"/>
        <v>0</v>
      </c>
      <c r="DX58" s="45">
        <f t="shared" si="134"/>
        <v>0</v>
      </c>
      <c r="DY58" s="41">
        <v>0.9</v>
      </c>
      <c r="DZ58" s="46">
        <v>0.9</v>
      </c>
      <c r="EA58" s="41">
        <v>0.4</v>
      </c>
      <c r="EB58" s="41">
        <v>1</v>
      </c>
      <c r="EC58" s="41">
        <v>0.05</v>
      </c>
      <c r="ED58" s="60">
        <v>0</v>
      </c>
      <c r="EE58" s="41">
        <v>0</v>
      </c>
      <c r="EF58" s="41">
        <v>0</v>
      </c>
      <c r="EG58" s="41">
        <v>0</v>
      </c>
      <c r="EH58" s="75" t="s">
        <v>561</v>
      </c>
      <c r="EI58" s="231"/>
      <c r="EJ58" s="59">
        <f t="shared" si="138"/>
        <v>46518</v>
      </c>
      <c r="EK58" s="229"/>
      <c r="EL58" s="229"/>
      <c r="EM58" s="229"/>
      <c r="EN58" s="222"/>
      <c r="EO58" s="222" t="s">
        <v>544</v>
      </c>
      <c r="EP58" s="222"/>
      <c r="EQ58" s="220"/>
      <c r="ER58" s="223"/>
      <c r="ES58" s="220"/>
      <c r="ET58" s="220"/>
      <c r="EU58" s="220"/>
      <c r="EV58" s="220"/>
      <c r="EW58" s="220"/>
      <c r="EX58" s="220"/>
      <c r="EY58" s="220"/>
      <c r="EZ58" s="220"/>
      <c r="FA58" s="222"/>
      <c r="FB58" s="222"/>
      <c r="FC58" s="220"/>
      <c r="FD58" s="220"/>
      <c r="FE58" s="220"/>
      <c r="FF58" s="220"/>
      <c r="FG58" s="222"/>
      <c r="FH58" s="220"/>
      <c r="FI58" s="220"/>
      <c r="FJ58" s="220"/>
      <c r="FK58" s="220"/>
      <c r="FL58" s="215"/>
      <c r="FM58" s="172" t="s">
        <v>562</v>
      </c>
      <c r="FN58" s="172" t="s">
        <v>563</v>
      </c>
      <c r="FO58" s="224" t="s">
        <v>300</v>
      </c>
      <c r="FP58" s="172" t="s">
        <v>564</v>
      </c>
      <c r="FQ58" s="172" t="s">
        <v>565</v>
      </c>
      <c r="FR58" s="223" t="s">
        <v>184</v>
      </c>
      <c r="FS58" s="287" t="s">
        <v>566</v>
      </c>
      <c r="FT58" s="287" t="s">
        <v>567</v>
      </c>
      <c r="FU58" s="48">
        <v>4</v>
      </c>
    </row>
    <row r="59" spans="1:177" s="16" customFormat="1" ht="208">
      <c r="A59" s="64" t="s">
        <v>568</v>
      </c>
      <c r="B59" s="48" t="s">
        <v>538</v>
      </c>
      <c r="C59" s="64" t="s">
        <v>206</v>
      </c>
      <c r="D59" s="225" t="s">
        <v>207</v>
      </c>
      <c r="E59" s="63" t="s">
        <v>539</v>
      </c>
      <c r="F59" s="249">
        <v>4</v>
      </c>
      <c r="G59" s="65" t="s">
        <v>540</v>
      </c>
      <c r="H59" s="65" t="s">
        <v>541</v>
      </c>
      <c r="I59" s="65" t="s">
        <v>49</v>
      </c>
      <c r="J59" s="48">
        <v>2024</v>
      </c>
      <c r="K59" s="48">
        <v>2027</v>
      </c>
      <c r="L59" s="48" t="s">
        <v>172</v>
      </c>
      <c r="M59" s="48" t="s">
        <v>173</v>
      </c>
      <c r="N59" s="48" t="s">
        <v>174</v>
      </c>
      <c r="O59" s="63" t="s">
        <v>542</v>
      </c>
      <c r="P59" s="63" t="s">
        <v>212</v>
      </c>
      <c r="Q59" s="63" t="s">
        <v>189</v>
      </c>
      <c r="R59" s="66" t="s">
        <v>569</v>
      </c>
      <c r="S59" s="63" t="str">
        <f t="shared" si="71"/>
        <v>Proses Desain</v>
      </c>
      <c r="T59" s="63" t="str">
        <f t="shared" si="1"/>
        <v>On Progress</v>
      </c>
      <c r="U59" s="63" t="str">
        <f t="shared" si="72"/>
        <v>Aldo Fernanda</v>
      </c>
      <c r="V59" s="67">
        <f t="shared" si="73"/>
        <v>0.33249999999999996</v>
      </c>
      <c r="W59" s="66" t="s">
        <v>380</v>
      </c>
      <c r="X59" s="59">
        <f t="shared" si="74"/>
        <v>46518</v>
      </c>
      <c r="Y59" s="68" t="s">
        <v>224</v>
      </c>
      <c r="Z59" s="48"/>
      <c r="AA59" s="62"/>
      <c r="AB59" s="286">
        <v>2024</v>
      </c>
      <c r="AC59" s="42"/>
      <c r="AD59" s="286">
        <v>2024</v>
      </c>
      <c r="AE59" s="42"/>
      <c r="AF59" s="48"/>
      <c r="AG59" s="48"/>
      <c r="AH59" s="48"/>
      <c r="AI59" s="42">
        <v>46023</v>
      </c>
      <c r="AJ59" s="42">
        <v>46120</v>
      </c>
      <c r="AK59" s="42">
        <v>46123</v>
      </c>
      <c r="AL59" s="42">
        <v>46332</v>
      </c>
      <c r="AM59" s="42">
        <v>46335</v>
      </c>
      <c r="AN59" s="42">
        <v>46392</v>
      </c>
      <c r="AO59" s="42">
        <v>46395</v>
      </c>
      <c r="AP59" s="42">
        <v>46484</v>
      </c>
      <c r="AQ59" s="42">
        <v>46486</v>
      </c>
      <c r="AR59" s="42">
        <v>46518</v>
      </c>
      <c r="AS59" s="63" t="str">
        <f t="shared" si="79"/>
        <v>Proses Desain</v>
      </c>
      <c r="AT59" s="63" t="str">
        <f t="shared" si="80"/>
        <v>Proses Desain</v>
      </c>
      <c r="AU59" s="63" t="str">
        <f t="shared" si="81"/>
        <v>Selesai Desain</v>
      </c>
      <c r="AV59" s="63" t="str">
        <f t="shared" si="82"/>
        <v>Proses Pengembangan</v>
      </c>
      <c r="AW59" s="63" t="str">
        <f t="shared" si="83"/>
        <v>Proses Pengembangan</v>
      </c>
      <c r="AX59" s="63" t="str">
        <f t="shared" si="84"/>
        <v>Proses Pengembangan</v>
      </c>
      <c r="AY59" s="63" t="str">
        <f t="shared" si="85"/>
        <v>Proses Pengembangan</v>
      </c>
      <c r="AZ59" s="63" t="str">
        <f t="shared" si="86"/>
        <v>Proses Pengembangan</v>
      </c>
      <c r="BA59" s="63" t="str">
        <f t="shared" si="87"/>
        <v>Proses Pengembangan</v>
      </c>
      <c r="BB59" s="63" t="str">
        <f t="shared" si="88"/>
        <v>Selesai Pengembangan</v>
      </c>
      <c r="BC59" s="63" t="str">
        <f t="shared" si="76"/>
        <v>Proses SIT</v>
      </c>
      <c r="BD59" s="63" t="str">
        <f t="shared" si="89"/>
        <v>Proses SIT</v>
      </c>
      <c r="BE59" s="43">
        <v>0.35</v>
      </c>
      <c r="BF59" s="43">
        <v>0.4</v>
      </c>
      <c r="BG59" s="43">
        <v>0.45</v>
      </c>
      <c r="BH59" s="43">
        <v>0.5</v>
      </c>
      <c r="BI59" s="43">
        <v>0.55000000000000004</v>
      </c>
      <c r="BJ59" s="43">
        <v>0.6</v>
      </c>
      <c r="BK59" s="43">
        <v>0.65</v>
      </c>
      <c r="BL59" s="43">
        <v>0.7</v>
      </c>
      <c r="BM59" s="43">
        <v>0.75</v>
      </c>
      <c r="BN59" s="43">
        <v>0.8</v>
      </c>
      <c r="BO59" s="43">
        <v>0.82</v>
      </c>
      <c r="BP59" s="43">
        <v>0.85</v>
      </c>
      <c r="BQ59" s="63" t="str">
        <f t="shared" si="90"/>
        <v>Proses Desain</v>
      </c>
      <c r="BR59" s="63" t="str">
        <f t="shared" si="91"/>
        <v>Not Started</v>
      </c>
      <c r="BS59" s="63" t="str">
        <f t="shared" si="92"/>
        <v>Not Started</v>
      </c>
      <c r="BT59" s="63" t="str">
        <f t="shared" si="93"/>
        <v>Not Started</v>
      </c>
      <c r="BU59" s="63" t="str">
        <f t="shared" si="94"/>
        <v>Not Started</v>
      </c>
      <c r="BV59" s="63" t="str">
        <f t="shared" si="95"/>
        <v>Not Started</v>
      </c>
      <c r="BW59" s="63" t="str">
        <f t="shared" si="96"/>
        <v>Not Started</v>
      </c>
      <c r="BX59" s="63" t="str">
        <f t="shared" si="97"/>
        <v>Not Started</v>
      </c>
      <c r="BY59" s="63" t="str">
        <f t="shared" si="98"/>
        <v>Not Started</v>
      </c>
      <c r="BZ59" s="63" t="str">
        <f t="shared" si="99"/>
        <v>Not Started</v>
      </c>
      <c r="CA59" s="63" t="str">
        <f t="shared" si="100"/>
        <v>Not Started</v>
      </c>
      <c r="CB59" s="63" t="str">
        <f t="shared" si="101"/>
        <v>Not Started</v>
      </c>
      <c r="CC59" s="44">
        <f t="shared" si="137"/>
        <v>0.33249999999999996</v>
      </c>
      <c r="CD59" s="44"/>
      <c r="CE59" s="44"/>
      <c r="CF59" s="44"/>
      <c r="CG59" s="44"/>
      <c r="CH59" s="44"/>
      <c r="CI59" s="44"/>
      <c r="CJ59" s="44"/>
      <c r="CK59" s="44"/>
      <c r="CL59" s="44"/>
      <c r="CM59" s="44"/>
      <c r="CN59" s="44"/>
      <c r="CO59" s="45">
        <f t="shared" si="102"/>
        <v>0.95</v>
      </c>
      <c r="CP59" s="45">
        <f t="shared" si="103"/>
        <v>0</v>
      </c>
      <c r="CQ59" s="45">
        <f t="shared" si="104"/>
        <v>0</v>
      </c>
      <c r="CR59" s="45">
        <f t="shared" si="105"/>
        <v>0</v>
      </c>
      <c r="CS59" s="45">
        <f t="shared" si="106"/>
        <v>0</v>
      </c>
      <c r="CT59" s="45">
        <f t="shared" si="107"/>
        <v>0</v>
      </c>
      <c r="CU59" s="45">
        <f t="shared" si="108"/>
        <v>0</v>
      </c>
      <c r="CV59" s="45">
        <f t="shared" si="109"/>
        <v>0</v>
      </c>
      <c r="CW59" s="45">
        <f t="shared" si="110"/>
        <v>0</v>
      </c>
      <c r="CX59" s="45">
        <f t="shared" si="111"/>
        <v>0</v>
      </c>
      <c r="CY59" s="45">
        <f t="shared" si="77"/>
        <v>0</v>
      </c>
      <c r="CZ59" s="45"/>
      <c r="DA59" s="45" t="str">
        <f t="shared" si="112"/>
        <v>OS</v>
      </c>
      <c r="DB59" s="45" t="str">
        <f t="shared" si="113"/>
        <v>BS</v>
      </c>
      <c r="DC59" s="45" t="str">
        <f t="shared" si="114"/>
        <v>BS</v>
      </c>
      <c r="DD59" s="45" t="str">
        <f t="shared" si="115"/>
        <v>BS</v>
      </c>
      <c r="DE59" s="45" t="str">
        <f t="shared" si="116"/>
        <v>BS</v>
      </c>
      <c r="DF59" s="45" t="str">
        <f t="shared" si="117"/>
        <v>BS</v>
      </c>
      <c r="DG59" s="45" t="str">
        <f t="shared" si="118"/>
        <v>BS</v>
      </c>
      <c r="DH59" s="45" t="str">
        <f t="shared" si="119"/>
        <v>BS</v>
      </c>
      <c r="DI59" s="45" t="str">
        <f t="shared" si="120"/>
        <v>BS</v>
      </c>
      <c r="DJ59" s="45" t="str">
        <f t="shared" si="121"/>
        <v>BS</v>
      </c>
      <c r="DK59" s="45" t="str">
        <f t="shared" si="78"/>
        <v>BS</v>
      </c>
      <c r="DL59" s="45" t="str">
        <f t="shared" si="122"/>
        <v>BS</v>
      </c>
      <c r="DM59" s="45">
        <f t="shared" si="123"/>
        <v>0.39117647058823524</v>
      </c>
      <c r="DN59" s="45">
        <f t="shared" si="124"/>
        <v>0</v>
      </c>
      <c r="DO59" s="45">
        <f t="shared" si="125"/>
        <v>0</v>
      </c>
      <c r="DP59" s="45">
        <f t="shared" si="126"/>
        <v>0</v>
      </c>
      <c r="DQ59" s="45">
        <f t="shared" si="127"/>
        <v>0</v>
      </c>
      <c r="DR59" s="45">
        <f t="shared" si="128"/>
        <v>0</v>
      </c>
      <c r="DS59" s="45">
        <f t="shared" si="129"/>
        <v>0</v>
      </c>
      <c r="DT59" s="45">
        <f t="shared" si="130"/>
        <v>0</v>
      </c>
      <c r="DU59" s="45">
        <f t="shared" si="131"/>
        <v>0</v>
      </c>
      <c r="DV59" s="45">
        <f t="shared" si="132"/>
        <v>0</v>
      </c>
      <c r="DW59" s="45">
        <f t="shared" si="133"/>
        <v>0</v>
      </c>
      <c r="DX59" s="45">
        <f t="shared" si="134"/>
        <v>0</v>
      </c>
      <c r="DY59" s="46">
        <v>1</v>
      </c>
      <c r="DZ59" s="46">
        <v>0.7</v>
      </c>
      <c r="EA59" s="46">
        <v>1</v>
      </c>
      <c r="EB59" s="46">
        <v>1</v>
      </c>
      <c r="EC59" s="46">
        <v>0.2</v>
      </c>
      <c r="ED59" s="46">
        <v>0.05</v>
      </c>
      <c r="EE59" s="69"/>
      <c r="EF59" s="527"/>
      <c r="EG59" s="69"/>
      <c r="EH59" s="133" t="s">
        <v>1613</v>
      </c>
      <c r="EI59" s="222"/>
      <c r="EJ59" s="59">
        <f t="shared" si="138"/>
        <v>46518</v>
      </c>
      <c r="EK59" s="229"/>
      <c r="EL59" s="230"/>
      <c r="EM59" s="230"/>
      <c r="EN59" s="222"/>
      <c r="EO59" s="222" t="s">
        <v>544</v>
      </c>
      <c r="EP59" s="222"/>
      <c r="EQ59" s="220"/>
      <c r="ER59" s="223"/>
      <c r="ES59" s="220"/>
      <c r="ET59" s="220"/>
      <c r="EU59" s="220"/>
      <c r="EV59" s="220"/>
      <c r="EW59" s="220"/>
      <c r="EX59" s="220"/>
      <c r="EY59" s="220"/>
      <c r="EZ59" s="220"/>
      <c r="FA59" s="222" t="s">
        <v>570</v>
      </c>
      <c r="FB59" s="222"/>
      <c r="FC59" s="220"/>
      <c r="FD59" s="220"/>
      <c r="FE59" s="220"/>
      <c r="FF59" s="220"/>
      <c r="FG59" s="222"/>
      <c r="FH59" s="220"/>
      <c r="FI59" s="220"/>
      <c r="FJ59" s="220"/>
      <c r="FK59" s="220"/>
      <c r="FL59" s="215"/>
      <c r="FM59" s="172" t="s">
        <v>571</v>
      </c>
      <c r="FN59" s="172" t="s">
        <v>180</v>
      </c>
      <c r="FO59" s="224" t="s">
        <v>300</v>
      </c>
      <c r="FP59" s="172" t="s">
        <v>182</v>
      </c>
      <c r="FQ59" s="172" t="s">
        <v>290</v>
      </c>
      <c r="FR59" s="287" t="s">
        <v>224</v>
      </c>
      <c r="FS59" s="287"/>
      <c r="FT59" s="287" t="s">
        <v>572</v>
      </c>
      <c r="FU59" s="48">
        <v>10</v>
      </c>
    </row>
    <row r="60" spans="1:177" s="16" customFormat="1" ht="320">
      <c r="A60" s="64" t="s">
        <v>537</v>
      </c>
      <c r="B60" s="48" t="s">
        <v>538</v>
      </c>
      <c r="C60" s="64" t="s">
        <v>206</v>
      </c>
      <c r="D60" s="225" t="s">
        <v>207</v>
      </c>
      <c r="E60" s="63" t="s">
        <v>539</v>
      </c>
      <c r="F60" s="249">
        <v>1</v>
      </c>
      <c r="G60" s="65" t="s">
        <v>540</v>
      </c>
      <c r="H60" s="65" t="s">
        <v>541</v>
      </c>
      <c r="I60" s="65" t="s">
        <v>50</v>
      </c>
      <c r="J60" s="48">
        <v>2024</v>
      </c>
      <c r="K60" s="48">
        <v>2026</v>
      </c>
      <c r="L60" s="48" t="s">
        <v>288</v>
      </c>
      <c r="M60" s="48" t="s">
        <v>173</v>
      </c>
      <c r="N60" s="48" t="s">
        <v>174</v>
      </c>
      <c r="O60" s="63" t="s">
        <v>542</v>
      </c>
      <c r="P60" s="63" t="s">
        <v>212</v>
      </c>
      <c r="Q60" s="63" t="s">
        <v>189</v>
      </c>
      <c r="R60" s="66" t="s">
        <v>543</v>
      </c>
      <c r="S60" s="63" t="str">
        <f t="shared" si="71"/>
        <v>Proses Desain</v>
      </c>
      <c r="T60" s="63" t="str">
        <f t="shared" si="1"/>
        <v>On Progress</v>
      </c>
      <c r="U60" s="63" t="str">
        <f t="shared" si="72"/>
        <v>Aldo Fernanda</v>
      </c>
      <c r="V60" s="67">
        <f t="shared" si="73"/>
        <v>0.38500000000000001</v>
      </c>
      <c r="W60" s="66" t="s">
        <v>532</v>
      </c>
      <c r="X60" s="59">
        <f t="shared" si="74"/>
        <v>46340</v>
      </c>
      <c r="Y60" s="68">
        <v>0</v>
      </c>
      <c r="Z60" s="48"/>
      <c r="AA60" s="62"/>
      <c r="AB60" s="286">
        <v>2024</v>
      </c>
      <c r="AC60" s="42"/>
      <c r="AD60" s="286">
        <v>2024</v>
      </c>
      <c r="AE60" s="42"/>
      <c r="AF60" s="42"/>
      <c r="AG60" s="42"/>
      <c r="AH60" s="42"/>
      <c r="AI60" s="42">
        <v>45870</v>
      </c>
      <c r="AJ60" s="42">
        <v>45961</v>
      </c>
      <c r="AK60" s="42">
        <v>45931</v>
      </c>
      <c r="AL60" s="42">
        <v>46157</v>
      </c>
      <c r="AM60" s="42">
        <v>46160</v>
      </c>
      <c r="AN60" s="42">
        <v>46206</v>
      </c>
      <c r="AO60" s="42">
        <v>46209</v>
      </c>
      <c r="AP60" s="42">
        <v>46301</v>
      </c>
      <c r="AQ60" s="42">
        <v>46304</v>
      </c>
      <c r="AR60" s="42">
        <v>46340</v>
      </c>
      <c r="AS60" s="63" t="str">
        <f t="shared" si="79"/>
        <v>Proses Pengembangan</v>
      </c>
      <c r="AT60" s="63" t="str">
        <f t="shared" si="80"/>
        <v>Proses Pengembangan</v>
      </c>
      <c r="AU60" s="63" t="str">
        <f t="shared" si="81"/>
        <v>Proses Pengembangan</v>
      </c>
      <c r="AV60" s="63" t="str">
        <f t="shared" si="82"/>
        <v>Proses Pengembangan</v>
      </c>
      <c r="AW60" s="63" t="str">
        <f t="shared" si="83"/>
        <v>Selesai Pengembangan</v>
      </c>
      <c r="AX60" s="63" t="str">
        <f t="shared" si="84"/>
        <v>Proses SIT</v>
      </c>
      <c r="AY60" s="63" t="str">
        <f t="shared" si="85"/>
        <v>Proses SIT</v>
      </c>
      <c r="AZ60" s="63" t="str">
        <f t="shared" si="86"/>
        <v>Proses UAT</v>
      </c>
      <c r="BA60" s="63" t="str">
        <f t="shared" si="87"/>
        <v>Proses UAT</v>
      </c>
      <c r="BB60" s="63" t="str">
        <f t="shared" si="88"/>
        <v>Selesai UAT</v>
      </c>
      <c r="BC60" s="63" t="str">
        <f t="shared" si="76"/>
        <v>Selesai Implementasi</v>
      </c>
      <c r="BD60" s="63" t="str">
        <f t="shared" si="89"/>
        <v>Selesai Implementasi</v>
      </c>
      <c r="BE60" s="43">
        <v>0.55000000000000004</v>
      </c>
      <c r="BF60" s="43">
        <v>0.65</v>
      </c>
      <c r="BG60" s="43">
        <v>0.7</v>
      </c>
      <c r="BH60" s="43">
        <v>0.75</v>
      </c>
      <c r="BI60" s="43">
        <v>0.8</v>
      </c>
      <c r="BJ60" s="43">
        <v>0.84</v>
      </c>
      <c r="BK60" s="43">
        <v>0.87</v>
      </c>
      <c r="BL60" s="43">
        <v>0.9</v>
      </c>
      <c r="BM60" s="43">
        <v>0.92</v>
      </c>
      <c r="BN60" s="43">
        <v>0.95</v>
      </c>
      <c r="BO60" s="43">
        <v>1</v>
      </c>
      <c r="BP60" s="43">
        <v>1</v>
      </c>
      <c r="BQ60" s="63" t="str">
        <f t="shared" si="90"/>
        <v>Proses Desain</v>
      </c>
      <c r="BR60" s="63" t="str">
        <f t="shared" si="91"/>
        <v>Not Started</v>
      </c>
      <c r="BS60" s="63" t="str">
        <f t="shared" si="92"/>
        <v>Not Started</v>
      </c>
      <c r="BT60" s="63" t="str">
        <f t="shared" si="93"/>
        <v>Not Started</v>
      </c>
      <c r="BU60" s="63" t="str">
        <f t="shared" si="94"/>
        <v>Not Started</v>
      </c>
      <c r="BV60" s="63" t="str">
        <f t="shared" si="95"/>
        <v>Not Started</v>
      </c>
      <c r="BW60" s="63" t="str">
        <f t="shared" si="96"/>
        <v>Not Started</v>
      </c>
      <c r="BX60" s="63" t="str">
        <f t="shared" si="97"/>
        <v>Not Started</v>
      </c>
      <c r="BY60" s="63" t="str">
        <f t="shared" si="98"/>
        <v>Not Started</v>
      </c>
      <c r="BZ60" s="63" t="str">
        <f t="shared" si="99"/>
        <v>Not Started</v>
      </c>
      <c r="CA60" s="63" t="str">
        <f t="shared" si="100"/>
        <v>Not Started</v>
      </c>
      <c r="CB60" s="63" t="str">
        <f t="shared" si="101"/>
        <v>Not Started</v>
      </c>
      <c r="CC60" s="44">
        <f t="shared" si="137"/>
        <v>0.38500000000000001</v>
      </c>
      <c r="CD60" s="44"/>
      <c r="CE60" s="44"/>
      <c r="CF60" s="44"/>
      <c r="CG60" s="44"/>
      <c r="CH60" s="44"/>
      <c r="CI60" s="44"/>
      <c r="CJ60" s="44"/>
      <c r="CK60" s="44"/>
      <c r="CL60" s="44"/>
      <c r="CM60" s="44"/>
      <c r="CN60" s="44"/>
      <c r="CO60" s="45">
        <f t="shared" si="102"/>
        <v>0.7</v>
      </c>
      <c r="CP60" s="45">
        <f t="shared" si="103"/>
        <v>0</v>
      </c>
      <c r="CQ60" s="45">
        <f t="shared" si="104"/>
        <v>0</v>
      </c>
      <c r="CR60" s="45">
        <f t="shared" si="105"/>
        <v>0</v>
      </c>
      <c r="CS60" s="45">
        <f t="shared" si="106"/>
        <v>0</v>
      </c>
      <c r="CT60" s="45">
        <f t="shared" si="107"/>
        <v>0</v>
      </c>
      <c r="CU60" s="45">
        <f t="shared" si="108"/>
        <v>0</v>
      </c>
      <c r="CV60" s="45">
        <f t="shared" si="109"/>
        <v>0</v>
      </c>
      <c r="CW60" s="45">
        <f t="shared" si="110"/>
        <v>0</v>
      </c>
      <c r="CX60" s="45">
        <f t="shared" si="111"/>
        <v>0</v>
      </c>
      <c r="CY60" s="45">
        <f t="shared" si="77"/>
        <v>0</v>
      </c>
      <c r="CZ60" s="45"/>
      <c r="DA60" s="45" t="str">
        <f t="shared" si="112"/>
        <v>BS</v>
      </c>
      <c r="DB60" s="45" t="str">
        <f t="shared" si="113"/>
        <v>BS</v>
      </c>
      <c r="DC60" s="45" t="str">
        <f t="shared" si="114"/>
        <v>BS</v>
      </c>
      <c r="DD60" s="45" t="str">
        <f t="shared" si="115"/>
        <v>BS</v>
      </c>
      <c r="DE60" s="45" t="str">
        <f t="shared" si="116"/>
        <v>BS</v>
      </c>
      <c r="DF60" s="45" t="str">
        <f t="shared" si="117"/>
        <v>BS</v>
      </c>
      <c r="DG60" s="45" t="str">
        <f t="shared" si="118"/>
        <v>BS</v>
      </c>
      <c r="DH60" s="45" t="str">
        <f t="shared" si="119"/>
        <v>BS</v>
      </c>
      <c r="DI60" s="45" t="str">
        <f t="shared" si="120"/>
        <v>BS</v>
      </c>
      <c r="DJ60" s="45" t="str">
        <f t="shared" si="121"/>
        <v>BS</v>
      </c>
      <c r="DK60" s="45" t="str">
        <f t="shared" si="78"/>
        <v>BS</v>
      </c>
      <c r="DL60" s="45" t="str">
        <f t="shared" si="122"/>
        <v>BS</v>
      </c>
      <c r="DM60" s="45">
        <f t="shared" si="123"/>
        <v>0.38500000000000001</v>
      </c>
      <c r="DN60" s="45">
        <f t="shared" si="124"/>
        <v>0</v>
      </c>
      <c r="DO60" s="45">
        <f t="shared" si="125"/>
        <v>0</v>
      </c>
      <c r="DP60" s="45">
        <f t="shared" si="126"/>
        <v>0</v>
      </c>
      <c r="DQ60" s="45">
        <f t="shared" si="127"/>
        <v>0</v>
      </c>
      <c r="DR60" s="45">
        <f t="shared" si="128"/>
        <v>0</v>
      </c>
      <c r="DS60" s="45">
        <f t="shared" si="129"/>
        <v>0</v>
      </c>
      <c r="DT60" s="45">
        <f t="shared" si="130"/>
        <v>0</v>
      </c>
      <c r="DU60" s="45">
        <f t="shared" si="131"/>
        <v>0</v>
      </c>
      <c r="DV60" s="45">
        <f t="shared" si="132"/>
        <v>0</v>
      </c>
      <c r="DW60" s="45">
        <f t="shared" si="133"/>
        <v>0</v>
      </c>
      <c r="DX60" s="45">
        <f t="shared" si="134"/>
        <v>0</v>
      </c>
      <c r="DY60" s="46">
        <v>0.9</v>
      </c>
      <c r="DZ60" s="41">
        <v>0.7</v>
      </c>
      <c r="EA60" s="41">
        <v>1</v>
      </c>
      <c r="EB60" s="41">
        <v>0.9</v>
      </c>
      <c r="EC60" s="41">
        <v>0.8</v>
      </c>
      <c r="ED60" s="69"/>
      <c r="EE60" s="69"/>
      <c r="EF60" s="69"/>
      <c r="EG60" s="70"/>
      <c r="EH60" s="529" t="s">
        <v>1614</v>
      </c>
      <c r="EI60" s="260"/>
      <c r="EJ60" s="59">
        <f t="shared" si="138"/>
        <v>46340</v>
      </c>
      <c r="EK60" s="229"/>
      <c r="EL60" s="59"/>
      <c r="EM60" s="59"/>
      <c r="EN60" s="222"/>
      <c r="EO60" s="222" t="s">
        <v>544</v>
      </c>
      <c r="EP60" s="222"/>
      <c r="EQ60" s="220"/>
      <c r="ER60" s="223"/>
      <c r="ES60" s="220"/>
      <c r="ET60" s="222" t="s">
        <v>573</v>
      </c>
      <c r="EU60" s="222" t="s">
        <v>574</v>
      </c>
      <c r="EV60" s="220"/>
      <c r="EW60" s="220"/>
      <c r="EX60" s="220"/>
      <c r="EY60" s="220"/>
      <c r="EZ60" s="220"/>
      <c r="FA60" s="222" t="s">
        <v>545</v>
      </c>
      <c r="FB60" s="222"/>
      <c r="FC60" s="220"/>
      <c r="FD60" s="220"/>
      <c r="FE60" s="220"/>
      <c r="FF60" s="220" t="s">
        <v>546</v>
      </c>
      <c r="FG60" s="222"/>
      <c r="FH60" s="220"/>
      <c r="FI60" s="220"/>
      <c r="FJ60" s="220"/>
      <c r="FK60" s="220"/>
      <c r="FL60" s="215"/>
      <c r="FM60" s="172" t="s">
        <v>571</v>
      </c>
      <c r="FN60" s="172" t="s">
        <v>180</v>
      </c>
      <c r="FO60" s="224" t="s">
        <v>300</v>
      </c>
      <c r="FP60" s="172" t="s">
        <v>182</v>
      </c>
      <c r="FQ60" s="172" t="s">
        <v>290</v>
      </c>
      <c r="FR60" s="287" t="s">
        <v>549</v>
      </c>
      <c r="FS60" s="287" t="s">
        <v>550</v>
      </c>
      <c r="FT60" s="287" t="s">
        <v>551</v>
      </c>
      <c r="FU60" s="48">
        <v>10</v>
      </c>
    </row>
    <row r="61" spans="1:177" s="16" customFormat="1" ht="192">
      <c r="A61" s="64" t="s">
        <v>552</v>
      </c>
      <c r="B61" s="48" t="s">
        <v>538</v>
      </c>
      <c r="C61" s="64" t="s">
        <v>206</v>
      </c>
      <c r="D61" s="225" t="s">
        <v>207</v>
      </c>
      <c r="E61" s="63" t="s">
        <v>539</v>
      </c>
      <c r="F61" s="249">
        <v>2</v>
      </c>
      <c r="G61" s="65" t="s">
        <v>540</v>
      </c>
      <c r="H61" s="65" t="s">
        <v>541</v>
      </c>
      <c r="I61" s="65" t="s">
        <v>51</v>
      </c>
      <c r="J61" s="48">
        <v>2024</v>
      </c>
      <c r="K61" s="48">
        <v>2026</v>
      </c>
      <c r="L61" s="48" t="s">
        <v>288</v>
      </c>
      <c r="M61" s="48" t="s">
        <v>173</v>
      </c>
      <c r="N61" s="48" t="s">
        <v>174</v>
      </c>
      <c r="O61" s="63" t="s">
        <v>553</v>
      </c>
      <c r="P61" s="63" t="s">
        <v>212</v>
      </c>
      <c r="Q61" s="63" t="s">
        <v>297</v>
      </c>
      <c r="R61" s="66" t="s">
        <v>310</v>
      </c>
      <c r="S61" s="63" t="str">
        <f t="shared" si="71"/>
        <v>Proses Desain</v>
      </c>
      <c r="T61" s="63" t="str">
        <f t="shared" si="1"/>
        <v>On Progress</v>
      </c>
      <c r="U61" s="63" t="str">
        <f t="shared" si="72"/>
        <v>Pahman Hasibuan</v>
      </c>
      <c r="V61" s="67">
        <f t="shared" si="73"/>
        <v>0.435</v>
      </c>
      <c r="W61" s="66" t="s">
        <v>380</v>
      </c>
      <c r="X61" s="59">
        <f t="shared" si="74"/>
        <v>46356</v>
      </c>
      <c r="Y61" s="68">
        <v>2025</v>
      </c>
      <c r="Z61" s="48"/>
      <c r="AA61" s="62">
        <v>45413</v>
      </c>
      <c r="AB61" s="42">
        <v>45565</v>
      </c>
      <c r="AC61" s="42">
        <v>45413</v>
      </c>
      <c r="AD61" s="42"/>
      <c r="AE61" s="42">
        <v>45566</v>
      </c>
      <c r="AF61" s="42">
        <v>45625</v>
      </c>
      <c r="AG61" s="42">
        <v>45628</v>
      </c>
      <c r="AH61" s="42">
        <v>45716</v>
      </c>
      <c r="AI61" s="42">
        <v>45901</v>
      </c>
      <c r="AJ61" s="42">
        <v>46053</v>
      </c>
      <c r="AK61" s="42">
        <v>46054</v>
      </c>
      <c r="AL61" s="42">
        <v>46157</v>
      </c>
      <c r="AM61" s="42">
        <v>46158</v>
      </c>
      <c r="AN61" s="42">
        <v>46218</v>
      </c>
      <c r="AO61" s="42">
        <v>46219</v>
      </c>
      <c r="AP61" s="42">
        <v>46310</v>
      </c>
      <c r="AQ61" s="42">
        <v>46311</v>
      </c>
      <c r="AR61" s="42">
        <v>46356</v>
      </c>
      <c r="AS61" s="63" t="str">
        <f t="shared" si="79"/>
        <v>Selesai Desain</v>
      </c>
      <c r="AT61" s="63" t="str">
        <f t="shared" si="80"/>
        <v>Proses Pengembangan</v>
      </c>
      <c r="AU61" s="63" t="str">
        <f t="shared" si="81"/>
        <v>Proses Pengembangan</v>
      </c>
      <c r="AV61" s="63" t="str">
        <f t="shared" si="82"/>
        <v>Proses Pengembangan</v>
      </c>
      <c r="AW61" s="63" t="str">
        <f t="shared" si="83"/>
        <v>Selesai Pengembangan</v>
      </c>
      <c r="AX61" s="63" t="str">
        <f t="shared" si="84"/>
        <v>Proses SIT</v>
      </c>
      <c r="AY61" s="63" t="str">
        <f t="shared" si="85"/>
        <v>Proses SIT</v>
      </c>
      <c r="AZ61" s="63" t="str">
        <f t="shared" si="86"/>
        <v>Proses UAT</v>
      </c>
      <c r="BA61" s="63" t="str">
        <f t="shared" si="87"/>
        <v>Proses UAT</v>
      </c>
      <c r="BB61" s="63" t="str">
        <f t="shared" si="88"/>
        <v>Selesai UAT</v>
      </c>
      <c r="BC61" s="63" t="str">
        <f t="shared" si="76"/>
        <v>Selesai Implementasi</v>
      </c>
      <c r="BD61" s="63" t="str">
        <f t="shared" si="89"/>
        <v>Selesai Implementasi</v>
      </c>
      <c r="BE61" s="43">
        <v>0.45</v>
      </c>
      <c r="BF61" s="43">
        <v>0.52</v>
      </c>
      <c r="BG61" s="43">
        <v>0.6</v>
      </c>
      <c r="BH61" s="43">
        <v>0.72</v>
      </c>
      <c r="BI61" s="43">
        <v>0.8</v>
      </c>
      <c r="BJ61" s="43">
        <v>0.84</v>
      </c>
      <c r="BK61" s="43">
        <v>0.87</v>
      </c>
      <c r="BL61" s="43">
        <v>0.9</v>
      </c>
      <c r="BM61" s="43">
        <v>0.92</v>
      </c>
      <c r="BN61" s="43">
        <v>0.95</v>
      </c>
      <c r="BO61" s="43">
        <v>1</v>
      </c>
      <c r="BP61" s="43">
        <v>1</v>
      </c>
      <c r="BQ61" s="63" t="str">
        <f t="shared" si="90"/>
        <v>Proses Desain</v>
      </c>
      <c r="BR61" s="63" t="str">
        <f t="shared" si="91"/>
        <v>Not Started</v>
      </c>
      <c r="BS61" s="63" t="str">
        <f t="shared" si="92"/>
        <v>Not Started</v>
      </c>
      <c r="BT61" s="63" t="str">
        <f t="shared" si="93"/>
        <v>Not Started</v>
      </c>
      <c r="BU61" s="63" t="str">
        <f t="shared" si="94"/>
        <v>Not Started</v>
      </c>
      <c r="BV61" s="63" t="str">
        <f t="shared" si="95"/>
        <v>Not Started</v>
      </c>
      <c r="BW61" s="63" t="str">
        <f t="shared" si="96"/>
        <v>Not Started</v>
      </c>
      <c r="BX61" s="63" t="str">
        <f t="shared" si="97"/>
        <v>Not Started</v>
      </c>
      <c r="BY61" s="63" t="str">
        <f t="shared" si="98"/>
        <v>Not Started</v>
      </c>
      <c r="BZ61" s="63" t="str">
        <f t="shared" si="99"/>
        <v>Not Started</v>
      </c>
      <c r="CA61" s="63" t="str">
        <f t="shared" si="100"/>
        <v>Not Started</v>
      </c>
      <c r="CB61" s="63" t="str">
        <f t="shared" si="101"/>
        <v>Not Started</v>
      </c>
      <c r="CC61" s="44">
        <f t="shared" si="137"/>
        <v>0.435</v>
      </c>
      <c r="CD61" s="44"/>
      <c r="CE61" s="44"/>
      <c r="CF61" s="44"/>
      <c r="CG61" s="44"/>
      <c r="CH61" s="44"/>
      <c r="CI61" s="44"/>
      <c r="CJ61" s="44"/>
      <c r="CK61" s="44"/>
      <c r="CL61" s="44"/>
      <c r="CM61" s="44"/>
      <c r="CN61" s="44"/>
      <c r="CO61" s="45">
        <f t="shared" si="102"/>
        <v>0.96666666666666667</v>
      </c>
      <c r="CP61" s="45">
        <f t="shared" si="103"/>
        <v>0</v>
      </c>
      <c r="CQ61" s="45">
        <f t="shared" si="104"/>
        <v>0</v>
      </c>
      <c r="CR61" s="45">
        <f t="shared" si="105"/>
        <v>0</v>
      </c>
      <c r="CS61" s="45">
        <f t="shared" si="106"/>
        <v>0</v>
      </c>
      <c r="CT61" s="45">
        <f t="shared" si="107"/>
        <v>0</v>
      </c>
      <c r="CU61" s="45">
        <f t="shared" si="108"/>
        <v>0</v>
      </c>
      <c r="CV61" s="45">
        <f t="shared" si="109"/>
        <v>0</v>
      </c>
      <c r="CW61" s="45">
        <f t="shared" si="110"/>
        <v>0</v>
      </c>
      <c r="CX61" s="45">
        <f t="shared" si="111"/>
        <v>0</v>
      </c>
      <c r="CY61" s="45">
        <f t="shared" si="77"/>
        <v>0</v>
      </c>
      <c r="CZ61" s="45"/>
      <c r="DA61" s="45" t="str">
        <f t="shared" si="112"/>
        <v>OS</v>
      </c>
      <c r="DB61" s="45" t="str">
        <f t="shared" si="113"/>
        <v>BS</v>
      </c>
      <c r="DC61" s="45" t="str">
        <f t="shared" si="114"/>
        <v>BS</v>
      </c>
      <c r="DD61" s="45" t="str">
        <f t="shared" si="115"/>
        <v>BS</v>
      </c>
      <c r="DE61" s="45" t="str">
        <f t="shared" si="116"/>
        <v>BS</v>
      </c>
      <c r="DF61" s="45" t="str">
        <f t="shared" si="117"/>
        <v>BS</v>
      </c>
      <c r="DG61" s="45" t="str">
        <f t="shared" si="118"/>
        <v>BS</v>
      </c>
      <c r="DH61" s="45" t="str">
        <f t="shared" si="119"/>
        <v>BS</v>
      </c>
      <c r="DI61" s="45" t="str">
        <f t="shared" si="120"/>
        <v>BS</v>
      </c>
      <c r="DJ61" s="45" t="str">
        <f t="shared" si="121"/>
        <v>BS</v>
      </c>
      <c r="DK61" s="45" t="str">
        <f t="shared" si="78"/>
        <v>BS</v>
      </c>
      <c r="DL61" s="45" t="str">
        <f t="shared" si="122"/>
        <v>BS</v>
      </c>
      <c r="DM61" s="45">
        <f t="shared" si="123"/>
        <v>0.435</v>
      </c>
      <c r="DN61" s="45">
        <f t="shared" si="124"/>
        <v>0</v>
      </c>
      <c r="DO61" s="45">
        <f t="shared" si="125"/>
        <v>0</v>
      </c>
      <c r="DP61" s="45">
        <f t="shared" si="126"/>
        <v>0</v>
      </c>
      <c r="DQ61" s="45">
        <f t="shared" si="127"/>
        <v>0</v>
      </c>
      <c r="DR61" s="45">
        <f t="shared" si="128"/>
        <v>0</v>
      </c>
      <c r="DS61" s="45">
        <f t="shared" si="129"/>
        <v>0</v>
      </c>
      <c r="DT61" s="45">
        <f t="shared" si="130"/>
        <v>0</v>
      </c>
      <c r="DU61" s="45">
        <f t="shared" si="131"/>
        <v>0</v>
      </c>
      <c r="DV61" s="45">
        <f t="shared" si="132"/>
        <v>0</v>
      </c>
      <c r="DW61" s="45">
        <f t="shared" si="133"/>
        <v>0</v>
      </c>
      <c r="DX61" s="45">
        <f t="shared" si="134"/>
        <v>0</v>
      </c>
      <c r="DY61" s="46">
        <v>1</v>
      </c>
      <c r="DZ61" s="46">
        <v>1</v>
      </c>
      <c r="EA61" s="46">
        <v>1</v>
      </c>
      <c r="EB61" s="46">
        <v>1</v>
      </c>
      <c r="EC61" s="46">
        <v>0.9</v>
      </c>
      <c r="ED61" s="41">
        <v>0</v>
      </c>
      <c r="EE61" s="41">
        <v>0</v>
      </c>
      <c r="EF61" s="41">
        <v>0</v>
      </c>
      <c r="EG61" s="74">
        <v>0</v>
      </c>
      <c r="EH61" s="47" t="s">
        <v>1511</v>
      </c>
      <c r="EI61" s="260"/>
      <c r="EJ61" s="59">
        <f t="shared" si="138"/>
        <v>46356</v>
      </c>
      <c r="EK61" s="229"/>
      <c r="EL61" s="229"/>
      <c r="EM61" s="229"/>
      <c r="EN61" s="222"/>
      <c r="EO61" s="222" t="s">
        <v>544</v>
      </c>
      <c r="EP61" s="222"/>
      <c r="EQ61" s="220"/>
      <c r="ER61" s="223"/>
      <c r="ES61" s="220"/>
      <c r="ET61" s="220"/>
      <c r="EU61" s="220"/>
      <c r="EV61" s="220"/>
      <c r="EW61" s="220"/>
      <c r="EX61" s="220"/>
      <c r="EY61" s="220"/>
      <c r="EZ61" s="220"/>
      <c r="FA61" s="222"/>
      <c r="FB61" s="222"/>
      <c r="FC61" s="220"/>
      <c r="FD61" s="220"/>
      <c r="FE61" s="220"/>
      <c r="FF61" s="220"/>
      <c r="FG61" s="222"/>
      <c r="FH61" s="220"/>
      <c r="FI61" s="220"/>
      <c r="FJ61" s="220"/>
      <c r="FK61" s="220"/>
      <c r="FL61" s="215"/>
      <c r="FM61" s="172" t="s">
        <v>554</v>
      </c>
      <c r="FN61" s="172" t="s">
        <v>299</v>
      </c>
      <c r="FO61" s="224" t="s">
        <v>300</v>
      </c>
      <c r="FP61" s="172" t="s">
        <v>555</v>
      </c>
      <c r="FQ61" s="172"/>
      <c r="FR61" s="287" t="s">
        <v>549</v>
      </c>
      <c r="FS61" s="287" t="s">
        <v>345</v>
      </c>
      <c r="FT61" s="213" t="s">
        <v>346</v>
      </c>
      <c r="FU61" s="48">
        <v>4</v>
      </c>
    </row>
    <row r="62" spans="1:177" s="16" customFormat="1" ht="224">
      <c r="A62" s="64" t="s">
        <v>557</v>
      </c>
      <c r="B62" s="48" t="s">
        <v>538</v>
      </c>
      <c r="C62" s="64" t="s">
        <v>206</v>
      </c>
      <c r="D62" s="225" t="s">
        <v>207</v>
      </c>
      <c r="E62" s="63" t="s">
        <v>539</v>
      </c>
      <c r="F62" s="249">
        <v>3</v>
      </c>
      <c r="G62" s="65" t="s">
        <v>540</v>
      </c>
      <c r="H62" s="65" t="s">
        <v>541</v>
      </c>
      <c r="I62" s="65" t="s">
        <v>52</v>
      </c>
      <c r="J62" s="48">
        <v>2024</v>
      </c>
      <c r="K62" s="48">
        <v>2026</v>
      </c>
      <c r="L62" s="48" t="s">
        <v>288</v>
      </c>
      <c r="M62" s="48" t="s">
        <v>173</v>
      </c>
      <c r="N62" s="48" t="s">
        <v>174</v>
      </c>
      <c r="O62" s="63" t="s">
        <v>472</v>
      </c>
      <c r="P62" s="63" t="s">
        <v>212</v>
      </c>
      <c r="Q62" s="63" t="s">
        <v>558</v>
      </c>
      <c r="R62" s="66" t="s">
        <v>559</v>
      </c>
      <c r="S62" s="63" t="str">
        <f t="shared" si="71"/>
        <v>Proses Pengadaan</v>
      </c>
      <c r="T62" s="63" t="str">
        <f t="shared" si="1"/>
        <v>On Progress</v>
      </c>
      <c r="U62" s="63" t="str">
        <f t="shared" si="72"/>
        <v>Rangga Dhaniarto</v>
      </c>
      <c r="V62" s="67">
        <f t="shared" si="73"/>
        <v>0.28750000000000003</v>
      </c>
      <c r="W62" s="66" t="s">
        <v>380</v>
      </c>
      <c r="X62" s="59">
        <f t="shared" si="74"/>
        <v>46325</v>
      </c>
      <c r="Y62" s="68">
        <v>1</v>
      </c>
      <c r="Z62" s="48"/>
      <c r="AA62" s="271"/>
      <c r="AB62" s="235" t="s">
        <v>560</v>
      </c>
      <c r="AC62" s="42"/>
      <c r="AD62" s="42"/>
      <c r="AE62" s="48"/>
      <c r="AF62" s="48"/>
      <c r="AG62" s="48"/>
      <c r="AH62" s="48"/>
      <c r="AI62" s="42">
        <v>46027</v>
      </c>
      <c r="AJ62" s="42">
        <v>46073</v>
      </c>
      <c r="AK62" s="42">
        <v>46076</v>
      </c>
      <c r="AL62" s="42">
        <v>46192</v>
      </c>
      <c r="AM62" s="42">
        <v>46195</v>
      </c>
      <c r="AN62" s="42">
        <v>46206</v>
      </c>
      <c r="AO62" s="42">
        <v>46209</v>
      </c>
      <c r="AP62" s="42">
        <v>46304</v>
      </c>
      <c r="AQ62" s="42">
        <v>46321</v>
      </c>
      <c r="AR62" s="42">
        <v>46325</v>
      </c>
      <c r="AS62" s="63" t="str">
        <f t="shared" si="79"/>
        <v>Proses Desain</v>
      </c>
      <c r="AT62" s="63" t="str">
        <f t="shared" si="80"/>
        <v>Selesai Desain</v>
      </c>
      <c r="AU62" s="63" t="str">
        <f t="shared" si="81"/>
        <v>Proses Pengembangan</v>
      </c>
      <c r="AV62" s="63" t="str">
        <f t="shared" si="82"/>
        <v>Proses Pengembangan</v>
      </c>
      <c r="AW62" s="63" t="str">
        <f t="shared" si="83"/>
        <v>Proses Pengembangan</v>
      </c>
      <c r="AX62" s="63" t="str">
        <f t="shared" si="84"/>
        <v>Selesai Pengembangan</v>
      </c>
      <c r="AY62" s="63" t="str">
        <f t="shared" si="85"/>
        <v>Proses SIT</v>
      </c>
      <c r="AZ62" s="63" t="str">
        <f t="shared" si="86"/>
        <v>Proses UAT</v>
      </c>
      <c r="BA62" s="63" t="str">
        <f t="shared" si="87"/>
        <v>Proses UAT</v>
      </c>
      <c r="BB62" s="63" t="str">
        <f t="shared" si="88"/>
        <v>Selesai Implementasi</v>
      </c>
      <c r="BC62" s="63" t="str">
        <f t="shared" si="76"/>
        <v>Selesai Implementasi</v>
      </c>
      <c r="BD62" s="63" t="str">
        <f t="shared" si="89"/>
        <v>Selesai Implementasi</v>
      </c>
      <c r="BE62" s="43">
        <v>0.37</v>
      </c>
      <c r="BF62" s="43">
        <v>0.45</v>
      </c>
      <c r="BG62" s="43">
        <v>0.56000000000000005</v>
      </c>
      <c r="BH62" s="43">
        <v>0.67</v>
      </c>
      <c r="BI62" s="43">
        <v>0.78</v>
      </c>
      <c r="BJ62" s="43">
        <v>0.8</v>
      </c>
      <c r="BK62" s="43">
        <v>0.87</v>
      </c>
      <c r="BL62" s="43">
        <v>0.9</v>
      </c>
      <c r="BM62" s="43">
        <v>0.92</v>
      </c>
      <c r="BN62" s="43">
        <v>1</v>
      </c>
      <c r="BO62" s="43">
        <v>1</v>
      </c>
      <c r="BP62" s="43">
        <v>1</v>
      </c>
      <c r="BQ62" s="63" t="str">
        <f t="shared" si="90"/>
        <v>Proses Pengadaan</v>
      </c>
      <c r="BR62" s="63" t="str">
        <f t="shared" si="91"/>
        <v>Not Started</v>
      </c>
      <c r="BS62" s="63" t="str">
        <f t="shared" si="92"/>
        <v>Not Started</v>
      </c>
      <c r="BT62" s="63" t="str">
        <f t="shared" si="93"/>
        <v>Not Started</v>
      </c>
      <c r="BU62" s="63" t="str">
        <f t="shared" si="94"/>
        <v>Not Started</v>
      </c>
      <c r="BV62" s="63" t="str">
        <f t="shared" si="95"/>
        <v>Not Started</v>
      </c>
      <c r="BW62" s="63" t="str">
        <f t="shared" si="96"/>
        <v>Not Started</v>
      </c>
      <c r="BX62" s="63" t="str">
        <f t="shared" si="97"/>
        <v>Not Started</v>
      </c>
      <c r="BY62" s="63" t="str">
        <f t="shared" si="98"/>
        <v>Not Started</v>
      </c>
      <c r="BZ62" s="63" t="str">
        <f t="shared" si="99"/>
        <v>Not Started</v>
      </c>
      <c r="CA62" s="63" t="str">
        <f t="shared" si="100"/>
        <v>Not Started</v>
      </c>
      <c r="CB62" s="63" t="str">
        <f t="shared" si="101"/>
        <v>Not Started</v>
      </c>
      <c r="CC62" s="44">
        <f t="shared" si="137"/>
        <v>0.28750000000000003</v>
      </c>
      <c r="CD62" s="44"/>
      <c r="CE62" s="44"/>
      <c r="CF62" s="44"/>
      <c r="CG62" s="44"/>
      <c r="CH62" s="44"/>
      <c r="CI62" s="44"/>
      <c r="CJ62" s="44"/>
      <c r="CK62" s="44"/>
      <c r="CL62" s="44"/>
      <c r="CM62" s="44"/>
      <c r="CN62" s="44"/>
      <c r="CO62" s="45">
        <f t="shared" si="102"/>
        <v>0.77702702702702708</v>
      </c>
      <c r="CP62" s="45">
        <f t="shared" si="103"/>
        <v>0</v>
      </c>
      <c r="CQ62" s="45">
        <f t="shared" si="104"/>
        <v>0</v>
      </c>
      <c r="CR62" s="45">
        <f t="shared" si="105"/>
        <v>0</v>
      </c>
      <c r="CS62" s="45">
        <f t="shared" si="106"/>
        <v>0</v>
      </c>
      <c r="CT62" s="45">
        <f t="shared" si="107"/>
        <v>0</v>
      </c>
      <c r="CU62" s="45">
        <f t="shared" si="108"/>
        <v>0</v>
      </c>
      <c r="CV62" s="45">
        <f t="shared" si="109"/>
        <v>0</v>
      </c>
      <c r="CW62" s="45">
        <f t="shared" si="110"/>
        <v>0</v>
      </c>
      <c r="CX62" s="45">
        <f t="shared" si="111"/>
        <v>0</v>
      </c>
      <c r="CY62" s="45">
        <f t="shared" si="77"/>
        <v>0</v>
      </c>
      <c r="CZ62" s="45"/>
      <c r="DA62" s="45" t="str">
        <f t="shared" si="112"/>
        <v>AR</v>
      </c>
      <c r="DB62" s="45" t="str">
        <f t="shared" si="113"/>
        <v>BS</v>
      </c>
      <c r="DC62" s="45" t="str">
        <f t="shared" si="114"/>
        <v>BS</v>
      </c>
      <c r="DD62" s="45" t="str">
        <f t="shared" si="115"/>
        <v>BS</v>
      </c>
      <c r="DE62" s="45" t="str">
        <f t="shared" si="116"/>
        <v>BS</v>
      </c>
      <c r="DF62" s="45" t="str">
        <f t="shared" si="117"/>
        <v>BS</v>
      </c>
      <c r="DG62" s="45" t="str">
        <f t="shared" si="118"/>
        <v>BS</v>
      </c>
      <c r="DH62" s="45" t="str">
        <f t="shared" si="119"/>
        <v>BS</v>
      </c>
      <c r="DI62" s="45" t="str">
        <f t="shared" si="120"/>
        <v>BS</v>
      </c>
      <c r="DJ62" s="45" t="str">
        <f t="shared" si="121"/>
        <v>BS</v>
      </c>
      <c r="DK62" s="45" t="str">
        <f t="shared" si="78"/>
        <v>BS</v>
      </c>
      <c r="DL62" s="45" t="str">
        <f t="shared" si="122"/>
        <v>BS</v>
      </c>
      <c r="DM62" s="45">
        <f t="shared" si="123"/>
        <v>0.28750000000000003</v>
      </c>
      <c r="DN62" s="45">
        <f t="shared" si="124"/>
        <v>0</v>
      </c>
      <c r="DO62" s="45">
        <f t="shared" si="125"/>
        <v>0</v>
      </c>
      <c r="DP62" s="45">
        <f t="shared" si="126"/>
        <v>0</v>
      </c>
      <c r="DQ62" s="45">
        <f t="shared" si="127"/>
        <v>0</v>
      </c>
      <c r="DR62" s="45">
        <f t="shared" si="128"/>
        <v>0</v>
      </c>
      <c r="DS62" s="45">
        <f t="shared" si="129"/>
        <v>0</v>
      </c>
      <c r="DT62" s="45">
        <f t="shared" si="130"/>
        <v>0</v>
      </c>
      <c r="DU62" s="45">
        <f t="shared" si="131"/>
        <v>0</v>
      </c>
      <c r="DV62" s="45">
        <f t="shared" si="132"/>
        <v>0</v>
      </c>
      <c r="DW62" s="45">
        <f t="shared" si="133"/>
        <v>0</v>
      </c>
      <c r="DX62" s="45">
        <f t="shared" si="134"/>
        <v>0</v>
      </c>
      <c r="DY62" s="41">
        <v>0.9</v>
      </c>
      <c r="DZ62" s="46">
        <v>0.9</v>
      </c>
      <c r="EA62" s="41">
        <v>1</v>
      </c>
      <c r="EB62" s="41">
        <v>1</v>
      </c>
      <c r="EC62" s="41">
        <v>0.05</v>
      </c>
      <c r="ED62" s="60">
        <v>0</v>
      </c>
      <c r="EE62" s="41">
        <v>0</v>
      </c>
      <c r="EF62" s="41">
        <v>0</v>
      </c>
      <c r="EG62" s="41">
        <v>0</v>
      </c>
      <c r="EH62" s="75" t="s">
        <v>575</v>
      </c>
      <c r="EI62" s="231"/>
      <c r="EJ62" s="59">
        <f t="shared" si="138"/>
        <v>46325</v>
      </c>
      <c r="EK62" s="229"/>
      <c r="EL62" s="229"/>
      <c r="EM62" s="229"/>
      <c r="EN62" s="222"/>
      <c r="EO62" s="222" t="s">
        <v>544</v>
      </c>
      <c r="EP62" s="222"/>
      <c r="EQ62" s="220"/>
      <c r="ER62" s="223"/>
      <c r="ES62" s="220"/>
      <c r="ET62" s="220"/>
      <c r="EU62" s="220"/>
      <c r="EV62" s="220"/>
      <c r="EW62" s="220"/>
      <c r="EX62" s="220"/>
      <c r="EY62" s="220"/>
      <c r="EZ62" s="220"/>
      <c r="FA62" s="222"/>
      <c r="FB62" s="222"/>
      <c r="FC62" s="220"/>
      <c r="FD62" s="220"/>
      <c r="FE62" s="220"/>
      <c r="FF62" s="220"/>
      <c r="FG62" s="222"/>
      <c r="FH62" s="220"/>
      <c r="FI62" s="220"/>
      <c r="FJ62" s="220"/>
      <c r="FK62" s="220"/>
      <c r="FL62" s="215"/>
      <c r="FM62" s="172" t="s">
        <v>562</v>
      </c>
      <c r="FN62" s="172" t="s">
        <v>563</v>
      </c>
      <c r="FO62" s="224" t="s">
        <v>300</v>
      </c>
      <c r="FP62" s="172" t="s">
        <v>564</v>
      </c>
      <c r="FQ62" s="172" t="s">
        <v>290</v>
      </c>
      <c r="FR62" s="223" t="s">
        <v>184</v>
      </c>
      <c r="FS62" s="287" t="s">
        <v>566</v>
      </c>
      <c r="FT62" s="287" t="s">
        <v>567</v>
      </c>
      <c r="FU62" s="48">
        <v>4</v>
      </c>
    </row>
    <row r="63" spans="1:177" s="16" customFormat="1" ht="384">
      <c r="A63" s="64" t="s">
        <v>576</v>
      </c>
      <c r="B63" s="263"/>
      <c r="C63" s="64" t="s">
        <v>206</v>
      </c>
      <c r="D63" s="225" t="s">
        <v>207</v>
      </c>
      <c r="E63" s="63" t="s">
        <v>577</v>
      </c>
      <c r="F63" s="249">
        <v>1</v>
      </c>
      <c r="G63" s="65" t="s">
        <v>578</v>
      </c>
      <c r="H63" s="65" t="s">
        <v>578</v>
      </c>
      <c r="I63" s="65" t="s">
        <v>579</v>
      </c>
      <c r="J63" s="48">
        <v>2024</v>
      </c>
      <c r="K63" s="48">
        <v>2027</v>
      </c>
      <c r="L63" s="48" t="s">
        <v>352</v>
      </c>
      <c r="M63" s="48" t="s">
        <v>173</v>
      </c>
      <c r="N63" s="48" t="s">
        <v>174</v>
      </c>
      <c r="O63" s="63" t="s">
        <v>580</v>
      </c>
      <c r="P63" s="63" t="s">
        <v>458</v>
      </c>
      <c r="Q63" s="63" t="s">
        <v>297</v>
      </c>
      <c r="R63" s="63" t="s">
        <v>578</v>
      </c>
      <c r="S63" s="63" t="str">
        <f t="shared" si="71"/>
        <v>Proses Desain</v>
      </c>
      <c r="T63" s="63" t="str">
        <f t="shared" si="1"/>
        <v>On Progress</v>
      </c>
      <c r="U63" s="63" t="str">
        <f t="shared" si="72"/>
        <v>Yolanda Dini</v>
      </c>
      <c r="V63" s="67">
        <f t="shared" si="73"/>
        <v>0.375</v>
      </c>
      <c r="W63" s="66" t="s">
        <v>380</v>
      </c>
      <c r="X63" s="59">
        <f t="shared" si="74"/>
        <v>46446</v>
      </c>
      <c r="Y63" s="278">
        <v>1</v>
      </c>
      <c r="Z63" s="48"/>
      <c r="AA63" s="62"/>
      <c r="AB63" s="42"/>
      <c r="AC63" s="218"/>
      <c r="AD63" s="218"/>
      <c r="AE63" s="42">
        <v>45689</v>
      </c>
      <c r="AF63" s="42">
        <v>45716</v>
      </c>
      <c r="AG63" s="42">
        <v>45689</v>
      </c>
      <c r="AH63" s="42">
        <v>45991</v>
      </c>
      <c r="AI63" s="42">
        <v>45992</v>
      </c>
      <c r="AJ63" s="42">
        <v>46053</v>
      </c>
      <c r="AK63" s="42">
        <v>46054</v>
      </c>
      <c r="AL63" s="42">
        <v>46265</v>
      </c>
      <c r="AM63" s="42">
        <v>46266</v>
      </c>
      <c r="AN63" s="42">
        <v>46341</v>
      </c>
      <c r="AO63" s="42">
        <v>46342</v>
      </c>
      <c r="AP63" s="42">
        <v>46418</v>
      </c>
      <c r="AQ63" s="59">
        <v>46419</v>
      </c>
      <c r="AR63" s="42">
        <v>46446</v>
      </c>
      <c r="AS63" s="63" t="str">
        <f t="shared" si="79"/>
        <v>Selesai Desain</v>
      </c>
      <c r="AT63" s="63" t="str">
        <f t="shared" si="80"/>
        <v>Proses Pengembangan</v>
      </c>
      <c r="AU63" s="63" t="str">
        <f t="shared" si="81"/>
        <v>Proses Pengembangan</v>
      </c>
      <c r="AV63" s="63" t="str">
        <f t="shared" si="82"/>
        <v>Proses Pengembangan</v>
      </c>
      <c r="AW63" s="63" t="str">
        <f t="shared" si="83"/>
        <v>Proses Pengembangan</v>
      </c>
      <c r="AX63" s="63" t="str">
        <f t="shared" si="84"/>
        <v>Proses Pengembangan</v>
      </c>
      <c r="AY63" s="63" t="str">
        <f t="shared" si="85"/>
        <v>Proses Pengembangan</v>
      </c>
      <c r="AZ63" s="63" t="str">
        <f t="shared" si="86"/>
        <v>Selesai Pengembangan</v>
      </c>
      <c r="BA63" s="63" t="str">
        <f t="shared" si="87"/>
        <v>Proses SIT</v>
      </c>
      <c r="BB63" s="63" t="str">
        <f t="shared" si="88"/>
        <v>Proses SIT</v>
      </c>
      <c r="BC63" s="63" t="str">
        <f t="shared" si="76"/>
        <v>Proses SIT</v>
      </c>
      <c r="BD63" s="63" t="str">
        <f t="shared" si="89"/>
        <v>Proses UAT</v>
      </c>
      <c r="BE63" s="43">
        <v>0.45</v>
      </c>
      <c r="BF63" s="43">
        <v>0.5</v>
      </c>
      <c r="BG63" s="43">
        <v>0.55000000000000004</v>
      </c>
      <c r="BH63" s="43">
        <v>0.6</v>
      </c>
      <c r="BI63" s="43">
        <v>0.65</v>
      </c>
      <c r="BJ63" s="43">
        <v>0.7</v>
      </c>
      <c r="BK63" s="43">
        <v>0.75</v>
      </c>
      <c r="BL63" s="43">
        <v>0.8</v>
      </c>
      <c r="BM63" s="43">
        <v>0.82</v>
      </c>
      <c r="BN63" s="43">
        <v>0.85</v>
      </c>
      <c r="BO63" s="43">
        <v>0.87</v>
      </c>
      <c r="BP63" s="43">
        <v>0.9</v>
      </c>
      <c r="BQ63" s="63" t="str">
        <f t="shared" si="90"/>
        <v>Proses Desain</v>
      </c>
      <c r="BR63" s="63" t="str">
        <f t="shared" si="91"/>
        <v>Not Started</v>
      </c>
      <c r="BS63" s="63" t="str">
        <f t="shared" si="92"/>
        <v>Not Started</v>
      </c>
      <c r="BT63" s="63" t="str">
        <f t="shared" si="93"/>
        <v>Not Started</v>
      </c>
      <c r="BU63" s="63" t="str">
        <f t="shared" si="94"/>
        <v>Not Started</v>
      </c>
      <c r="BV63" s="63" t="str">
        <f t="shared" si="95"/>
        <v>Not Started</v>
      </c>
      <c r="BW63" s="63" t="str">
        <f t="shared" si="96"/>
        <v>Not Started</v>
      </c>
      <c r="BX63" s="63" t="str">
        <f t="shared" si="97"/>
        <v>Not Started</v>
      </c>
      <c r="BY63" s="63" t="str">
        <f t="shared" si="98"/>
        <v>Not Started</v>
      </c>
      <c r="BZ63" s="63" t="str">
        <f t="shared" si="99"/>
        <v>Not Started</v>
      </c>
      <c r="CA63" s="63" t="str">
        <f t="shared" si="100"/>
        <v>Not Started</v>
      </c>
      <c r="CB63" s="63" t="str">
        <f t="shared" si="101"/>
        <v>Not Started</v>
      </c>
      <c r="CC63" s="44">
        <f t="shared" si="137"/>
        <v>0.375</v>
      </c>
      <c r="CD63" s="44"/>
      <c r="CE63" s="44"/>
      <c r="CF63" s="44"/>
      <c r="CG63" s="44"/>
      <c r="CH63" s="44"/>
      <c r="CI63" s="44"/>
      <c r="CJ63" s="44"/>
      <c r="CK63" s="44"/>
      <c r="CL63" s="44"/>
      <c r="CM63" s="44"/>
      <c r="CN63" s="44"/>
      <c r="CO63" s="45">
        <f t="shared" si="102"/>
        <v>0.83333333333333326</v>
      </c>
      <c r="CP63" s="45">
        <f t="shared" si="103"/>
        <v>0</v>
      </c>
      <c r="CQ63" s="45">
        <f t="shared" si="104"/>
        <v>0</v>
      </c>
      <c r="CR63" s="45">
        <f t="shared" si="105"/>
        <v>0</v>
      </c>
      <c r="CS63" s="45">
        <f t="shared" si="106"/>
        <v>0</v>
      </c>
      <c r="CT63" s="45">
        <f t="shared" si="107"/>
        <v>0</v>
      </c>
      <c r="CU63" s="45">
        <f t="shared" si="108"/>
        <v>0</v>
      </c>
      <c r="CV63" s="45">
        <f t="shared" si="109"/>
        <v>0</v>
      </c>
      <c r="CW63" s="45">
        <f t="shared" si="110"/>
        <v>0</v>
      </c>
      <c r="CX63" s="45">
        <f t="shared" si="111"/>
        <v>0</v>
      </c>
      <c r="CY63" s="45">
        <f t="shared" si="77"/>
        <v>0</v>
      </c>
      <c r="CZ63" s="45"/>
      <c r="DA63" s="45" t="str">
        <f t="shared" si="112"/>
        <v>AR</v>
      </c>
      <c r="DB63" s="45" t="str">
        <f t="shared" si="113"/>
        <v>BS</v>
      </c>
      <c r="DC63" s="45" t="str">
        <f t="shared" si="114"/>
        <v>BS</v>
      </c>
      <c r="DD63" s="45" t="str">
        <f t="shared" si="115"/>
        <v>BS</v>
      </c>
      <c r="DE63" s="45" t="str">
        <f t="shared" si="116"/>
        <v>BS</v>
      </c>
      <c r="DF63" s="45" t="str">
        <f t="shared" si="117"/>
        <v>BS</v>
      </c>
      <c r="DG63" s="45" t="str">
        <f t="shared" si="118"/>
        <v>BS</v>
      </c>
      <c r="DH63" s="45" t="str">
        <f t="shared" si="119"/>
        <v>BS</v>
      </c>
      <c r="DI63" s="45" t="str">
        <f t="shared" si="120"/>
        <v>BS</v>
      </c>
      <c r="DJ63" s="45" t="str">
        <f t="shared" si="121"/>
        <v>BS</v>
      </c>
      <c r="DK63" s="45" t="str">
        <f t="shared" si="78"/>
        <v>BS</v>
      </c>
      <c r="DL63" s="45" t="str">
        <f t="shared" si="122"/>
        <v>BS</v>
      </c>
      <c r="DM63" s="45">
        <f t="shared" si="123"/>
        <v>0.41666666666666663</v>
      </c>
      <c r="DN63" s="45">
        <f t="shared" si="124"/>
        <v>0</v>
      </c>
      <c r="DO63" s="45">
        <f t="shared" si="125"/>
        <v>0</v>
      </c>
      <c r="DP63" s="45">
        <f t="shared" si="126"/>
        <v>0</v>
      </c>
      <c r="DQ63" s="45">
        <f t="shared" si="127"/>
        <v>0</v>
      </c>
      <c r="DR63" s="45">
        <f t="shared" si="128"/>
        <v>0</v>
      </c>
      <c r="DS63" s="45">
        <f t="shared" si="129"/>
        <v>0</v>
      </c>
      <c r="DT63" s="45">
        <f t="shared" si="130"/>
        <v>0</v>
      </c>
      <c r="DU63" s="45">
        <f t="shared" si="131"/>
        <v>0</v>
      </c>
      <c r="DV63" s="45">
        <f t="shared" si="132"/>
        <v>0</v>
      </c>
      <c r="DW63" s="45">
        <f t="shared" si="133"/>
        <v>0</v>
      </c>
      <c r="DX63" s="45">
        <f t="shared" si="134"/>
        <v>0</v>
      </c>
      <c r="DY63" s="41">
        <v>1</v>
      </c>
      <c r="DZ63" s="41">
        <v>1</v>
      </c>
      <c r="EA63" s="41">
        <v>1</v>
      </c>
      <c r="EB63" s="41">
        <v>1</v>
      </c>
      <c r="EC63" s="41">
        <v>0.5</v>
      </c>
      <c r="ED63" s="41"/>
      <c r="EE63" s="41"/>
      <c r="EF63" s="112"/>
      <c r="EG63" s="41"/>
      <c r="EH63" s="47" t="s">
        <v>1523</v>
      </c>
      <c r="EI63" s="222"/>
      <c r="EJ63" s="59">
        <f t="shared" si="138"/>
        <v>46446</v>
      </c>
      <c r="EK63" s="275"/>
      <c r="EL63" s="270"/>
      <c r="EM63" s="270"/>
      <c r="EN63" s="270"/>
      <c r="EO63" s="222"/>
      <c r="EP63" s="222"/>
      <c r="EQ63" s="222"/>
      <c r="ER63" s="220"/>
      <c r="ES63" s="222"/>
      <c r="ET63" s="220"/>
      <c r="EU63" s="220"/>
      <c r="EV63" s="220"/>
      <c r="EW63" s="220"/>
      <c r="EX63" s="220"/>
      <c r="EY63" s="220"/>
      <c r="EZ63" s="220"/>
      <c r="FA63" s="222"/>
      <c r="FB63" s="220"/>
      <c r="FC63" s="220"/>
      <c r="FD63" s="220"/>
      <c r="FE63" s="220"/>
      <c r="FF63" s="220"/>
      <c r="FG63" s="222"/>
      <c r="FH63" s="220"/>
      <c r="FI63" s="220"/>
      <c r="FJ63" s="220"/>
      <c r="FK63" s="220"/>
      <c r="FL63" s="220"/>
      <c r="FM63" s="224" t="s">
        <v>525</v>
      </c>
      <c r="FN63" s="340" t="s">
        <v>315</v>
      </c>
      <c r="FO63" s="224" t="s">
        <v>300</v>
      </c>
      <c r="FP63" s="172" t="s">
        <v>581</v>
      </c>
      <c r="FQ63" s="172" t="s">
        <v>556</v>
      </c>
      <c r="FR63" s="289" t="s">
        <v>549</v>
      </c>
      <c r="FS63" s="267" t="s">
        <v>203</v>
      </c>
      <c r="FT63" s="261" t="s">
        <v>346</v>
      </c>
      <c r="FU63" s="48">
        <v>9</v>
      </c>
    </row>
    <row r="64" spans="1:177" s="16" customFormat="1" ht="208">
      <c r="A64" s="278" t="s">
        <v>582</v>
      </c>
      <c r="B64" s="48"/>
      <c r="C64" s="228" t="s">
        <v>468</v>
      </c>
      <c r="D64" s="225" t="s">
        <v>207</v>
      </c>
      <c r="E64" s="63" t="s">
        <v>583</v>
      </c>
      <c r="F64" s="279">
        <v>1</v>
      </c>
      <c r="G64" s="222" t="s">
        <v>584</v>
      </c>
      <c r="H64" s="409" t="s">
        <v>585</v>
      </c>
      <c r="I64" s="290" t="s">
        <v>586</v>
      </c>
      <c r="J64" s="48">
        <v>2024</v>
      </c>
      <c r="K64" s="48">
        <v>2025</v>
      </c>
      <c r="L64" s="48" t="s">
        <v>288</v>
      </c>
      <c r="M64" s="48" t="s">
        <v>173</v>
      </c>
      <c r="N64" s="48" t="s">
        <v>174</v>
      </c>
      <c r="O64" s="63" t="s">
        <v>587</v>
      </c>
      <c r="P64" s="63" t="s">
        <v>458</v>
      </c>
      <c r="Q64" s="63" t="s">
        <v>213</v>
      </c>
      <c r="R64" s="63" t="s">
        <v>584</v>
      </c>
      <c r="S64" s="63" t="str">
        <f t="shared" si="71"/>
        <v>Selesai Implementasi</v>
      </c>
      <c r="T64" s="63" t="str">
        <f t="shared" si="1"/>
        <v>DONE</v>
      </c>
      <c r="U64" s="63" t="str">
        <f t="shared" si="72"/>
        <v>Rifanda Yulio</v>
      </c>
      <c r="V64" s="67">
        <f t="shared" si="73"/>
        <v>0.99999999999999989</v>
      </c>
      <c r="W64" s="66" t="s">
        <v>532</v>
      </c>
      <c r="X64" s="59">
        <f t="shared" si="74"/>
        <v>45777</v>
      </c>
      <c r="Y64" s="278" t="s">
        <v>485</v>
      </c>
      <c r="Z64" s="48"/>
      <c r="AA64" s="216"/>
      <c r="AB64" s="217"/>
      <c r="AC64" s="217"/>
      <c r="AD64" s="217"/>
      <c r="AE64" s="217"/>
      <c r="AF64" s="48"/>
      <c r="AG64" s="217"/>
      <c r="AH64" s="217"/>
      <c r="AI64" s="217">
        <v>45728</v>
      </c>
      <c r="AJ64" s="217">
        <v>45729</v>
      </c>
      <c r="AK64" s="42">
        <v>45728</v>
      </c>
      <c r="AL64" s="42">
        <v>45758</v>
      </c>
      <c r="AM64" s="42">
        <v>45761</v>
      </c>
      <c r="AN64" s="42">
        <v>45768</v>
      </c>
      <c r="AO64" s="42">
        <v>45769</v>
      </c>
      <c r="AP64" s="42">
        <v>45775</v>
      </c>
      <c r="AQ64" s="42">
        <v>45776</v>
      </c>
      <c r="AR64" s="42">
        <v>45777</v>
      </c>
      <c r="AS64" s="63" t="str">
        <f t="shared" si="79"/>
        <v>Selesai Implementasi</v>
      </c>
      <c r="AT64" s="63" t="str">
        <f t="shared" si="80"/>
        <v>Selesai Implementasi</v>
      </c>
      <c r="AU64" s="63" t="str">
        <f t="shared" si="81"/>
        <v>Selesai Implementasi</v>
      </c>
      <c r="AV64" s="63" t="str">
        <f t="shared" si="82"/>
        <v>Selesai Implementasi</v>
      </c>
      <c r="AW64" s="63" t="str">
        <f t="shared" si="83"/>
        <v>Selesai Implementasi</v>
      </c>
      <c r="AX64" s="63" t="str">
        <f t="shared" si="84"/>
        <v>Selesai Implementasi</v>
      </c>
      <c r="AY64" s="63" t="str">
        <f t="shared" si="85"/>
        <v>Selesai Implementasi</v>
      </c>
      <c r="AZ64" s="63" t="str">
        <f t="shared" si="86"/>
        <v>Selesai Implementasi</v>
      </c>
      <c r="BA64" s="63" t="str">
        <f t="shared" si="87"/>
        <v>Selesai Implementasi</v>
      </c>
      <c r="BB64" s="63" t="str">
        <f t="shared" si="88"/>
        <v>Selesai Implementasi</v>
      </c>
      <c r="BC64" s="63" t="str">
        <f t="shared" si="76"/>
        <v>Selesai Implementasi</v>
      </c>
      <c r="BD64" s="63" t="str">
        <f t="shared" si="89"/>
        <v>Selesai Implementasi</v>
      </c>
      <c r="BE64" s="43">
        <v>1</v>
      </c>
      <c r="BF64" s="43">
        <v>1</v>
      </c>
      <c r="BG64" s="43">
        <v>1</v>
      </c>
      <c r="BH64" s="43">
        <v>1</v>
      </c>
      <c r="BI64" s="43">
        <v>1</v>
      </c>
      <c r="BJ64" s="43">
        <v>1</v>
      </c>
      <c r="BK64" s="43">
        <v>1</v>
      </c>
      <c r="BL64" s="43">
        <v>1</v>
      </c>
      <c r="BM64" s="43">
        <v>1</v>
      </c>
      <c r="BN64" s="43">
        <v>1</v>
      </c>
      <c r="BO64" s="43">
        <v>1</v>
      </c>
      <c r="BP64" s="43">
        <v>1</v>
      </c>
      <c r="BQ64" s="63" t="str">
        <f t="shared" si="90"/>
        <v>Selesai Implementasi</v>
      </c>
      <c r="BR64" s="63" t="str">
        <f t="shared" si="91"/>
        <v>Not Started</v>
      </c>
      <c r="BS64" s="63" t="str">
        <f t="shared" si="92"/>
        <v>Not Started</v>
      </c>
      <c r="BT64" s="63" t="str">
        <f t="shared" si="93"/>
        <v>Not Started</v>
      </c>
      <c r="BU64" s="63" t="str">
        <f t="shared" si="94"/>
        <v>Not Started</v>
      </c>
      <c r="BV64" s="63" t="str">
        <f t="shared" si="95"/>
        <v>Not Started</v>
      </c>
      <c r="BW64" s="63" t="str">
        <f t="shared" si="96"/>
        <v>Not Started</v>
      </c>
      <c r="BX64" s="63" t="str">
        <f t="shared" si="97"/>
        <v>Not Started</v>
      </c>
      <c r="BY64" s="63" t="str">
        <f t="shared" si="98"/>
        <v>Not Started</v>
      </c>
      <c r="BZ64" s="63" t="str">
        <f t="shared" si="99"/>
        <v>Not Started</v>
      </c>
      <c r="CA64" s="63" t="str">
        <f t="shared" si="100"/>
        <v>Not Started</v>
      </c>
      <c r="CB64" s="63" t="str">
        <f t="shared" si="101"/>
        <v>Not Started</v>
      </c>
      <c r="CC64" s="44">
        <f t="shared" si="137"/>
        <v>0.99999999999999989</v>
      </c>
      <c r="CD64" s="44"/>
      <c r="CE64" s="44"/>
      <c r="CF64" s="44"/>
      <c r="CG64" s="44"/>
      <c r="CH64" s="44"/>
      <c r="CI64" s="44"/>
      <c r="CJ64" s="44"/>
      <c r="CK64" s="220"/>
      <c r="CL64" s="44"/>
      <c r="CM64" s="44"/>
      <c r="CN64" s="44"/>
      <c r="CO64" s="45">
        <f t="shared" si="102"/>
        <v>0.99999999999999989</v>
      </c>
      <c r="CP64" s="45">
        <f t="shared" si="103"/>
        <v>0</v>
      </c>
      <c r="CQ64" s="45">
        <f t="shared" si="104"/>
        <v>0</v>
      </c>
      <c r="CR64" s="45">
        <f t="shared" si="105"/>
        <v>0</v>
      </c>
      <c r="CS64" s="45">
        <f t="shared" si="106"/>
        <v>0</v>
      </c>
      <c r="CT64" s="45">
        <f t="shared" si="107"/>
        <v>0</v>
      </c>
      <c r="CU64" s="45">
        <f t="shared" si="108"/>
        <v>0</v>
      </c>
      <c r="CV64" s="45">
        <f t="shared" si="109"/>
        <v>0</v>
      </c>
      <c r="CW64" s="45">
        <f t="shared" si="110"/>
        <v>0</v>
      </c>
      <c r="CX64" s="45">
        <f t="shared" si="111"/>
        <v>0</v>
      </c>
      <c r="CY64" s="45">
        <f t="shared" si="77"/>
        <v>0</v>
      </c>
      <c r="CZ64" s="45"/>
      <c r="DA64" s="45" t="str">
        <f t="shared" si="112"/>
        <v>DONE</v>
      </c>
      <c r="DB64" s="45" t="str">
        <f t="shared" si="113"/>
        <v>BS</v>
      </c>
      <c r="DC64" s="45" t="str">
        <f t="shared" si="114"/>
        <v>BS</v>
      </c>
      <c r="DD64" s="45" t="str">
        <f t="shared" si="115"/>
        <v>BS</v>
      </c>
      <c r="DE64" s="45" t="str">
        <f t="shared" si="116"/>
        <v>BS</v>
      </c>
      <c r="DF64" s="45" t="str">
        <f t="shared" si="117"/>
        <v>BS</v>
      </c>
      <c r="DG64" s="45" t="str">
        <f t="shared" si="118"/>
        <v>BS</v>
      </c>
      <c r="DH64" s="45" t="str">
        <f t="shared" si="119"/>
        <v>BS</v>
      </c>
      <c r="DI64" s="45" t="str">
        <f t="shared" si="120"/>
        <v>BS</v>
      </c>
      <c r="DJ64" s="45" t="str">
        <f t="shared" si="121"/>
        <v>BS</v>
      </c>
      <c r="DK64" s="45" t="str">
        <f t="shared" si="78"/>
        <v>BS</v>
      </c>
      <c r="DL64" s="45" t="str">
        <f t="shared" si="122"/>
        <v>BS</v>
      </c>
      <c r="DM64" s="45">
        <f t="shared" si="123"/>
        <v>0.99999999999999989</v>
      </c>
      <c r="DN64" s="45">
        <f t="shared" si="124"/>
        <v>0</v>
      </c>
      <c r="DO64" s="45">
        <f t="shared" si="125"/>
        <v>0</v>
      </c>
      <c r="DP64" s="45">
        <f t="shared" si="126"/>
        <v>0</v>
      </c>
      <c r="DQ64" s="45">
        <f t="shared" si="127"/>
        <v>0</v>
      </c>
      <c r="DR64" s="45">
        <f t="shared" si="128"/>
        <v>0</v>
      </c>
      <c r="DS64" s="45">
        <f t="shared" si="129"/>
        <v>0</v>
      </c>
      <c r="DT64" s="45">
        <f t="shared" si="130"/>
        <v>0</v>
      </c>
      <c r="DU64" s="45">
        <f t="shared" si="131"/>
        <v>0</v>
      </c>
      <c r="DV64" s="45">
        <f t="shared" si="132"/>
        <v>0</v>
      </c>
      <c r="DW64" s="45">
        <f t="shared" si="133"/>
        <v>0</v>
      </c>
      <c r="DX64" s="45">
        <f t="shared" si="134"/>
        <v>0</v>
      </c>
      <c r="DY64" s="46">
        <v>1</v>
      </c>
      <c r="DZ64" s="46">
        <v>1</v>
      </c>
      <c r="EA64" s="41">
        <v>1</v>
      </c>
      <c r="EB64" s="41">
        <v>1</v>
      </c>
      <c r="EC64" s="46">
        <v>1</v>
      </c>
      <c r="ED64" s="41">
        <v>1</v>
      </c>
      <c r="EE64" s="46">
        <v>1</v>
      </c>
      <c r="EF64" s="46">
        <v>1</v>
      </c>
      <c r="EG64" s="46">
        <v>1</v>
      </c>
      <c r="EH64" s="49" t="s">
        <v>588</v>
      </c>
      <c r="EI64" s="63" t="s">
        <v>589</v>
      </c>
      <c r="EJ64" s="59">
        <f t="shared" si="138"/>
        <v>45777</v>
      </c>
      <c r="EK64" s="275"/>
      <c r="EL64" s="59"/>
      <c r="EM64" s="59"/>
      <c r="EN64" s="288"/>
      <c r="EO64" s="222" t="s">
        <v>590</v>
      </c>
      <c r="EP64" s="220"/>
      <c r="EQ64" s="222"/>
      <c r="ER64" s="223"/>
      <c r="ES64" s="220"/>
      <c r="ET64" s="222"/>
      <c r="EU64" s="222"/>
      <c r="EV64" s="220"/>
      <c r="EW64" s="220"/>
      <c r="EX64" s="220"/>
      <c r="EY64" s="220"/>
      <c r="EZ64" s="220"/>
      <c r="FA64" s="222" t="s">
        <v>591</v>
      </c>
      <c r="FB64" s="220"/>
      <c r="FC64" s="222"/>
      <c r="FD64" s="220"/>
      <c r="FE64" s="220"/>
      <c r="FF64" s="222"/>
      <c r="FG64" s="222"/>
      <c r="FH64" s="220"/>
      <c r="FI64" s="220"/>
      <c r="FJ64" s="220"/>
      <c r="FK64" s="220"/>
      <c r="FL64" s="220"/>
      <c r="FM64" s="224" t="s">
        <v>592</v>
      </c>
      <c r="FN64" s="172" t="s">
        <v>220</v>
      </c>
      <c r="FO64" s="224" t="s">
        <v>221</v>
      </c>
      <c r="FP64" s="172" t="s">
        <v>222</v>
      </c>
      <c r="FQ64" s="172" t="s">
        <v>565</v>
      </c>
      <c r="FR64" s="289" t="s">
        <v>184</v>
      </c>
      <c r="FS64" s="267" t="s">
        <v>488</v>
      </c>
      <c r="FT64" s="267" t="s">
        <v>593</v>
      </c>
      <c r="FU64" s="48">
        <v>6</v>
      </c>
    </row>
    <row r="65" spans="1:177" s="16" customFormat="1" ht="160">
      <c r="A65" s="63" t="s">
        <v>594</v>
      </c>
      <c r="B65" s="294"/>
      <c r="C65" s="342" t="s">
        <v>206</v>
      </c>
      <c r="D65" s="225" t="s">
        <v>207</v>
      </c>
      <c r="E65" s="291" t="s">
        <v>583</v>
      </c>
      <c r="F65" s="292">
        <f>F64+1</f>
        <v>2</v>
      </c>
      <c r="G65" s="285" t="s">
        <v>584</v>
      </c>
      <c r="H65" s="409" t="s">
        <v>585</v>
      </c>
      <c r="I65" s="293" t="s">
        <v>595</v>
      </c>
      <c r="J65" s="294">
        <v>2025</v>
      </c>
      <c r="K65" s="294">
        <v>2025</v>
      </c>
      <c r="L65" s="294" t="s">
        <v>288</v>
      </c>
      <c r="M65" s="294" t="s">
        <v>173</v>
      </c>
      <c r="N65" s="294" t="s">
        <v>174</v>
      </c>
      <c r="O65" s="291" t="s">
        <v>587</v>
      </c>
      <c r="P65" s="63" t="s">
        <v>458</v>
      </c>
      <c r="Q65" s="291" t="s">
        <v>213</v>
      </c>
      <c r="R65" s="291" t="s">
        <v>584</v>
      </c>
      <c r="S65" s="63" t="str">
        <f t="shared" si="71"/>
        <v>Selesai Implementasi</v>
      </c>
      <c r="T65" s="63" t="str">
        <f t="shared" si="1"/>
        <v>DONE</v>
      </c>
      <c r="U65" s="291" t="str">
        <f t="shared" si="72"/>
        <v>Rifanda Yulio</v>
      </c>
      <c r="V65" s="67">
        <f t="shared" si="73"/>
        <v>0.99999999999999989</v>
      </c>
      <c r="W65" s="296" t="s">
        <v>215</v>
      </c>
      <c r="X65" s="59">
        <f t="shared" si="74"/>
        <v>45838</v>
      </c>
      <c r="Y65" s="298" t="s">
        <v>485</v>
      </c>
      <c r="Z65" s="294"/>
      <c r="AA65" s="299">
        <v>45710</v>
      </c>
      <c r="AB65" s="300">
        <v>45747</v>
      </c>
      <c r="AC65" s="300">
        <v>45738</v>
      </c>
      <c r="AD65" s="300">
        <v>45747</v>
      </c>
      <c r="AE65" s="301"/>
      <c r="AF65" s="262"/>
      <c r="AG65" s="301"/>
      <c r="AH65" s="301"/>
      <c r="AI65" s="300">
        <v>45761</v>
      </c>
      <c r="AJ65" s="300">
        <v>45762</v>
      </c>
      <c r="AK65" s="300">
        <v>45761</v>
      </c>
      <c r="AL65" s="300">
        <v>45799</v>
      </c>
      <c r="AM65" s="300">
        <v>45800</v>
      </c>
      <c r="AN65" s="300">
        <v>45821</v>
      </c>
      <c r="AO65" s="300">
        <v>45824</v>
      </c>
      <c r="AP65" s="300">
        <v>45834</v>
      </c>
      <c r="AQ65" s="300">
        <v>45834</v>
      </c>
      <c r="AR65" s="300">
        <v>45838</v>
      </c>
      <c r="AS65" s="291" t="str">
        <f t="shared" si="79"/>
        <v>Selesai Implementasi</v>
      </c>
      <c r="AT65" s="291" t="str">
        <f t="shared" si="80"/>
        <v>Selesai Implementasi</v>
      </c>
      <c r="AU65" s="291" t="str">
        <f t="shared" si="81"/>
        <v>Selesai Implementasi</v>
      </c>
      <c r="AV65" s="291" t="str">
        <f t="shared" si="82"/>
        <v>Selesai Implementasi</v>
      </c>
      <c r="AW65" s="291" t="str">
        <f t="shared" si="83"/>
        <v>Selesai Implementasi</v>
      </c>
      <c r="AX65" s="291" t="str">
        <f t="shared" si="84"/>
        <v>Selesai Implementasi</v>
      </c>
      <c r="AY65" s="291" t="str">
        <f t="shared" si="85"/>
        <v>Selesai Implementasi</v>
      </c>
      <c r="AZ65" s="291" t="str">
        <f t="shared" si="86"/>
        <v>Selesai Implementasi</v>
      </c>
      <c r="BA65" s="291" t="str">
        <f t="shared" si="87"/>
        <v>Selesai Implementasi</v>
      </c>
      <c r="BB65" s="291" t="str">
        <f t="shared" si="88"/>
        <v>Selesai Implementasi</v>
      </c>
      <c r="BC65" s="291" t="str">
        <f t="shared" si="76"/>
        <v>Selesai Implementasi</v>
      </c>
      <c r="BD65" s="291" t="str">
        <f t="shared" si="89"/>
        <v>Selesai Implementasi</v>
      </c>
      <c r="BE65" s="43">
        <v>1</v>
      </c>
      <c r="BF65" s="43">
        <v>1</v>
      </c>
      <c r="BG65" s="43">
        <v>1</v>
      </c>
      <c r="BH65" s="43">
        <v>1</v>
      </c>
      <c r="BI65" s="43">
        <v>1</v>
      </c>
      <c r="BJ65" s="43">
        <v>1</v>
      </c>
      <c r="BK65" s="43">
        <v>1</v>
      </c>
      <c r="BL65" s="43">
        <v>1</v>
      </c>
      <c r="BM65" s="43">
        <v>1</v>
      </c>
      <c r="BN65" s="43">
        <v>1</v>
      </c>
      <c r="BO65" s="43">
        <v>1</v>
      </c>
      <c r="BP65" s="43">
        <v>1</v>
      </c>
      <c r="BQ65" s="291" t="str">
        <f t="shared" si="90"/>
        <v>Selesai Implementasi</v>
      </c>
      <c r="BR65" s="291" t="str">
        <f t="shared" si="91"/>
        <v>Not Started</v>
      </c>
      <c r="BS65" s="291" t="str">
        <f t="shared" si="92"/>
        <v>Not Started</v>
      </c>
      <c r="BT65" s="291" t="str">
        <f t="shared" si="93"/>
        <v>Not Started</v>
      </c>
      <c r="BU65" s="291" t="str">
        <f t="shared" si="94"/>
        <v>Not Started</v>
      </c>
      <c r="BV65" s="291" t="str">
        <f t="shared" si="95"/>
        <v>Not Started</v>
      </c>
      <c r="BW65" s="291" t="str">
        <f t="shared" si="96"/>
        <v>Not Started</v>
      </c>
      <c r="BX65" s="291" t="str">
        <f t="shared" si="97"/>
        <v>Not Started</v>
      </c>
      <c r="BY65" s="291" t="str">
        <f t="shared" si="98"/>
        <v>Not Started</v>
      </c>
      <c r="BZ65" s="291" t="str">
        <f t="shared" si="99"/>
        <v>Not Started</v>
      </c>
      <c r="CA65" s="291" t="str">
        <f t="shared" si="100"/>
        <v>Not Started</v>
      </c>
      <c r="CB65" s="291" t="str">
        <f t="shared" si="101"/>
        <v>Not Started</v>
      </c>
      <c r="CC65" s="44">
        <f t="shared" si="137"/>
        <v>0.99999999999999989</v>
      </c>
      <c r="CD65" s="303"/>
      <c r="CE65" s="303"/>
      <c r="CF65" s="303"/>
      <c r="CG65" s="303"/>
      <c r="CH65" s="303"/>
      <c r="CI65" s="303"/>
      <c r="CJ65" s="303"/>
      <c r="CK65" s="304"/>
      <c r="CL65" s="303"/>
      <c r="CM65" s="303"/>
      <c r="CN65" s="303"/>
      <c r="CO65" s="305">
        <f t="shared" si="102"/>
        <v>0.99999999999999989</v>
      </c>
      <c r="CP65" s="305">
        <f t="shared" si="103"/>
        <v>0</v>
      </c>
      <c r="CQ65" s="305">
        <f t="shared" si="104"/>
        <v>0</v>
      </c>
      <c r="CR65" s="305">
        <f t="shared" si="105"/>
        <v>0</v>
      </c>
      <c r="CS65" s="305">
        <f t="shared" si="106"/>
        <v>0</v>
      </c>
      <c r="CT65" s="305">
        <f t="shared" si="107"/>
        <v>0</v>
      </c>
      <c r="CU65" s="305">
        <f t="shared" si="108"/>
        <v>0</v>
      </c>
      <c r="CV65" s="305">
        <f t="shared" si="109"/>
        <v>0</v>
      </c>
      <c r="CW65" s="305">
        <f t="shared" si="110"/>
        <v>0</v>
      </c>
      <c r="CX65" s="305">
        <f t="shared" si="111"/>
        <v>0</v>
      </c>
      <c r="CY65" s="45">
        <f t="shared" si="77"/>
        <v>0</v>
      </c>
      <c r="CZ65" s="306"/>
      <c r="DA65" s="305" t="str">
        <f t="shared" si="112"/>
        <v>DONE</v>
      </c>
      <c r="DB65" s="305" t="str">
        <f t="shared" si="113"/>
        <v>BS</v>
      </c>
      <c r="DC65" s="305" t="str">
        <f t="shared" si="114"/>
        <v>BS</v>
      </c>
      <c r="DD65" s="305" t="str">
        <f t="shared" si="115"/>
        <v>BS</v>
      </c>
      <c r="DE65" s="305" t="str">
        <f t="shared" si="116"/>
        <v>BS</v>
      </c>
      <c r="DF65" s="305" t="str">
        <f t="shared" si="117"/>
        <v>BS</v>
      </c>
      <c r="DG65" s="305" t="str">
        <f t="shared" si="118"/>
        <v>BS</v>
      </c>
      <c r="DH65" s="305" t="str">
        <f t="shared" si="119"/>
        <v>BS</v>
      </c>
      <c r="DI65" s="305" t="str">
        <f t="shared" si="120"/>
        <v>BS</v>
      </c>
      <c r="DJ65" s="305" t="str">
        <f t="shared" si="121"/>
        <v>BS</v>
      </c>
      <c r="DK65" s="305" t="str">
        <f t="shared" si="78"/>
        <v>BS</v>
      </c>
      <c r="DL65" s="305" t="str">
        <f t="shared" si="122"/>
        <v>BS</v>
      </c>
      <c r="DM65" s="305">
        <f t="shared" si="123"/>
        <v>0.99999999999999989</v>
      </c>
      <c r="DN65" s="305">
        <f t="shared" si="124"/>
        <v>0</v>
      </c>
      <c r="DO65" s="305">
        <f t="shared" si="125"/>
        <v>0</v>
      </c>
      <c r="DP65" s="305">
        <f t="shared" si="126"/>
        <v>0</v>
      </c>
      <c r="DQ65" s="305">
        <f t="shared" si="127"/>
        <v>0</v>
      </c>
      <c r="DR65" s="305">
        <f t="shared" si="128"/>
        <v>0</v>
      </c>
      <c r="DS65" s="305">
        <f t="shared" si="129"/>
        <v>0</v>
      </c>
      <c r="DT65" s="305">
        <f t="shared" si="130"/>
        <v>0</v>
      </c>
      <c r="DU65" s="305">
        <f t="shared" si="131"/>
        <v>0</v>
      </c>
      <c r="DV65" s="305">
        <f t="shared" si="132"/>
        <v>0</v>
      </c>
      <c r="DW65" s="305">
        <f t="shared" si="133"/>
        <v>0</v>
      </c>
      <c r="DX65" s="305">
        <f t="shared" si="134"/>
        <v>0</v>
      </c>
      <c r="DY65" s="72">
        <v>1</v>
      </c>
      <c r="DZ65" s="72">
        <v>1</v>
      </c>
      <c r="EA65" s="186">
        <v>1</v>
      </c>
      <c r="EB65" s="186">
        <v>1</v>
      </c>
      <c r="EC65" s="72">
        <v>1</v>
      </c>
      <c r="ED65" s="186">
        <v>1</v>
      </c>
      <c r="EE65" s="187">
        <v>1</v>
      </c>
      <c r="EF65" s="186">
        <v>1</v>
      </c>
      <c r="EG65" s="186">
        <v>1</v>
      </c>
      <c r="EH65" s="511" t="s">
        <v>596</v>
      </c>
      <c r="EI65" s="280">
        <v>45838</v>
      </c>
      <c r="EJ65" s="297">
        <f t="shared" si="138"/>
        <v>45838</v>
      </c>
      <c r="EK65" s="308"/>
      <c r="EL65" s="309"/>
      <c r="EM65" s="310"/>
      <c r="EN65" s="409"/>
      <c r="EO65" s="307"/>
      <c r="EP65" s="304"/>
      <c r="EQ65" s="307"/>
      <c r="ER65" s="311"/>
      <c r="ES65" s="304"/>
      <c r="ET65" s="307"/>
      <c r="EU65" s="307"/>
      <c r="EV65" s="304"/>
      <c r="EW65" s="304"/>
      <c r="EX65" s="304"/>
      <c r="EY65" s="304"/>
      <c r="EZ65" s="304"/>
      <c r="FA65" s="304"/>
      <c r="FB65" s="304"/>
      <c r="FC65" s="307"/>
      <c r="FD65" s="304"/>
      <c r="FE65" s="304"/>
      <c r="FF65" s="307"/>
      <c r="FG65" s="307"/>
      <c r="FH65" s="304"/>
      <c r="FI65" s="304"/>
      <c r="FJ65" s="304"/>
      <c r="FK65" s="304"/>
      <c r="FL65" s="312"/>
      <c r="FM65" s="233" t="s">
        <v>592</v>
      </c>
      <c r="FN65" s="232" t="s">
        <v>220</v>
      </c>
      <c r="FO65" s="233" t="s">
        <v>221</v>
      </c>
      <c r="FP65" s="172" t="s">
        <v>222</v>
      </c>
      <c r="FQ65" s="232" t="s">
        <v>328</v>
      </c>
      <c r="FR65" s="313" t="s">
        <v>184</v>
      </c>
      <c r="FS65" s="314" t="s">
        <v>488</v>
      </c>
      <c r="FT65" s="314" t="s">
        <v>593</v>
      </c>
      <c r="FU65" s="294">
        <v>6</v>
      </c>
    </row>
    <row r="66" spans="1:177" s="13" customFormat="1" ht="144">
      <c r="A66" s="513"/>
      <c r="B66" s="237"/>
      <c r="C66" s="458"/>
      <c r="D66" s="514"/>
      <c r="E66" s="63" t="s">
        <v>583</v>
      </c>
      <c r="F66" s="48">
        <f>F65+1</f>
        <v>3</v>
      </c>
      <c r="G66" s="222" t="s">
        <v>584</v>
      </c>
      <c r="H66" s="65" t="s">
        <v>597</v>
      </c>
      <c r="I66" s="293" t="s">
        <v>598</v>
      </c>
      <c r="J66" s="48">
        <v>2026</v>
      </c>
      <c r="K66" s="48">
        <v>2026</v>
      </c>
      <c r="L66" s="48" t="s">
        <v>288</v>
      </c>
      <c r="M66" s="48" t="s">
        <v>173</v>
      </c>
      <c r="N66" s="48" t="s">
        <v>174</v>
      </c>
      <c r="O66" s="94" t="s">
        <v>587</v>
      </c>
      <c r="P66" s="63" t="s">
        <v>458</v>
      </c>
      <c r="Q66" s="63" t="s">
        <v>213</v>
      </c>
      <c r="R66" s="63" t="s">
        <v>584</v>
      </c>
      <c r="S66" s="63">
        <f t="shared" si="71"/>
        <v>0</v>
      </c>
      <c r="T66" s="63" t="str">
        <f t="shared" si="1"/>
        <v>On Progress</v>
      </c>
      <c r="U66" s="63" t="str">
        <f t="shared" si="72"/>
        <v>Rifanda Yulio</v>
      </c>
      <c r="V66" s="67">
        <f t="shared" si="73"/>
        <v>4.4999999999999998E-2</v>
      </c>
      <c r="W66" s="237" t="s">
        <v>314</v>
      </c>
      <c r="X66" s="237">
        <f t="shared" si="74"/>
        <v>46387</v>
      </c>
      <c r="Y66" s="316"/>
      <c r="Z66" s="316"/>
      <c r="AA66" s="62">
        <v>46204</v>
      </c>
      <c r="AB66" s="42">
        <v>46265</v>
      </c>
      <c r="AC66" s="553">
        <v>46266</v>
      </c>
      <c r="AD66" s="553">
        <v>46295</v>
      </c>
      <c r="AE66" s="553">
        <v>46266</v>
      </c>
      <c r="AF66" s="553">
        <v>46295</v>
      </c>
      <c r="AG66" s="237"/>
      <c r="AH66" s="237"/>
      <c r="AI66" s="553">
        <v>46296</v>
      </c>
      <c r="AJ66" s="553">
        <v>46305</v>
      </c>
      <c r="AK66" s="92">
        <v>46306</v>
      </c>
      <c r="AL66" s="92">
        <v>46341</v>
      </c>
      <c r="AM66" s="92">
        <v>46342</v>
      </c>
      <c r="AN66" s="92">
        <v>46356</v>
      </c>
      <c r="AO66" s="92">
        <v>46357</v>
      </c>
      <c r="AP66" s="92">
        <v>46371</v>
      </c>
      <c r="AQ66" s="92">
        <v>46372</v>
      </c>
      <c r="AR66" s="92">
        <v>46387</v>
      </c>
      <c r="AS66" s="94" t="str">
        <f>IF(BK66=0%,"Not Started",IF(BK66&lt;5%,"Proses RBT-RBB",IF(BK66=5%,"Selesai RBT-RBB",IF(BK66&lt;10%,"Proses RBT-RBL",IF(BK66=10%,"Selesai RBT-RBL",IF(BK66&lt;15%,"Proses RBT-RBTD",IF(BK66=15%,"Selesai RBT-RBTD",IF(BK66&lt;20%,"Proses RPP",IF(BK66=20%,"Selesai RPP",IF(BK66&lt;25%,"Proses KAK",IF(BK66=25%,"Selesai KAK",IF(BK66&lt;30%,"Proses Pengadaan",IF(BK66=30%,"Selesai Pengadaan",IF(BK66&lt;45%,"Proses Desain",IF(BK66=45%,"Selesai Desain",IF(BK66&lt;80%,"Proses Pengembangan",IF(BK66=80%,"Selesai Pengembangan",IF(BK66&lt;87.5%,"Proses SIT",IF(BK66=87.5%,"Selesai SIT",IF(BK66&lt;95%,"Proses UAT",IF(BK66=95%,"Selesai UAT",IF(BK66&lt;100%,"Proses Implementasi","Selesai Implementasi"))))))))))))))))))))))</f>
        <v>Proses RBT-RBL</v>
      </c>
      <c r="AT66" s="94" t="str">
        <f>IF(BL66=0%,"Not Started",IF(BL66&lt;5%,"Proses RBT-RBB",IF(BL66=5%,"Selesai RBT-RBB",IF(BL66&lt;10%,"Proses RBT-RBL",IF(BL66=10%,"Selesai RBT-RBL",IF(BL66&lt;15%,"Proses RBT-RBTD",IF(BL66=15%,"Selesai RBT-RBTD",IF(BL66&lt;20%,"Proses RPP",IF(BL66=20%,"Selesai RPP",IF(BL66&lt;25%,"Proses KAK",IF(BL66=25%,"Selesai KAK",IF(BL66&lt;30%,"Proses Pengadaan",IF(BL66=30%,"Selesai Pengadaan",IF(BL66&lt;45%,"Proses Desain",IF(BL66=45%,"Selesai Desain",IF(BL66&lt;80%,"Proses Pengembangan",IF(BL66=80%,"Selesai Pengembangan",IF(BL66&lt;87.5%,"Proses SIT",IF(BL66=87.5%,"Selesai SIT",IF(BL66&lt;95%,"Proses UAT",IF(BL66=95%,"Selesai UAT",IF(BL66&lt;100%,"Proses Implementasi","Selesai Implementasi"))))))))))))))))))))))</f>
        <v>Selesai RBT-RBTD</v>
      </c>
      <c r="AU66" s="94" t="str">
        <f>IF(BM66=0%,"Not Started",IF(BM66&lt;5%,"Proses RBT-RBB",IF(BM66=5%,"Selesai RBT-RBB",IF(BM66&lt;10%,"Proses RBT-RBL",IF(BM66=10%,"Selesai RBT-RBL",IF(BM66&lt;15%,"Proses RBT-RBTD",IF(BM66=15%,"Selesai RBT-RBTD",IF(BM66&lt;20%,"Proses RPP",IF(BM66=20%,"Selesai RPP",IF(BM66&lt;25%,"Proses KAK",IF(BM66=25%,"Selesai KAK",IF(BM66&lt;30%,"Proses Pengadaan",IF(BM66=30%,"Selesai Pengadaan",IF(BM66&lt;45%,"Proses Desain",IF(BM66=45%,"Selesai Desain",IF(BM66&lt;80%,"Proses Pengembangan",IF(BM66=80%,"Selesai Pengembangan",IF(BM66&lt;87.5%,"Proses SIT",IF(BM66=87.5%,"Selesai SIT",IF(BM66&lt;95%,"Proses UAT",IF(BM66=95%,"Selesai UAT",IF(BM66&lt;100%,"Proses Implementasi","Selesai Implementasi"))))))))))))))))))))))</f>
        <v>Selesai RPP</v>
      </c>
      <c r="AV66" s="291" t="str">
        <f t="shared" ref="AV66:AV68" si="139">IF(BH66=0%,"Not Started",IF(BH66&lt;5%,"Proses RBT-RBB",IF(BH66=5%,"Selesai RBT-RBB",IF(BH66&lt;10%,"Proses RBT-RBL",IF(BH66=10%,"Selesai RBT-RBL",IF(BH66&lt;15%,"Proses RBT-RBTD",IF(BH66=15%,"Selesai RBT-RBTD",IF(BH66&lt;20%,"Proses RPP",IF(BH66=20%,"Selesai RPP",IF(BH66&lt;25%,"Proses KAK",IF(BH66=25%,"Selesai KAK",IF(BH66&lt;30%,"Proses Pengadaan",IF(BH66=30%,"Selesai Pengadaan",IF(BH66&lt;45%,"Proses Desain",IF(BH66=45%,"Selesai Desain",IF(BH66&lt;80%,"Proses Pengembangan",IF(BH66=80%,"Selesai Pengembangan",IF(BH66&lt;87.5%,"Proses SIT",IF(BH66=87.5%,"Selesai SIT",IF(BH66&lt;95%,"Proses UAT",IF(BH66=95%,"Selesai UAT",IF(BH66&lt;100%,"Proses Implementasi","Selesai Implementasi"))))))))))))))))))))))</f>
        <v>Not Started</v>
      </c>
      <c r="AW66" s="291" t="str">
        <f t="shared" ref="AW66:AW68" si="140">IF(BI66=0%,"Not Started",IF(BI66&lt;5%,"Proses RBT-RBB",IF(BI66=5%,"Selesai RBT-RBB",IF(BI66&lt;10%,"Proses RBT-RBL",IF(BI66=10%,"Selesai RBT-RBL",IF(BI66&lt;15%,"Proses RBT-RBTD",IF(BI66=15%,"Selesai RBT-RBTD",IF(BI66&lt;20%,"Proses RPP",IF(BI66=20%,"Selesai RPP",IF(BI66&lt;25%,"Proses KAK",IF(BI66=25%,"Selesai KAK",IF(BI66&lt;30%,"Proses Pengadaan",IF(BI66=30%,"Selesai Pengadaan",IF(BI66&lt;45%,"Proses Desain",IF(BI66=45%,"Selesai Desain",IF(BI66&lt;80%,"Proses Pengembangan",IF(BI66=80%,"Selesai Pengembangan",IF(BI66&lt;87.5%,"Proses SIT",IF(BI66=87.5%,"Selesai SIT",IF(BI66&lt;95%,"Proses UAT",IF(BI66=95%,"Selesai UAT",IF(BI66&lt;100%,"Proses Implementasi","Selesai Implementasi"))))))))))))))))))))))</f>
        <v>Not Started</v>
      </c>
      <c r="AX66" s="291" t="str">
        <f t="shared" ref="AX66:AX68" si="141">IF(BJ66=0%,"Not Started",IF(BJ66&lt;5%,"Proses RBT-RBB",IF(BJ66=5%,"Selesai RBT-RBB",IF(BJ66&lt;10%,"Proses RBT-RBL",IF(BJ66=10%,"Selesai RBT-RBL",IF(BJ66&lt;15%,"Proses RBT-RBTD",IF(BJ66=15%,"Selesai RBT-RBTD",IF(BJ66&lt;20%,"Proses RPP",IF(BJ66=20%,"Selesai RPP",IF(BJ66&lt;25%,"Proses KAK",IF(BJ66=25%,"Selesai KAK",IF(BJ66&lt;30%,"Proses Pengadaan",IF(BJ66=30%,"Selesai Pengadaan",IF(BJ66&lt;45%,"Proses Desain",IF(BJ66=45%,"Selesai Desain",IF(BJ66&lt;80%,"Proses Pengembangan",IF(BJ66=80%,"Selesai Pengembangan",IF(BJ66&lt;87.5%,"Proses SIT",IF(BJ66=87.5%,"Selesai SIT",IF(BJ66&lt;95%,"Proses UAT",IF(BJ66=95%,"Selesai UAT",IF(BJ66&lt;100%,"Proses Implementasi","Selesai Implementasi"))))))))))))))))))))))</f>
        <v>Not Started</v>
      </c>
      <c r="AY66" s="291" t="str">
        <f t="shared" ref="AY66:AY68" si="142">IF(BK66=0%,"Not Started",IF(BK66&lt;5%,"Proses RBT-RBB",IF(BK66=5%,"Selesai RBT-RBB",IF(BK66&lt;10%,"Proses RBT-RBL",IF(BK66=10%,"Selesai RBT-RBL",IF(BK66&lt;15%,"Proses RBT-RBTD",IF(BK66=15%,"Selesai RBT-RBTD",IF(BK66&lt;20%,"Proses RPP",IF(BK66=20%,"Selesai RPP",IF(BK66&lt;25%,"Proses KAK",IF(BK66=25%,"Selesai KAK",IF(BK66&lt;30%,"Proses Pengadaan",IF(BK66=30%,"Selesai Pengadaan",IF(BK66&lt;45%,"Proses Desain",IF(BK66=45%,"Selesai Desain",IF(BK66&lt;80%,"Proses Pengembangan",IF(BK66=80%,"Selesai Pengembangan",IF(BK66&lt;87.5%,"Proses SIT",IF(BK66=87.5%,"Selesai SIT",IF(BK66&lt;95%,"Proses UAT",IF(BK66=95%,"Selesai UAT",IF(BK66&lt;100%,"Proses Implementasi","Selesai Implementasi"))))))))))))))))))))))</f>
        <v>Proses RBT-RBL</v>
      </c>
      <c r="AZ66" s="291" t="str">
        <f t="shared" ref="AZ66:AZ68" si="143">IF(BL66=0%,"Not Started",IF(BL66&lt;5%,"Proses RBT-RBB",IF(BL66=5%,"Selesai RBT-RBB",IF(BL66&lt;10%,"Proses RBT-RBL",IF(BL66=10%,"Selesai RBT-RBL",IF(BL66&lt;15%,"Proses RBT-RBTD",IF(BL66=15%,"Selesai RBT-RBTD",IF(BL66&lt;20%,"Proses RPP",IF(BL66=20%,"Selesai RPP",IF(BL66&lt;25%,"Proses KAK",IF(BL66=25%,"Selesai KAK",IF(BL66&lt;30%,"Proses Pengadaan",IF(BL66=30%,"Selesai Pengadaan",IF(BL66&lt;45%,"Proses Desain",IF(BL66=45%,"Selesai Desain",IF(BL66&lt;80%,"Proses Pengembangan",IF(BL66=80%,"Selesai Pengembangan",IF(BL66&lt;87.5%,"Proses SIT",IF(BL66=87.5%,"Selesai SIT",IF(BL66&lt;95%,"Proses UAT",IF(BL66=95%,"Selesai UAT",IF(BL66&lt;100%,"Proses Implementasi","Selesai Implementasi"))))))))))))))))))))))</f>
        <v>Selesai RBT-RBTD</v>
      </c>
      <c r="BA66" s="291" t="str">
        <f t="shared" ref="BA66:BA68" si="144">IF(BM66=0%,"Not Started",IF(BM66&lt;5%,"Proses RBT-RBB",IF(BM66=5%,"Selesai RBT-RBB",IF(BM66&lt;10%,"Proses RBT-RBL",IF(BM66=10%,"Selesai RBT-RBL",IF(BM66&lt;15%,"Proses RBT-RBTD",IF(BM66=15%,"Selesai RBT-RBTD",IF(BM66&lt;20%,"Proses RPP",IF(BM66=20%,"Selesai RPP",IF(BM66&lt;25%,"Proses KAK",IF(BM66=25%,"Selesai KAK",IF(BM66&lt;30%,"Proses Pengadaan",IF(BM66=30%,"Selesai Pengadaan",IF(BM66&lt;45%,"Proses Desain",IF(BM66=45%,"Selesai Desain",IF(BM66&lt;80%,"Proses Pengembangan",IF(BM66=80%,"Selesai Pengembangan",IF(BM66&lt;87.5%,"Proses SIT",IF(BM66=87.5%,"Selesai SIT",IF(BM66&lt;95%,"Proses UAT",IF(BM66=95%,"Selesai UAT",IF(BM66&lt;100%,"Proses Implementasi","Selesai Implementasi"))))))))))))))))))))))</f>
        <v>Selesai RPP</v>
      </c>
      <c r="BB66" s="237" t="str">
        <f>IF(BN66=0%,"Not Started",IF(BN66&lt;5%,"Proses RBT-RBB",IF(BN66=5%,"Selesai RBT-RBB",IF(BN66&lt;10%,"Proses RBT-RBL",IF(BN66=10%,"Selesai RBT-RBL",IF(BN66&lt;15%,"Proses RBT-RBTD",IF(BN66=15%,"Selesai RBT-RBTD",IF(BN66&lt;20%,"Proses RPP",IF(BN66=20%,"Selesai RPP",IF(BN66&lt;25%,"Proses KAK",IF(BN66=25%,"Selesai KAK",IF(BN66&lt;30%,"Proses Pengadaan",IF(BN66=30%,"Selesai Pengadaan",IF(BN66&lt;45%,"Proses Desain",IF(BN66=45%,"Selesai Desain",IF(BN66&lt;80%,"Proses Pengembangan",IF(BN66=80%,"Selesai Pengembangan",IF(BN66&lt;87.5%,"Proses SIT",IF(BN66=87.5%,"Selesai SIT",IF(BN66&lt;95%,"Proses UAT",IF(BN66=95%,"Selesai UAT",IF(BN66&lt;100%,"Proses Implementasi","Selesai Implementasi"))))))))))))))))))))))</f>
        <v>Proses Pengembangan</v>
      </c>
      <c r="BC66" s="237" t="str">
        <f t="shared" si="76"/>
        <v>Selesai Pengembangan</v>
      </c>
      <c r="BD66" s="237" t="str">
        <f>IF(BP66=0%,"Not Started",IF(BP66&lt;5%,"Proses RBT-RBB",IF(BP66=5%,"Selesai RBT-RBB",IF(BP66&lt;10%,"Proses RBT-RBL",IF(BP66=10%,"Selesai RBT-RBL",IF(BP66&lt;15%,"Proses RBT-RBTD",IF(BP66=15%,"Selesai RBT-RBTD",IF(BP66&lt;20%,"Proses RPP",IF(BP66=20%,"Selesai RPP",IF(BP66&lt;25%,"Proses KAK",IF(BP66=25%,"Selesai KAK",IF(BP66&lt;30%,"Proses Pengadaan",IF(BP66=30%,"Selesai Pengadaan",IF(BP66&lt;45%,"Proses Desain",IF(BP66=45%,"Selesai Desain",IF(BP66&lt;80%,"Proses Pengembangan",IF(BP66=80%,"Selesai Pengembangan",IF(BP66&lt;87.5%,"Proses SIT",IF(BP66=87.5%,"Selesai SIT",IF(BP66&lt;95%,"Proses UAT",IF(BP66=95%,"Selesai UAT",IF(BP66&lt;100%,"Proses Implementasi","Selesai Implementasi"))))))))))))))))))))))</f>
        <v>Selesai Implementasi</v>
      </c>
      <c r="BE66" s="43">
        <v>0</v>
      </c>
      <c r="BF66" s="43">
        <v>0</v>
      </c>
      <c r="BG66" s="43">
        <v>0</v>
      </c>
      <c r="BH66" s="43">
        <v>0</v>
      </c>
      <c r="BI66" s="43">
        <v>0</v>
      </c>
      <c r="BJ66" s="43">
        <v>0</v>
      </c>
      <c r="BK66" s="43">
        <v>7.0000000000000007E-2</v>
      </c>
      <c r="BL66" s="43">
        <v>0.15</v>
      </c>
      <c r="BM66" s="43">
        <v>0.2</v>
      </c>
      <c r="BN66" s="43">
        <v>0.5</v>
      </c>
      <c r="BO66" s="43">
        <v>0.8</v>
      </c>
      <c r="BP66" s="43">
        <v>1</v>
      </c>
      <c r="BQ66" s="112"/>
      <c r="BR66" s="112"/>
      <c r="BS66" s="112"/>
      <c r="BT66" s="316"/>
      <c r="BU66" s="112"/>
      <c r="BV66" s="112"/>
      <c r="BW66" s="112"/>
      <c r="BX66" s="112"/>
      <c r="BY66" s="112"/>
      <c r="BZ66" s="112"/>
      <c r="CA66" s="112"/>
      <c r="CB66" s="112"/>
      <c r="CC66" s="44">
        <f t="shared" si="137"/>
        <v>4.4999999999999998E-2</v>
      </c>
      <c r="CD66" s="237"/>
      <c r="CE66" s="112"/>
      <c r="CF66" s="316"/>
      <c r="CG66" s="112"/>
      <c r="CH66" s="112"/>
      <c r="CI66" s="112"/>
      <c r="CJ66" s="112"/>
      <c r="CK66" s="112"/>
      <c r="CL66" s="112"/>
      <c r="CM66" s="112"/>
      <c r="CN66" s="112"/>
      <c r="CO66" s="112"/>
      <c r="CP66" s="112"/>
      <c r="CQ66" s="112"/>
      <c r="CR66" s="316"/>
      <c r="CS66" s="112"/>
      <c r="CT66" s="112"/>
      <c r="CU66" s="112"/>
      <c r="CV66" s="112"/>
      <c r="CW66" s="112"/>
      <c r="CX66" s="112"/>
      <c r="CY66" s="45">
        <f t="shared" si="77"/>
        <v>0</v>
      </c>
      <c r="CZ66" s="112"/>
      <c r="DA66" s="458"/>
      <c r="DB66" s="112"/>
      <c r="DC66" s="112"/>
      <c r="DD66" s="316"/>
      <c r="DE66" s="112"/>
      <c r="DF66" s="112"/>
      <c r="DG66" s="112"/>
      <c r="DH66" s="112"/>
      <c r="DI66" s="112"/>
      <c r="DJ66" s="112" t="s">
        <v>599</v>
      </c>
      <c r="DK66" s="45" t="str">
        <f t="shared" si="78"/>
        <v>BS</v>
      </c>
      <c r="DL66" s="112"/>
      <c r="DM66" s="458"/>
      <c r="DN66" s="112"/>
      <c r="DO66" s="112"/>
      <c r="DP66" s="316"/>
      <c r="DQ66" s="112"/>
      <c r="DR66" s="112">
        <f>CH66/$BP66</f>
        <v>0</v>
      </c>
      <c r="DS66" s="112"/>
      <c r="DT66" s="112">
        <f>CJ66/$BP66</f>
        <v>0</v>
      </c>
      <c r="DU66" s="112">
        <f>CK66/$BP66</f>
        <v>0</v>
      </c>
      <c r="DV66" s="112"/>
      <c r="DW66" s="112"/>
      <c r="DX66" s="112"/>
      <c r="DY66" s="41">
        <v>0.3</v>
      </c>
      <c r="DZ66" s="402"/>
      <c r="EA66" s="402"/>
      <c r="EB66" s="402"/>
      <c r="EC66" s="402"/>
      <c r="ED66" s="402"/>
      <c r="EE66" s="402"/>
      <c r="EF66" s="403"/>
      <c r="EG66" s="403"/>
      <c r="EH66" s="613" t="s">
        <v>1492</v>
      </c>
      <c r="EI66" s="315"/>
      <c r="EJ66" s="94">
        <f t="shared" si="138"/>
        <v>46387</v>
      </c>
      <c r="EK66" s="94"/>
      <c r="EL66" s="94"/>
      <c r="EM66" s="94"/>
      <c r="EN66" s="315"/>
      <c r="EO66" s="315"/>
      <c r="EP66" s="316"/>
      <c r="EQ66" s="315"/>
      <c r="ER66" s="236"/>
      <c r="ES66" s="316"/>
      <c r="ET66" s="317"/>
      <c r="EU66" s="317"/>
      <c r="EV66" s="112"/>
      <c r="EW66" s="112"/>
      <c r="EX66" s="112"/>
      <c r="EY66" s="112"/>
      <c r="EZ66" s="112"/>
      <c r="FA66" s="317"/>
      <c r="FB66" s="112"/>
      <c r="FC66" s="317"/>
      <c r="FD66" s="316"/>
      <c r="FE66" s="112"/>
      <c r="FF66" s="317"/>
      <c r="FG66" s="317"/>
      <c r="FH66" s="112"/>
      <c r="FI66" s="112"/>
      <c r="FJ66" s="112"/>
      <c r="FK66" s="112"/>
      <c r="FL66" s="112"/>
      <c r="FM66" s="233" t="s">
        <v>592</v>
      </c>
      <c r="FN66" s="232" t="s">
        <v>220</v>
      </c>
      <c r="FO66" s="233" t="s">
        <v>221</v>
      </c>
      <c r="FP66" s="172" t="s">
        <v>222</v>
      </c>
      <c r="FQ66" s="232" t="s">
        <v>328</v>
      </c>
      <c r="FR66" s="236"/>
      <c r="FS66" s="236"/>
      <c r="FT66" s="236"/>
      <c r="FU66" s="237"/>
    </row>
    <row r="67" spans="1:177" s="13" customFormat="1" ht="144">
      <c r="A67" s="513"/>
      <c r="B67" s="237"/>
      <c r="C67" s="458"/>
      <c r="D67" s="514"/>
      <c r="E67" s="63" t="s">
        <v>583</v>
      </c>
      <c r="F67" s="48">
        <f>F66+1</f>
        <v>4</v>
      </c>
      <c r="G67" s="222" t="s">
        <v>584</v>
      </c>
      <c r="H67" s="65" t="s">
        <v>600</v>
      </c>
      <c r="I67" s="462" t="s">
        <v>601</v>
      </c>
      <c r="J67" s="48">
        <v>2028</v>
      </c>
      <c r="K67" s="48">
        <v>2028</v>
      </c>
      <c r="L67" s="48" t="s">
        <v>288</v>
      </c>
      <c r="M67" s="48" t="s">
        <v>173</v>
      </c>
      <c r="N67" s="48" t="s">
        <v>174</v>
      </c>
      <c r="O67" s="94" t="s">
        <v>602</v>
      </c>
      <c r="P67" s="237" t="s">
        <v>494</v>
      </c>
      <c r="Q67" s="63" t="s">
        <v>213</v>
      </c>
      <c r="R67" s="63" t="s">
        <v>584</v>
      </c>
      <c r="S67" s="63">
        <f t="shared" si="71"/>
        <v>0</v>
      </c>
      <c r="T67" s="63" t="str">
        <f t="shared" ref="T67:T130" si="145">IF(V67=0%,"Not Started",IF(V67&lt;100%,"On Progress",IF(V67=100%,"DONE")))</f>
        <v>On Progress</v>
      </c>
      <c r="U67" s="63" t="str">
        <f t="shared" si="72"/>
        <v>Rifanda Yulio</v>
      </c>
      <c r="V67" s="67">
        <f t="shared" si="73"/>
        <v>0.19999999999999998</v>
      </c>
      <c r="W67" s="237" t="s">
        <v>239</v>
      </c>
      <c r="X67" s="237"/>
      <c r="Y67" s="316"/>
      <c r="Z67" s="316"/>
      <c r="AA67" s="237"/>
      <c r="AB67" s="237"/>
      <c r="AC67" s="237"/>
      <c r="AD67" s="237"/>
      <c r="AE67" s="237"/>
      <c r="AF67" s="237"/>
      <c r="AG67" s="237"/>
      <c r="AH67" s="237"/>
      <c r="AI67" s="237"/>
      <c r="AJ67" s="237"/>
      <c r="AK67" s="94"/>
      <c r="AL67" s="94"/>
      <c r="AM67" s="94"/>
      <c r="AN67" s="94"/>
      <c r="AO67" s="94"/>
      <c r="AP67" s="94"/>
      <c r="AQ67" s="94"/>
      <c r="AR67" s="94"/>
      <c r="AS67" s="94" t="str">
        <f t="shared" ref="AS67:AS68" si="146">IF(BK67=0%,"Not Started",IF(BK67&lt;5%,"Proses RBT-RBB",IF(BK67=5%,"Selesai RBT-RBB",IF(BK67&lt;10%,"Proses RBT-RBL",IF(BK67=10%,"Selesai RBT-RBL",IF(BK67&lt;15%,"Proses RBT-RBTD",IF(BK67=15%,"Selesai RBT-RBTD",IF(BK67&lt;20%,"Proses RPP",IF(BK67=20%,"Selesai RPP",IF(BK67&lt;25%,"Proses KAK",IF(BK67=25%,"Selesai KAK",IF(BK67&lt;30%,"Proses Pengadaan",IF(BK67=30%,"Selesai Pengadaan",IF(BK67&lt;45%,"Proses Desain",IF(BK67=45%,"Selesai Desain",IF(BK67&lt;80%,"Proses Pengembangan",IF(BK67=80%,"Selesai Pengembangan",IF(BK67&lt;87.5%,"Proses SIT",IF(BK67=87.5%,"Selesai SIT",IF(BK67&lt;95%,"Proses UAT",IF(BK67=95%,"Selesai UAT",IF(BK67&lt;100%,"Proses Implementasi","Selesai Implementasi"))))))))))))))))))))))</f>
        <v>Not Started</v>
      </c>
      <c r="AT67" s="94" t="str">
        <f t="shared" ref="AT67:AT68" si="147">IF(BL67=0%,"Not Started",IF(BL67&lt;5%,"Proses RBT-RBB",IF(BL67=5%,"Selesai RBT-RBB",IF(BL67&lt;10%,"Proses RBT-RBL",IF(BL67=10%,"Selesai RBT-RBL",IF(BL67&lt;15%,"Proses RBT-RBTD",IF(BL67=15%,"Selesai RBT-RBTD",IF(BL67&lt;20%,"Proses RPP",IF(BL67=20%,"Selesai RPP",IF(BL67&lt;25%,"Proses KAK",IF(BL67=25%,"Selesai KAK",IF(BL67&lt;30%,"Proses Pengadaan",IF(BL67=30%,"Selesai Pengadaan",IF(BL67&lt;45%,"Proses Desain",IF(BL67=45%,"Selesai Desain",IF(BL67&lt;80%,"Proses Pengembangan",IF(BL67=80%,"Selesai Pengembangan",IF(BL67&lt;87.5%,"Proses SIT",IF(BL67=87.5%,"Selesai SIT",IF(BL67&lt;95%,"Proses UAT",IF(BL67=95%,"Selesai UAT",IF(BL67&lt;100%,"Proses Implementasi","Selesai Implementasi"))))))))))))))))))))))</f>
        <v>Not Started</v>
      </c>
      <c r="AU67" s="94" t="str">
        <f t="shared" ref="AU67:AU68" si="148">IF(BM67=0%,"Not Started",IF(BM67&lt;5%,"Proses RBT-RBB",IF(BM67=5%,"Selesai RBT-RBB",IF(BM67&lt;10%,"Proses RBT-RBL",IF(BM67=10%,"Selesai RBT-RBL",IF(BM67&lt;15%,"Proses RBT-RBTD",IF(BM67=15%,"Selesai RBT-RBTD",IF(BM67&lt;20%,"Proses RPP",IF(BM67=20%,"Selesai RPP",IF(BM67&lt;25%,"Proses KAK",IF(BM67=25%,"Selesai KAK",IF(BM67&lt;30%,"Proses Pengadaan",IF(BM67=30%,"Selesai Pengadaan",IF(BM67&lt;45%,"Proses Desain",IF(BM67=45%,"Selesai Desain",IF(BM67&lt;80%,"Proses Pengembangan",IF(BM67=80%,"Selesai Pengembangan",IF(BM67&lt;87.5%,"Proses SIT",IF(BM67=87.5%,"Selesai SIT",IF(BM67&lt;95%,"Proses UAT",IF(BM67=95%,"Selesai UAT",IF(BM67&lt;100%,"Proses Implementasi","Selesai Implementasi"))))))))))))))))))))))</f>
        <v>Not Started</v>
      </c>
      <c r="AV67" s="291" t="str">
        <f t="shared" si="139"/>
        <v>Not Started</v>
      </c>
      <c r="AW67" s="291" t="str">
        <f t="shared" si="140"/>
        <v>Not Started</v>
      </c>
      <c r="AX67" s="291" t="str">
        <f t="shared" si="141"/>
        <v>Not Started</v>
      </c>
      <c r="AY67" s="291" t="str">
        <f t="shared" si="142"/>
        <v>Not Started</v>
      </c>
      <c r="AZ67" s="291" t="str">
        <f t="shared" si="143"/>
        <v>Not Started</v>
      </c>
      <c r="BA67" s="291" t="str">
        <f t="shared" si="144"/>
        <v>Not Started</v>
      </c>
      <c r="BB67" s="237" t="str">
        <f t="shared" ref="BB67:BB68" si="149">IF(BN67=0%,"Not Started",IF(BN67&lt;5%,"Proses RBT-RBB",IF(BN67=5%,"Selesai RBT-RBB",IF(BN67&lt;10%,"Proses RBT-RBL",IF(BN67=10%,"Selesai RBT-RBL",IF(BN67&lt;15%,"Proses RBT-RBTD",IF(BN67=15%,"Selesai RBT-RBTD",IF(BN67&lt;20%,"Proses RPP",IF(BN67=20%,"Selesai RPP",IF(BN67&lt;25%,"Proses KAK",IF(BN67=25%,"Selesai KAK",IF(BN67&lt;30%,"Proses Pengadaan",IF(BN67=30%,"Selesai Pengadaan",IF(BN67&lt;45%,"Proses Desain",IF(BN67=45%,"Selesai Desain",IF(BN67&lt;80%,"Proses Pengembangan",IF(BN67=80%,"Selesai Pengembangan",IF(BN67&lt;87.5%,"Proses SIT",IF(BN67=87.5%,"Selesai SIT",IF(BN67&lt;95%,"Proses UAT",IF(BN67=95%,"Selesai UAT",IF(BN67&lt;100%,"Proses Implementasi","Selesai Implementasi"))))))))))))))))))))))</f>
        <v>Not Started</v>
      </c>
      <c r="BC67" s="237" t="str">
        <f t="shared" ref="BC67:BC68" si="150">IF(BO67=0%,"Not Started",IF(BO67&lt;5%,"Proses RBT-RBB",IF(BO67=5%,"Selesai RBT-RBB",IF(BO67&lt;10%,"Proses RBT-RBL",IF(BO67=10%,"Selesai RBT-RBL",IF(BO67&lt;15%,"Proses RBT-RBTD",IF(BO67=15%,"Selesai RBT-RBTD",IF(BO67&lt;20%,"Proses RPP",IF(BO67=20%,"Selesai RPP",IF(BO67&lt;25%,"Proses KAK",IF(BO67=25%,"Selesai KAK",IF(BO67&lt;30%,"Proses Pengadaan",IF(BO67=30%,"Selesai Pengadaan",IF(BO67&lt;45%,"Proses Desain",IF(BO67=45%,"Selesai Desain",IF(BO67&lt;80%,"Proses Pengembangan",IF(BO67=80%,"Selesai Pengembangan",IF(BO67&lt;87.5%,"Proses SIT",IF(BO67=87.5%,"Selesai SIT",IF(BO67&lt;95%,"Proses UAT",IF(BO67=95%,"Selesai UAT",IF(BO67&lt;100%,"Proses Implementasi","Selesai Implementasi"))))))))))))))))))))))</f>
        <v>Not Started</v>
      </c>
      <c r="BD67" s="237" t="str">
        <f t="shared" ref="BD67:BD68" si="151">IF(BP67=0%,"Not Started",IF(BP67&lt;5%,"Proses RBT-RBB",IF(BP67=5%,"Selesai RBT-RBB",IF(BP67&lt;10%,"Proses RBT-RBL",IF(BP67=10%,"Selesai RBT-RBL",IF(BP67&lt;15%,"Proses RBT-RBTD",IF(BP67=15%,"Selesai RBT-RBTD",IF(BP67&lt;20%,"Proses RPP",IF(BP67=20%,"Selesai RPP",IF(BP67&lt;25%,"Proses KAK",IF(BP67=25%,"Selesai KAK",IF(BP67&lt;30%,"Proses Pengadaan",IF(BP67=30%,"Selesai Pengadaan",IF(BP67&lt;45%,"Proses Desain",IF(BP67=45%,"Selesai Desain",IF(BP67&lt;80%,"Proses Pengembangan",IF(BP67=80%,"Selesai Pengembangan",IF(BP67&lt;87.5%,"Proses SIT",IF(BP67=87.5%,"Selesai SIT",IF(BP67&lt;95%,"Proses UAT",IF(BP67=95%,"Selesai UAT",IF(BP67&lt;100%,"Proses Implementasi","Selesai Implementasi"))))))))))))))))))))))</f>
        <v>Not Started</v>
      </c>
      <c r="BE67" s="43">
        <v>0</v>
      </c>
      <c r="BF67" s="43">
        <v>0</v>
      </c>
      <c r="BG67" s="43">
        <v>0</v>
      </c>
      <c r="BH67" s="43">
        <v>0</v>
      </c>
      <c r="BI67" s="43">
        <v>0</v>
      </c>
      <c r="BJ67" s="43">
        <v>0</v>
      </c>
      <c r="BK67" s="43">
        <v>0</v>
      </c>
      <c r="BL67" s="43">
        <v>0</v>
      </c>
      <c r="BM67" s="43">
        <v>0</v>
      </c>
      <c r="BN67" s="43">
        <v>0</v>
      </c>
      <c r="BO67" s="43">
        <v>0</v>
      </c>
      <c r="BP67" s="43">
        <v>0</v>
      </c>
      <c r="BQ67" s="112"/>
      <c r="BR67" s="112"/>
      <c r="BS67" s="112"/>
      <c r="BT67" s="316"/>
      <c r="BU67" s="112"/>
      <c r="BV67" s="112"/>
      <c r="BW67" s="112"/>
      <c r="BX67" s="112"/>
      <c r="BY67" s="112"/>
      <c r="BZ67" s="112"/>
      <c r="CA67" s="112"/>
      <c r="CB67" s="112"/>
      <c r="CC67" s="44">
        <f t="shared" si="137"/>
        <v>0.19999999999999998</v>
      </c>
      <c r="CD67" s="44"/>
      <c r="CE67" s="112"/>
      <c r="CF67" s="316"/>
      <c r="CG67" s="112"/>
      <c r="CH67" s="112"/>
      <c r="CI67" s="112"/>
      <c r="CJ67" s="112"/>
      <c r="CK67" s="112"/>
      <c r="CL67" s="112"/>
      <c r="CM67" s="112"/>
      <c r="CN67" s="112"/>
      <c r="CO67" s="112"/>
      <c r="CP67" s="112"/>
      <c r="CQ67" s="112"/>
      <c r="CR67" s="316"/>
      <c r="CS67" s="112"/>
      <c r="CT67" s="112"/>
      <c r="CU67" s="112"/>
      <c r="CV67" s="112"/>
      <c r="CW67" s="112"/>
      <c r="CX67" s="112"/>
      <c r="CY67" s="45">
        <f t="shared" si="77"/>
        <v>1</v>
      </c>
      <c r="CZ67" s="112"/>
      <c r="DA67" s="458"/>
      <c r="DB67" s="112"/>
      <c r="DC67" s="112"/>
      <c r="DD67" s="316"/>
      <c r="DE67" s="112"/>
      <c r="DF67" s="112"/>
      <c r="DG67" s="112"/>
      <c r="DH67" s="112"/>
      <c r="DI67" s="112"/>
      <c r="DJ67" s="112" t="s">
        <v>599</v>
      </c>
      <c r="DK67" s="45" t="str">
        <f t="shared" si="78"/>
        <v>NS</v>
      </c>
      <c r="DL67" s="112"/>
      <c r="DM67" s="458"/>
      <c r="DN67" s="112"/>
      <c r="DO67" s="112"/>
      <c r="DP67" s="316"/>
      <c r="DQ67" s="112"/>
      <c r="DR67" s="112"/>
      <c r="DS67" s="112"/>
      <c r="DT67" s="112"/>
      <c r="DU67" s="112"/>
      <c r="DV67" s="112"/>
      <c r="DW67" s="112"/>
      <c r="DX67" s="112"/>
      <c r="DY67" s="785">
        <v>1</v>
      </c>
      <c r="DZ67" s="785">
        <v>0.5</v>
      </c>
      <c r="EA67" s="785">
        <v>0.5</v>
      </c>
      <c r="EB67" s="402"/>
      <c r="EC67" s="402"/>
      <c r="ED67" s="402"/>
      <c r="EE67" s="402"/>
      <c r="EF67" s="403"/>
      <c r="EG67" s="403"/>
      <c r="EH67" s="107"/>
      <c r="EI67" s="315"/>
      <c r="EJ67" s="94"/>
      <c r="EK67" s="94"/>
      <c r="EL67" s="94"/>
      <c r="EM67" s="94"/>
      <c r="EN67" s="315"/>
      <c r="EO67" s="315"/>
      <c r="EP67" s="316"/>
      <c r="EQ67" s="315"/>
      <c r="ER67" s="236"/>
      <c r="ES67" s="316"/>
      <c r="ET67" s="317"/>
      <c r="EU67" s="317"/>
      <c r="EV67" s="112"/>
      <c r="EW67" s="112"/>
      <c r="EX67" s="112"/>
      <c r="EY67" s="112"/>
      <c r="EZ67" s="112"/>
      <c r="FA67" s="317"/>
      <c r="FB67" s="112"/>
      <c r="FC67" s="317"/>
      <c r="FD67" s="316"/>
      <c r="FE67" s="112"/>
      <c r="FF67" s="317"/>
      <c r="FG67" s="317"/>
      <c r="FH67" s="112"/>
      <c r="FI67" s="112"/>
      <c r="FJ67" s="112"/>
      <c r="FK67" s="112"/>
      <c r="FL67" s="112"/>
      <c r="FM67" s="233" t="s">
        <v>592</v>
      </c>
      <c r="FN67" s="232" t="s">
        <v>220</v>
      </c>
      <c r="FO67" s="233" t="s">
        <v>221</v>
      </c>
      <c r="FP67" s="172" t="s">
        <v>222</v>
      </c>
      <c r="FQ67" s="232" t="s">
        <v>328</v>
      </c>
      <c r="FR67" s="236"/>
      <c r="FS67" s="236"/>
      <c r="FT67" s="236"/>
      <c r="FU67" s="237"/>
    </row>
    <row r="68" spans="1:177" s="13" customFormat="1" ht="64">
      <c r="A68" s="513"/>
      <c r="B68" s="783"/>
      <c r="C68" s="784"/>
      <c r="D68" s="514"/>
      <c r="E68" s="63" t="s">
        <v>583</v>
      </c>
      <c r="F68" s="48">
        <f>F67+1</f>
        <v>5</v>
      </c>
      <c r="G68" s="222" t="s">
        <v>584</v>
      </c>
      <c r="H68" s="65" t="s">
        <v>600</v>
      </c>
      <c r="I68" s="462" t="s">
        <v>1635</v>
      </c>
      <c r="J68" s="48">
        <v>2026</v>
      </c>
      <c r="K68" s="48">
        <v>2026</v>
      </c>
      <c r="L68" s="48" t="s">
        <v>288</v>
      </c>
      <c r="M68" s="48" t="s">
        <v>173</v>
      </c>
      <c r="N68" s="48" t="s">
        <v>174</v>
      </c>
      <c r="O68" s="94" t="s">
        <v>587</v>
      </c>
      <c r="P68" s="63" t="s">
        <v>458</v>
      </c>
      <c r="Q68" s="63" t="s">
        <v>213</v>
      </c>
      <c r="R68" s="63" t="s">
        <v>584</v>
      </c>
      <c r="S68" s="63">
        <f t="shared" ref="S68" si="152">BQ68</f>
        <v>0</v>
      </c>
      <c r="T68" s="63" t="str">
        <f t="shared" si="145"/>
        <v>Not Started</v>
      </c>
      <c r="U68" s="63">
        <f t="shared" si="72"/>
        <v>0</v>
      </c>
      <c r="V68" s="67">
        <f t="shared" si="73"/>
        <v>0</v>
      </c>
      <c r="W68" s="237" t="s">
        <v>215</v>
      </c>
      <c r="X68" s="59">
        <f>AR68</f>
        <v>46129</v>
      </c>
      <c r="Y68" s="316"/>
      <c r="Z68" s="316" t="s">
        <v>1636</v>
      </c>
      <c r="AA68" s="553">
        <v>46010</v>
      </c>
      <c r="AB68" s="553">
        <v>46045</v>
      </c>
      <c r="AC68" s="553">
        <v>46048</v>
      </c>
      <c r="AD68" s="553">
        <v>46049</v>
      </c>
      <c r="AE68" s="553">
        <v>46010</v>
      </c>
      <c r="AF68" s="553">
        <v>46045</v>
      </c>
      <c r="AH68" s="237"/>
      <c r="AI68" s="553">
        <v>46048</v>
      </c>
      <c r="AJ68" s="553">
        <v>46052</v>
      </c>
      <c r="AK68" s="92">
        <v>46052</v>
      </c>
      <c r="AL68" s="92">
        <v>46112</v>
      </c>
      <c r="AM68" s="786">
        <v>46069</v>
      </c>
      <c r="AN68" s="786">
        <v>46122</v>
      </c>
      <c r="AO68" s="92">
        <v>46069</v>
      </c>
      <c r="AP68" s="92">
        <v>46127</v>
      </c>
      <c r="AQ68" s="92">
        <v>46128</v>
      </c>
      <c r="AR68" s="92">
        <v>46129</v>
      </c>
      <c r="AS68" s="94" t="str">
        <f t="shared" si="146"/>
        <v>Selesai Implementasi</v>
      </c>
      <c r="AT68" s="94" t="str">
        <f t="shared" si="147"/>
        <v>Selesai Implementasi</v>
      </c>
      <c r="AU68" s="94" t="str">
        <f t="shared" si="148"/>
        <v>Selesai Implementasi</v>
      </c>
      <c r="AV68" s="291" t="str">
        <f t="shared" si="139"/>
        <v>Selesai Implementasi</v>
      </c>
      <c r="AW68" s="291" t="str">
        <f t="shared" si="140"/>
        <v>Selesai Implementasi</v>
      </c>
      <c r="AX68" s="291" t="str">
        <f t="shared" si="141"/>
        <v>Selesai Implementasi</v>
      </c>
      <c r="AY68" s="291" t="str">
        <f t="shared" si="142"/>
        <v>Selesai Implementasi</v>
      </c>
      <c r="AZ68" s="291" t="str">
        <f t="shared" si="143"/>
        <v>Selesai Implementasi</v>
      </c>
      <c r="BA68" s="291" t="str">
        <f t="shared" si="144"/>
        <v>Selesai Implementasi</v>
      </c>
      <c r="BB68" s="237" t="str">
        <f t="shared" si="149"/>
        <v>Selesai Implementasi</v>
      </c>
      <c r="BC68" s="237" t="str">
        <f t="shared" si="150"/>
        <v>Selesai Implementasi</v>
      </c>
      <c r="BD68" s="237" t="str">
        <f t="shared" si="151"/>
        <v>Selesai Implementasi</v>
      </c>
      <c r="BE68" s="43">
        <v>0.3</v>
      </c>
      <c r="BF68" s="43">
        <v>0.5</v>
      </c>
      <c r="BG68" s="43">
        <v>0.7</v>
      </c>
      <c r="BH68" s="43">
        <v>1</v>
      </c>
      <c r="BI68" s="43">
        <v>1</v>
      </c>
      <c r="BJ68" s="43">
        <v>1</v>
      </c>
      <c r="BK68" s="43">
        <v>1</v>
      </c>
      <c r="BL68" s="43">
        <v>1</v>
      </c>
      <c r="BM68" s="43">
        <v>1</v>
      </c>
      <c r="BN68" s="43">
        <v>1</v>
      </c>
      <c r="BO68" s="43">
        <v>1</v>
      </c>
      <c r="BP68" s="43">
        <v>1</v>
      </c>
      <c r="BQ68" s="112"/>
      <c r="BR68" s="112"/>
      <c r="BS68" s="112"/>
      <c r="BT68" s="316"/>
      <c r="BU68" s="112"/>
      <c r="BV68" s="112"/>
      <c r="BW68" s="112"/>
      <c r="BX68" s="112"/>
      <c r="BY68" s="112"/>
      <c r="BZ68" s="112"/>
      <c r="CA68" s="112"/>
      <c r="CB68" s="112"/>
      <c r="CC68" s="44"/>
      <c r="CD68" s="237"/>
      <c r="CE68" s="112"/>
      <c r="CF68" s="316"/>
      <c r="CG68" s="112"/>
      <c r="CH68" s="112"/>
      <c r="CI68" s="112"/>
      <c r="CJ68" s="112"/>
      <c r="CK68" s="112"/>
      <c r="CL68" s="112"/>
      <c r="CM68" s="112"/>
      <c r="CN68" s="112"/>
      <c r="CO68" s="112"/>
      <c r="CP68" s="112"/>
      <c r="CQ68" s="112"/>
      <c r="CR68" s="316"/>
      <c r="CS68" s="112"/>
      <c r="CT68" s="112"/>
      <c r="CU68" s="112"/>
      <c r="CV68" s="112"/>
      <c r="CW68" s="112"/>
      <c r="CX68" s="112"/>
      <c r="CY68" s="45"/>
      <c r="CZ68" s="112"/>
      <c r="DA68" s="458"/>
      <c r="DB68" s="112"/>
      <c r="DC68" s="112"/>
      <c r="DD68" s="316"/>
      <c r="DE68" s="112"/>
      <c r="DF68" s="112"/>
      <c r="DG68" s="112"/>
      <c r="DH68" s="112"/>
      <c r="DI68" s="112"/>
      <c r="DJ68" s="112"/>
      <c r="DK68" s="45"/>
      <c r="DL68" s="112"/>
      <c r="DM68" s="458"/>
      <c r="DN68" s="112"/>
      <c r="DO68" s="112"/>
      <c r="DP68" s="316"/>
      <c r="DQ68" s="112"/>
      <c r="DR68" s="112"/>
      <c r="DS68" s="112"/>
      <c r="DT68" s="112"/>
      <c r="DU68" s="112"/>
      <c r="DV68" s="112"/>
      <c r="DW68" s="112"/>
      <c r="DX68" s="112"/>
      <c r="DY68" s="402"/>
      <c r="DZ68" s="402"/>
      <c r="EA68" s="402"/>
      <c r="EB68" s="402"/>
      <c r="EC68" s="402"/>
      <c r="ED68" s="402"/>
      <c r="EE68" s="402"/>
      <c r="EF68" s="403"/>
      <c r="EG68" s="403"/>
      <c r="EH68" s="107"/>
      <c r="EI68" s="315"/>
      <c r="EJ68" s="94"/>
      <c r="EK68" s="94"/>
      <c r="EL68" s="94"/>
      <c r="EM68" s="94"/>
      <c r="EN68" s="315"/>
      <c r="EO68" s="315"/>
      <c r="EP68" s="316"/>
      <c r="EQ68" s="315"/>
      <c r="ER68" s="236"/>
      <c r="ES68" s="316"/>
      <c r="ET68" s="317"/>
      <c r="EU68" s="317"/>
      <c r="EV68" s="112"/>
      <c r="EW68" s="112"/>
      <c r="EX68" s="112"/>
      <c r="EY68" s="112"/>
      <c r="EZ68" s="112"/>
      <c r="FA68" s="317"/>
      <c r="FB68" s="112"/>
      <c r="FC68" s="317"/>
      <c r="FD68" s="316"/>
      <c r="FE68" s="112"/>
      <c r="FF68" s="317"/>
      <c r="FG68" s="317"/>
      <c r="FH68" s="112"/>
      <c r="FI68" s="112"/>
      <c r="FJ68" s="112"/>
      <c r="FK68" s="112"/>
      <c r="FL68" s="112"/>
      <c r="FM68" s="233"/>
      <c r="FN68" s="232"/>
      <c r="FO68" s="233"/>
      <c r="FP68" s="172"/>
      <c r="FQ68" s="232"/>
      <c r="FR68" s="236"/>
      <c r="FS68" s="236"/>
      <c r="FT68" s="236"/>
      <c r="FU68" s="237"/>
    </row>
    <row r="69" spans="1:177" s="16" customFormat="1" ht="96">
      <c r="A69" s="63" t="s">
        <v>603</v>
      </c>
      <c r="B69" s="320" t="s">
        <v>205</v>
      </c>
      <c r="C69" s="457" t="s">
        <v>206</v>
      </c>
      <c r="D69" s="318" t="s">
        <v>207</v>
      </c>
      <c r="E69" s="48" t="s">
        <v>604</v>
      </c>
      <c r="F69" s="48">
        <v>1</v>
      </c>
      <c r="G69" s="222" t="s">
        <v>605</v>
      </c>
      <c r="H69" s="222" t="s">
        <v>606</v>
      </c>
      <c r="I69" s="222" t="s">
        <v>607</v>
      </c>
      <c r="J69" s="48">
        <v>2029</v>
      </c>
      <c r="K69" s="48">
        <v>2029</v>
      </c>
      <c r="L69" s="48">
        <v>2026</v>
      </c>
      <c r="M69" s="48" t="s">
        <v>173</v>
      </c>
      <c r="N69" s="63" t="s">
        <v>174</v>
      </c>
      <c r="O69" s="63" t="s">
        <v>608</v>
      </c>
      <c r="P69" s="63" t="s">
        <v>458</v>
      </c>
      <c r="Q69" s="48" t="s">
        <v>199</v>
      </c>
      <c r="R69" s="63" t="s">
        <v>609</v>
      </c>
      <c r="S69" s="63" t="str">
        <f t="shared" ref="S69:S101" si="153">BQ69</f>
        <v>Not Started</v>
      </c>
      <c r="T69" s="63" t="str">
        <f t="shared" si="145"/>
        <v>Not Started</v>
      </c>
      <c r="U69" s="63" t="str">
        <f t="shared" ref="U69:U101" si="154">FN69</f>
        <v>M. Fahmi Ridwan</v>
      </c>
      <c r="V69" s="67">
        <f t="shared" ref="V69:V101" si="155">CC69</f>
        <v>0</v>
      </c>
      <c r="W69" s="66" t="s">
        <v>233</v>
      </c>
      <c r="X69" s="59">
        <f t="shared" ref="X69:X117" si="156">AR69</f>
        <v>47299</v>
      </c>
      <c r="Y69" s="48">
        <v>0</v>
      </c>
      <c r="Z69" s="48"/>
      <c r="AA69" s="42">
        <v>47119</v>
      </c>
      <c r="AB69" s="42">
        <v>47177</v>
      </c>
      <c r="AC69" s="42">
        <v>47178</v>
      </c>
      <c r="AD69" s="42">
        <v>47192</v>
      </c>
      <c r="AE69" s="217"/>
      <c r="AF69" s="48"/>
      <c r="AG69" s="217"/>
      <c r="AH69" s="217"/>
      <c r="AI69" s="42">
        <v>47193</v>
      </c>
      <c r="AJ69" s="42">
        <v>47208</v>
      </c>
      <c r="AK69" s="42">
        <v>47224</v>
      </c>
      <c r="AL69" s="42">
        <v>47253</v>
      </c>
      <c r="AM69" s="42">
        <v>47254</v>
      </c>
      <c r="AN69" s="42">
        <v>47269</v>
      </c>
      <c r="AO69" s="42">
        <v>47270</v>
      </c>
      <c r="AP69" s="42">
        <v>47284</v>
      </c>
      <c r="AQ69" s="42">
        <v>47285</v>
      </c>
      <c r="AR69" s="42">
        <v>47299</v>
      </c>
      <c r="AS69" s="63" t="str">
        <f t="shared" ref="AS69:AS77" si="157">IF(BE69=0%,"Not Started",IF(BE69&lt;5%,"Proses RBT-RBB",IF(BE69=5%,"Selesai RBT-RBB",IF(BE69&lt;10%,"Proses RBT-RBL",IF(BE69=10%,"Selesai RBT-RBL",IF(BE69&lt;15%,"Proses RBT-RBTD",IF(BE69=15%,"Selesai RBT-RBTD",IF(BE69&lt;20%,"Proses RPP",IF(BE69=20%,"Selesai RPP",IF(BE69&lt;25%,"Proses KAK",IF(BE69=25%,"Selesai KAK",IF(BE69&lt;30%,"Proses Pengadaan",IF(BE69=30%,"Selesai Pengadaan",IF(BE69&lt;45%,"Proses Desain",IF(BE69=45%,"Selesai Desain",IF(BE69&lt;80%,"Proses Pengembangan",IF(BE69=80%,"Selesai Pengembangan",IF(BE69&lt;87.5%,"Proses SIT",IF(BE69=87.5%,"Selesai SIT",IF(BE69&lt;95%,"Proses UAT",IF(BE69=95%,"Selesai UAT",IF(BE69&lt;100%,"Proses Implementasi","Selesai Implementasi"))))))))))))))))))))))</f>
        <v>Not Started</v>
      </c>
      <c r="AT69" s="63" t="str">
        <f t="shared" ref="AT69:AT77" si="158">IF(BF69=0%,"Not Started",IF(BF69&lt;5%,"Proses RBT-RBB",IF(BF69=5%,"Selesai RBT-RBB",IF(BF69&lt;10%,"Proses RBT-RBL",IF(BF69=10%,"Selesai RBT-RBL",IF(BF69&lt;15%,"Proses RBT-RBTD",IF(BF69=15%,"Selesai RBT-RBTD",IF(BF69&lt;20%,"Proses RPP",IF(BF69=20%,"Selesai RPP",IF(BF69&lt;25%,"Proses KAK",IF(BF69=25%,"Selesai KAK",IF(BF69&lt;30%,"Proses Pengadaan",IF(BF69=30%,"Selesai Pengadaan",IF(BF69&lt;45%,"Proses Desain",IF(BF69=45%,"Selesai Desain",IF(BF69&lt;80%,"Proses Pengembangan",IF(BF69=80%,"Selesai Pengembangan",IF(BF69&lt;87.5%,"Proses SIT",IF(BF69=87.5%,"Selesai SIT",IF(BF69&lt;95%,"Proses UAT",IF(BF69=95%,"Selesai UAT",IF(BF69&lt;100%,"Proses Implementasi","Selesai Implementasi"))))))))))))))))))))))</f>
        <v>Not Started</v>
      </c>
      <c r="AU69" s="63" t="str">
        <f t="shared" ref="AU69:AU77" si="159">IF(BG69=0%,"Not Started",IF(BG69&lt;5%,"Proses RBT-RBB",IF(BG69=5%,"Selesai RBT-RBB",IF(BG69&lt;10%,"Proses RBT-RBL",IF(BG69=10%,"Selesai RBT-RBL",IF(BG69&lt;15%,"Proses RBT-RBTD",IF(BG69=15%,"Selesai RBT-RBTD",IF(BG69&lt;20%,"Proses RPP",IF(BG69=20%,"Selesai RPP",IF(BG69&lt;25%,"Proses KAK",IF(BG69=25%,"Selesai KAK",IF(BG69&lt;30%,"Proses Pengadaan",IF(BG69=30%,"Selesai Pengadaan",IF(BG69&lt;45%,"Proses Desain",IF(BG69=45%,"Selesai Desain",IF(BG69&lt;80%,"Proses Pengembangan",IF(BG69=80%,"Selesai Pengembangan",IF(BG69&lt;87.5%,"Proses SIT",IF(BG69=87.5%,"Selesai SIT",IF(BG69&lt;95%,"Proses UAT",IF(BG69=95%,"Selesai UAT",IF(BG69&lt;100%,"Proses Implementasi","Selesai Implementasi"))))))))))))))))))))))</f>
        <v>Not Started</v>
      </c>
      <c r="AV69" s="63" t="str">
        <f t="shared" ref="AV69:AV77" si="160">IF(BH69=0%,"Not Started",IF(BH69&lt;5%,"Proses RBT-RBB",IF(BH69=5%,"Selesai RBT-RBB",IF(BH69&lt;10%,"Proses RBT-RBL",IF(BH69=10%,"Selesai RBT-RBL",IF(BH69&lt;15%,"Proses RBT-RBTD",IF(BH69=15%,"Selesai RBT-RBTD",IF(BH69&lt;20%,"Proses RPP",IF(BH69=20%,"Selesai RPP",IF(BH69&lt;25%,"Proses KAK",IF(BH69=25%,"Selesai KAK",IF(BH69&lt;30%,"Proses Pengadaan",IF(BH69=30%,"Selesai Pengadaan",IF(BH69&lt;45%,"Proses Desain",IF(BH69=45%,"Selesai Desain",IF(BH69&lt;80%,"Proses Pengembangan",IF(BH69=80%,"Selesai Pengembangan",IF(BH69&lt;87.5%,"Proses SIT",IF(BH69=87.5%,"Selesai SIT",IF(BH69&lt;95%,"Proses UAT",IF(BH69=95%,"Selesai UAT",IF(BH69&lt;100%,"Proses Implementasi","Selesai Implementasi"))))))))))))))))))))))</f>
        <v>Not Started</v>
      </c>
      <c r="AW69" s="63" t="str">
        <f t="shared" ref="AW69:AW77" si="161">IF(BI69=0%,"Not Started",IF(BI69&lt;5%,"Proses RBT-RBB",IF(BI69=5%,"Selesai RBT-RBB",IF(BI69&lt;10%,"Proses RBT-RBL",IF(BI69=10%,"Selesai RBT-RBL",IF(BI69&lt;15%,"Proses RBT-RBTD",IF(BI69=15%,"Selesai RBT-RBTD",IF(BI69&lt;20%,"Proses RPP",IF(BI69=20%,"Selesai RPP",IF(BI69&lt;25%,"Proses KAK",IF(BI69=25%,"Selesai KAK",IF(BI69&lt;30%,"Proses Pengadaan",IF(BI69=30%,"Selesai Pengadaan",IF(BI69&lt;45%,"Proses Desain",IF(BI69=45%,"Selesai Desain",IF(BI69&lt;80%,"Proses Pengembangan",IF(BI69=80%,"Selesai Pengembangan",IF(BI69&lt;87.5%,"Proses SIT",IF(BI69=87.5%,"Selesai SIT",IF(BI69&lt;95%,"Proses UAT",IF(BI69=95%,"Selesai UAT",IF(BI69&lt;100%,"Proses Implementasi","Selesai Implementasi"))))))))))))))))))))))</f>
        <v>Not Started</v>
      </c>
      <c r="AX69" s="63" t="str">
        <f t="shared" ref="AX69:AX77" si="162">IF(BJ69=0%,"Not Started",IF(BJ69&lt;5%,"Proses RBT-RBB",IF(BJ69=5%,"Selesai RBT-RBB",IF(BJ69&lt;10%,"Proses RBT-RBL",IF(BJ69=10%,"Selesai RBT-RBL",IF(BJ69&lt;15%,"Proses RBT-RBTD",IF(BJ69=15%,"Selesai RBT-RBTD",IF(BJ69&lt;20%,"Proses RPP",IF(BJ69=20%,"Selesai RPP",IF(BJ69&lt;25%,"Proses KAK",IF(BJ69=25%,"Selesai KAK",IF(BJ69&lt;30%,"Proses Pengadaan",IF(BJ69=30%,"Selesai Pengadaan",IF(BJ69&lt;45%,"Proses Desain",IF(BJ69=45%,"Selesai Desain",IF(BJ69&lt;80%,"Proses Pengembangan",IF(BJ69=80%,"Selesai Pengembangan",IF(BJ69&lt;87.5%,"Proses SIT",IF(BJ69=87.5%,"Selesai SIT",IF(BJ69&lt;95%,"Proses UAT",IF(BJ69=95%,"Selesai UAT",IF(BJ69&lt;100%,"Proses Implementasi","Selesai Implementasi"))))))))))))))))))))))</f>
        <v>Not Started</v>
      </c>
      <c r="AY69" s="63" t="str">
        <f t="shared" ref="AY69:AY77" si="163">IF(BK69=0%,"Not Started",IF(BK69&lt;5%,"Proses RBT-RBB",IF(BK69=5%,"Selesai RBT-RBB",IF(BK69&lt;10%,"Proses RBT-RBL",IF(BK69=10%,"Selesai RBT-RBL",IF(BK69&lt;15%,"Proses RBT-RBTD",IF(BK69=15%,"Selesai RBT-RBTD",IF(BK69&lt;20%,"Proses RPP",IF(BK69=20%,"Selesai RPP",IF(BK69&lt;25%,"Proses KAK",IF(BK69=25%,"Selesai KAK",IF(BK69&lt;30%,"Proses Pengadaan",IF(BK69=30%,"Selesai Pengadaan",IF(BK69&lt;45%,"Proses Desain",IF(BK69=45%,"Selesai Desain",IF(BK69&lt;80%,"Proses Pengembangan",IF(BK69=80%,"Selesai Pengembangan",IF(BK69&lt;87.5%,"Proses SIT",IF(BK69=87.5%,"Selesai SIT",IF(BK69&lt;95%,"Proses UAT",IF(BK69=95%,"Selesai UAT",IF(BK69&lt;100%,"Proses Implementasi","Selesai Implementasi"))))))))))))))))))))))</f>
        <v>Not Started</v>
      </c>
      <c r="AZ69" s="63" t="str">
        <f t="shared" ref="AZ69:AZ77" si="164">IF(BL69=0%,"Not Started",IF(BL69&lt;5%,"Proses RBT-RBB",IF(BL69=5%,"Selesai RBT-RBB",IF(BL69&lt;10%,"Proses RBT-RBL",IF(BL69=10%,"Selesai RBT-RBL",IF(BL69&lt;15%,"Proses RBT-RBTD",IF(BL69=15%,"Selesai RBT-RBTD",IF(BL69&lt;20%,"Proses RPP",IF(BL69=20%,"Selesai RPP",IF(BL69&lt;25%,"Proses KAK",IF(BL69=25%,"Selesai KAK",IF(BL69&lt;30%,"Proses Pengadaan",IF(BL69=30%,"Selesai Pengadaan",IF(BL69&lt;45%,"Proses Desain",IF(BL69=45%,"Selesai Desain",IF(BL69&lt;80%,"Proses Pengembangan",IF(BL69=80%,"Selesai Pengembangan",IF(BL69&lt;87.5%,"Proses SIT",IF(BL69=87.5%,"Selesai SIT",IF(BL69&lt;95%,"Proses UAT",IF(BL69=95%,"Selesai UAT",IF(BL69&lt;100%,"Proses Implementasi","Selesai Implementasi"))))))))))))))))))))))</f>
        <v>Not Started</v>
      </c>
      <c r="BA69" s="63" t="str">
        <f t="shared" ref="BA69:BA77" si="165">IF(BM69=0%,"Not Started",IF(BM69&lt;5%,"Proses RBT-RBB",IF(BM69=5%,"Selesai RBT-RBB",IF(BM69&lt;10%,"Proses RBT-RBL",IF(BM69=10%,"Selesai RBT-RBL",IF(BM69&lt;15%,"Proses RBT-RBTD",IF(BM69=15%,"Selesai RBT-RBTD",IF(BM69&lt;20%,"Proses RPP",IF(BM69=20%,"Selesai RPP",IF(BM69&lt;25%,"Proses KAK",IF(BM69=25%,"Selesai KAK",IF(BM69&lt;30%,"Proses Pengadaan",IF(BM69=30%,"Selesai Pengadaan",IF(BM69&lt;45%,"Proses Desain",IF(BM69=45%,"Selesai Desain",IF(BM69&lt;80%,"Proses Pengembangan",IF(BM69=80%,"Selesai Pengembangan",IF(BM69&lt;87.5%,"Proses SIT",IF(BM69=87.5%,"Selesai SIT",IF(BM69&lt;95%,"Proses UAT",IF(BM69=95%,"Selesai UAT",IF(BM69&lt;100%,"Proses Implementasi","Selesai Implementasi"))))))))))))))))))))))</f>
        <v>Not Started</v>
      </c>
      <c r="BB69" s="63" t="str">
        <f t="shared" ref="BB69:BB77" si="166">IF(BN69=0%,"Not Started",IF(BN69&lt;5%,"Proses RBT-RBB",IF(BN69=5%,"Selesai RBT-RBB",IF(BN69&lt;10%,"Proses RBT-RBL",IF(BN69=10%,"Selesai RBT-RBL",IF(BN69&lt;15%,"Proses RBT-RBTD",IF(BN69=15%,"Selesai RBT-RBTD",IF(BN69&lt;20%,"Proses RPP",IF(BN69=20%,"Selesai RPP",IF(BN69&lt;25%,"Proses KAK",IF(BN69=25%,"Selesai KAK",IF(BN69&lt;30%,"Proses Pengadaan",IF(BN69=30%,"Selesai Pengadaan",IF(BN69&lt;45%,"Proses Desain",IF(BN69=45%,"Selesai Desain",IF(BN69&lt;80%,"Proses Pengembangan",IF(BN69=80%,"Selesai Pengembangan",IF(BN69&lt;87.5%,"Proses SIT",IF(BN69=87.5%,"Selesai SIT",IF(BN69&lt;95%,"Proses UAT",IF(BN69=95%,"Selesai UAT",IF(BN69&lt;100%,"Proses Implementasi","Selesai Implementasi"))))))))))))))))))))))</f>
        <v>Not Started</v>
      </c>
      <c r="BC69" s="63" t="str">
        <f t="shared" si="76"/>
        <v>Not Started</v>
      </c>
      <c r="BD69" s="63" t="str">
        <f t="shared" ref="BD69:BD117" si="167">IF(BP69=0%,"Not Started",IF(BP69&lt;5%,"Proses RBT-RBB",IF(BP69=5%,"Selesai RBT-RBB",IF(BP69&lt;10%,"Proses RBT-RBL",IF(BP69=10%,"Selesai RBT-RBL",IF(BP69&lt;15%,"Proses RBT-RBTD",IF(BP69=15%,"Selesai RBT-RBTD",IF(BP69&lt;20%,"Proses RPP",IF(BP69=20%,"Selesai RPP",IF(BP69&lt;25%,"Proses KAK",IF(BP69=25%,"Selesai KAK",IF(BP69&lt;30%,"Proses Pengadaan",IF(BP69=30%,"Selesai Pengadaan",IF(BP69&lt;45%,"Proses Desain",IF(BP69=45%,"Selesai Desain",IF(BP69&lt;80%,"Proses Pengembangan",IF(BP69=80%,"Selesai Pengembangan",IF(BP69&lt;87.5%,"Proses SIT",IF(BP69=87.5%,"Selesai SIT",IF(BP69&lt;95%,"Proses UAT",IF(BP69=95%,"Selesai UAT",IF(BP69&lt;100%,"Proses Implementasi","Selesai Implementasi"))))))))))))))))))))))</f>
        <v>Not Started</v>
      </c>
      <c r="BE69" s="219">
        <v>0</v>
      </c>
      <c r="BF69" s="219">
        <v>0</v>
      </c>
      <c r="BG69" s="219">
        <v>0</v>
      </c>
      <c r="BH69" s="219">
        <v>0</v>
      </c>
      <c r="BI69" s="219">
        <v>0</v>
      </c>
      <c r="BJ69" s="219">
        <v>0</v>
      </c>
      <c r="BK69" s="219">
        <v>0</v>
      </c>
      <c r="BL69" s="219">
        <v>0</v>
      </c>
      <c r="BM69" s="219">
        <v>0</v>
      </c>
      <c r="BN69" s="219">
        <v>0</v>
      </c>
      <c r="BO69" s="219">
        <v>0</v>
      </c>
      <c r="BP69" s="219">
        <v>0</v>
      </c>
      <c r="BQ69" s="63" t="str">
        <f t="shared" ref="BQ69:BQ117" si="168">IF(CC69=0%,"Not Started",IF(CC69&lt;5%,"Proses RBT-RBB",IF(CC69=5%,"Selesai RBT-RBB",IF(CC69&lt;10%,"Proses RBT-RBL",IF(CC69=10%,"Selesai RBT-RBL",IF(CC69&lt;15%,"Proses RBT-RBTD",IF(CC69=15%,"Selesai RBT-RBTD",IF(CC69&lt;20%,"Proses RPP",IF(CC69=20%,"Selesai RPP",IF(CC69&lt;25%,"Proses KAK",IF(CC69=25%,"Selesai KAK",IF(CC69&lt;30%,"Proses Pengadaan",IF(CC69=30%,"Selesai Pengadaan",IF(CC69&lt;45%,"Proses Desain",IF(CC69=45%,"Selesai Desain",IF(CC69&lt;80%,"Proses Pengembangan",IF(CC69=80%,"Selesai Pengembangan",IF(CC69&lt;87.5%,"Proses SIT",IF(CC69=87.5%,"Selesai SIT",IF(CC69&lt;95%,"Proses UAT",IF(CC69=95%,"Selesai UAT",IF(CC69&lt;100%,"Proses Implementasi","Selesai Implementasi"))))))))))))))))))))))</f>
        <v>Not Started</v>
      </c>
      <c r="BR69" s="63" t="str">
        <f t="shared" ref="BR69:BR117" si="169">IF(CD69=0%,"Not Started",IF(CD69&lt;5%,"Proses RBT-RBB",IF(CD69=5%,"Selesai RBT-RBB",IF(CD69&lt;10%,"Proses RBT-RBL",IF(CD69=10%,"Selesai RBT-RBL",IF(CD69&lt;15%,"Proses RBT-RBTD",IF(CD69=15%,"Selesai RBT-RBTD",IF(CD69&lt;20%,"Proses RPP",IF(CD69=20%,"Selesai RPP",IF(CD69&lt;25%,"Proses KAK",IF(CD69=25%,"Selesai KAK",IF(CD69&lt;30%,"Proses Pengadaan",IF(CD69=30%,"Selesai Pengadaan",IF(CD69&lt;45%,"Proses Desain",IF(CD69=45%,"Selesai Desain",IF(CD69&lt;80%,"Proses Pengembangan",IF(CD69=80%,"Selesai Pengembangan",IF(CD69&lt;87.5%,"Proses SIT",IF(CD69=87.5%,"Selesai SIT",IF(CD69&lt;95%,"Proses UAT",IF(CD69=95%,"Selesai UAT",IF(CD69&lt;100%,"Proses Implementasi","Selesai Implementasi"))))))))))))))))))))))</f>
        <v>Not Started</v>
      </c>
      <c r="BS69" s="63" t="str">
        <f t="shared" ref="BS69:BS117" si="170">IF(CE69=0%,"Not Started",IF(CE69&lt;5%,"Proses RBT-RBB",IF(CE69=5%,"Selesai RBT-RBB",IF(CE69&lt;10%,"Proses RBT-RBL",IF(CE69=10%,"Selesai RBT-RBL",IF(CE69&lt;15%,"Proses RBT-RBTD",IF(CE69=15%,"Selesai RBT-RBTD",IF(CE69&lt;20%,"Proses RPP",IF(CE69=20%,"Selesai RPP",IF(CE69&lt;25%,"Proses KAK",IF(CE69=25%,"Selesai KAK",IF(CE69&lt;30%,"Proses Pengadaan",IF(CE69=30%,"Selesai Pengadaan",IF(CE69&lt;45%,"Proses Desain",IF(CE69=45%,"Selesai Desain",IF(CE69&lt;80%,"Proses Pengembangan",IF(CE69=80%,"Selesai Pengembangan",IF(CE69&lt;87.5%,"Proses SIT",IF(CE69=87.5%,"Selesai SIT",IF(CE69&lt;95%,"Proses UAT",IF(CE69=95%,"Selesai UAT",IF(CE69&lt;100%,"Proses Implementasi","Selesai Implementasi"))))))))))))))))))))))</f>
        <v>Not Started</v>
      </c>
      <c r="BT69" s="63" t="str">
        <f t="shared" ref="BT69:BT117" si="171">IF(CF69=0%,"Not Started",IF(CF69&lt;5%,"Proses RBT-RBB",IF(CF69=5%,"Selesai RBT-RBB",IF(CF69&lt;10%,"Proses RBT-RBL",IF(CF69=10%,"Selesai RBT-RBL",IF(CF69&lt;15%,"Proses RBT-RBTD",IF(CF69=15%,"Selesai RBT-RBTD",IF(CF69&lt;20%,"Proses RPP",IF(CF69=20%,"Selesai RPP",IF(CF69&lt;25%,"Proses KAK",IF(CF69=25%,"Selesai KAK",IF(CF69&lt;30%,"Proses Pengadaan",IF(CF69=30%,"Selesai Pengadaan",IF(CF69&lt;45%,"Proses Desain",IF(CF69=45%,"Selesai Desain",IF(CF69&lt;80%,"Proses Pengembangan",IF(CF69=80%,"Selesai Pengembangan",IF(CF69&lt;87.5%,"Proses SIT",IF(CF69=87.5%,"Selesai SIT",IF(CF69&lt;95%,"Proses UAT",IF(CF69=95%,"Selesai UAT",IF(CF69&lt;100%,"Proses Implementasi","Selesai Implementasi"))))))))))))))))))))))</f>
        <v>Not Started</v>
      </c>
      <c r="BU69" s="63" t="str">
        <f t="shared" ref="BU69:BU117" si="172">IF(CG69=0%,"Not Started",IF(CG69&lt;5%,"Proses RBT-RBB",IF(CG69=5%,"Selesai RBT-RBB",IF(CG69&lt;10%,"Proses RBT-RBL",IF(CG69=10%,"Selesai RBT-RBL",IF(CG69&lt;15%,"Proses RBT-RBTD",IF(CG69=15%,"Selesai RBT-RBTD",IF(CG69&lt;20%,"Proses RPP",IF(CG69=20%,"Selesai RPP",IF(CG69&lt;25%,"Proses KAK",IF(CG69=25%,"Selesai KAK",IF(CG69&lt;30%,"Proses Pengadaan",IF(CG69=30%,"Selesai Pengadaan",IF(CG69&lt;45%,"Proses Desain",IF(CG69=45%,"Selesai Desain",IF(CG69&lt;80%,"Proses Pengembangan",IF(CG69=80%,"Selesai Pengembangan",IF(CG69&lt;87.5%,"Proses SIT",IF(CG69=87.5%,"Selesai SIT",IF(CG69&lt;95%,"Proses UAT",IF(CG69=95%,"Selesai UAT",IF(CG69&lt;100%,"Proses Implementasi","Selesai Implementasi"))))))))))))))))))))))</f>
        <v>Not Started</v>
      </c>
      <c r="BV69" s="63" t="str">
        <f t="shared" ref="BV69:BV117" si="173">IF(CH69=0%,"Not Started",IF(CH69&lt;5%,"Proses RBT-RBB",IF(CH69=5%,"Selesai RBT-RBB",IF(CH69&lt;10%,"Proses RBT-RBL",IF(CH69=10%,"Selesai RBT-RBL",IF(CH69&lt;15%,"Proses RBT-RBTD",IF(CH69=15%,"Selesai RBT-RBTD",IF(CH69&lt;20%,"Proses RPP",IF(CH69=20%,"Selesai RPP",IF(CH69&lt;25%,"Proses KAK",IF(CH69=25%,"Selesai KAK",IF(CH69&lt;30%,"Proses Pengadaan",IF(CH69=30%,"Selesai Pengadaan",IF(CH69&lt;45%,"Proses Desain",IF(CH69=45%,"Selesai Desain",IF(CH69&lt;80%,"Proses Pengembangan",IF(CH69=80%,"Selesai Pengembangan",IF(CH69&lt;87.5%,"Proses SIT",IF(CH69=87.5%,"Selesai SIT",IF(CH69&lt;95%,"Proses UAT",IF(CH69=95%,"Selesai UAT",IF(CH69&lt;100%,"Proses Implementasi","Selesai Implementasi"))))))))))))))))))))))</f>
        <v>Proses KAK</v>
      </c>
      <c r="BW69" s="63" t="str">
        <f t="shared" ref="BW69:BW117" si="174">IF(CI69=0%,"Not Started",IF(CI69&lt;5%,"Proses RBT-RBB",IF(CI69=5%,"Selesai RBT-RBB",IF(CI69&lt;10%,"Proses RBT-RBL",IF(CI69=10%,"Selesai RBT-RBL",IF(CI69&lt;15%,"Proses RBT-RBTD",IF(CI69=15%,"Selesai RBT-RBTD",IF(CI69&lt;20%,"Proses RPP",IF(CI69=20%,"Selesai RPP",IF(CI69&lt;25%,"Proses KAK",IF(CI69=25%,"Selesai KAK",IF(CI69&lt;30%,"Proses Pengadaan",IF(CI69=30%,"Selesai Pengadaan",IF(CI69&lt;45%,"Proses Desain",IF(CI69=45%,"Selesai Desain",IF(CI69&lt;80%,"Proses Pengembangan",IF(CI69=80%,"Selesai Pengembangan",IF(CI69&lt;87.5%,"Proses SIT",IF(CI69=87.5%,"Selesai SIT",IF(CI69&lt;95%,"Proses UAT",IF(CI69=95%,"Selesai UAT",IF(CI69&lt;100%,"Proses Implementasi","Selesai Implementasi"))))))))))))))))))))))</f>
        <v>Not Started</v>
      </c>
      <c r="BX69" s="63" t="str">
        <f t="shared" ref="BX69:BX117" si="175">IF(CJ69=0%,"Not Started",IF(CJ69&lt;5%,"Proses RBT-RBB",IF(CJ69=5%,"Selesai RBT-RBB",IF(CJ69&lt;10%,"Proses RBT-RBL",IF(CJ69=10%,"Selesai RBT-RBL",IF(CJ69&lt;15%,"Proses RBT-RBTD",IF(CJ69=15%,"Selesai RBT-RBTD",IF(CJ69&lt;20%,"Proses RPP",IF(CJ69=20%,"Selesai RPP",IF(CJ69&lt;25%,"Proses KAK",IF(CJ69=25%,"Selesai KAK",IF(CJ69&lt;30%,"Proses Pengadaan",IF(CJ69=30%,"Selesai Pengadaan",IF(CJ69&lt;45%,"Proses Desain",IF(CJ69=45%,"Selesai Desain",IF(CJ69&lt;80%,"Proses Pengembangan",IF(CJ69=80%,"Selesai Pengembangan",IF(CJ69&lt;87.5%,"Proses SIT",IF(CJ69=87.5%,"Selesai SIT",IF(CJ69&lt;95%,"Proses UAT",IF(CJ69=95%,"Selesai UAT",IF(CJ69&lt;100%,"Proses Implementasi","Selesai Implementasi"))))))))))))))))))))))</f>
        <v>Not Started</v>
      </c>
      <c r="BY69" s="63" t="str">
        <f t="shared" ref="BY69:BY117" si="176">IF(CK69=0%,"Not Started",IF(CK69&lt;5%,"Proses RBT-RBB",IF(CK69=5%,"Selesai RBT-RBB",IF(CK69&lt;10%,"Proses RBT-RBL",IF(CK69=10%,"Selesai RBT-RBL",IF(CK69&lt;15%,"Proses RBT-RBTD",IF(CK69=15%,"Selesai RBT-RBTD",IF(CK69&lt;20%,"Proses RPP",IF(CK69=20%,"Selesai RPP",IF(CK69&lt;25%,"Proses KAK",IF(CK69=25%,"Selesai KAK",IF(CK69&lt;30%,"Proses Pengadaan",IF(CK69=30%,"Selesai Pengadaan",IF(CK69&lt;45%,"Proses Desain",IF(CK69=45%,"Selesai Desain",IF(CK69&lt;80%,"Proses Pengembangan",IF(CK69=80%,"Selesai Pengembangan",IF(CK69&lt;87.5%,"Proses SIT",IF(CK69=87.5%,"Selesai SIT",IF(CK69&lt;95%,"Proses UAT",IF(CK69=95%,"Selesai UAT",IF(CK69&lt;100%,"Proses Implementasi","Selesai Implementasi"))))))))))))))))))))))</f>
        <v>Not Started</v>
      </c>
      <c r="BZ69" s="63" t="str">
        <f t="shared" ref="BZ69:BZ117" si="177">IF(CL69=0%,"Not Started",IF(CL69&lt;5%,"Proses RBT-RBB",IF(CL69=5%,"Selesai RBT-RBB",IF(CL69&lt;10%,"Proses RBT-RBL",IF(CL69=10%,"Selesai RBT-RBL",IF(CL69&lt;15%,"Proses RBT-RBTD",IF(CL69=15%,"Selesai RBT-RBTD",IF(CL69&lt;20%,"Proses RPP",IF(CL69=20%,"Selesai RPP",IF(CL69&lt;25%,"Proses KAK",IF(CL69=25%,"Selesai KAK",IF(CL69&lt;30%,"Proses Pengadaan",IF(CL69=30%,"Selesai Pengadaan",IF(CL69&lt;45%,"Proses Desain",IF(CL69=45%,"Selesai Desain",IF(CL69&lt;80%,"Proses Pengembangan",IF(CL69=80%,"Selesai Pengembangan",IF(CL69&lt;87.5%,"Proses SIT",IF(CL69=87.5%,"Selesai SIT",IF(CL69&lt;95%,"Proses UAT",IF(CL69=95%,"Selesai UAT",IF(CL69&lt;100%,"Proses Implementasi","Selesai Implementasi"))))))))))))))))))))))</f>
        <v>Not Started</v>
      </c>
      <c r="CA69" s="63" t="str">
        <f t="shared" ref="CA69:CA117" si="178">IF(CM69=0%,"Not Started",IF(CM69&lt;5%,"Proses RBT-RBB",IF(CM69=5%,"Selesai RBT-RBB",IF(CM69&lt;10%,"Proses RBT-RBL",IF(CM69=10%,"Selesai RBT-RBL",IF(CM69&lt;15%,"Proses RBT-RBTD",IF(CM69=15%,"Selesai RBT-RBTD",IF(CM69&lt;20%,"Proses RPP",IF(CM69=20%,"Selesai RPP",IF(CM69&lt;25%,"Proses KAK",IF(CM69=25%,"Selesai KAK",IF(CM69&lt;30%,"Proses Pengadaan",IF(CM69=30%,"Selesai Pengadaan",IF(CM69&lt;45%,"Proses Desain",IF(CM69=45%,"Selesai Desain",IF(CM69&lt;80%,"Proses Pengembangan",IF(CM69=80%,"Selesai Pengembangan",IF(CM69&lt;87.5%,"Proses SIT",IF(CM69=87.5%,"Selesai SIT",IF(CM69&lt;95%,"Proses UAT",IF(CM69=95%,"Selesai UAT",IF(CM69&lt;100%,"Proses Implementasi","Selesai Implementasi"))))))))))))))))))))))</f>
        <v>Not Started</v>
      </c>
      <c r="CB69" s="63" t="str">
        <f t="shared" ref="CB69:CB117" si="179">IF(CN69=0%,"Not Started",IF(CN69&lt;5%,"Proses RBT-RBB",IF(CN69=5%,"Selesai RBT-RBB",IF(CN69&lt;10%,"Proses RBT-RBL",IF(CN69=10%,"Selesai RBT-RBL",IF(CN69&lt;15%,"Proses RBT-RBTD",IF(CN69=15%,"Selesai RBT-RBTD",IF(CN69&lt;20%,"Proses RPP",IF(CN69=20%,"Selesai RPP",IF(CN69&lt;25%,"Proses KAK",IF(CN69=25%,"Selesai KAK",IF(CN69&lt;30%,"Proses Pengadaan",IF(CN69=30%,"Selesai Pengadaan",IF(CN69&lt;45%,"Proses Desain",IF(CN69=45%,"Selesai Desain",IF(CN69&lt;80%,"Proses Pengembangan",IF(CN69=80%,"Selesai Pengembangan",IF(CN69&lt;87.5%,"Proses SIT",IF(CN69=87.5%,"Selesai SIT",IF(CN69&lt;95%,"Proses UAT",IF(CN69=95%,"Selesai UAT",IF(CN69&lt;100%,"Proses Implementasi","Selesai Implementasi"))))))))))))))))))))))</f>
        <v>Not Started</v>
      </c>
      <c r="CC69" s="44">
        <v>0</v>
      </c>
      <c r="CD69" s="44">
        <v>0</v>
      </c>
      <c r="CE69" s="44">
        <v>0</v>
      </c>
      <c r="CF69" s="44">
        <v>0</v>
      </c>
      <c r="CG69" s="44">
        <v>0</v>
      </c>
      <c r="CH69" s="221">
        <v>0.21249999999999999</v>
      </c>
      <c r="CI69" s="220">
        <v>0</v>
      </c>
      <c r="CJ69" s="44"/>
      <c r="CK69" s="220"/>
      <c r="CL69" s="44">
        <v>0</v>
      </c>
      <c r="CM69" s="44">
        <f t="shared" ref="CM69:CN70" si="180">(($DY69/100%)*15%)+(($DZ69/100%)*5%)+(($EA69/100%)*5%)+(($EB69/100%)*5%)+(($EC69/100%)*15%)+(($ED69/100%)*35%)+(($EE69/100%)*7.5%)+(($EF69/100%)*7.5%)+(($EG69/100%)*5%)</f>
        <v>0</v>
      </c>
      <c r="CN69" s="44">
        <f t="shared" si="180"/>
        <v>0</v>
      </c>
      <c r="CO69" s="45">
        <f t="shared" ref="CO69:CO116" si="181">IF(BE69=0%, 100%, (CC69/BE69))</f>
        <v>1</v>
      </c>
      <c r="CP69" s="45">
        <f t="shared" ref="CP69:CP116" si="182">IF(BF69=0%, 100%, (CD69/BF69))</f>
        <v>1</v>
      </c>
      <c r="CQ69" s="45">
        <f t="shared" ref="CQ69:CQ116" si="183">IF(BG69=0%, 100%, (CE69/BG69))</f>
        <v>1</v>
      </c>
      <c r="CR69" s="45">
        <f t="shared" ref="CR69:CR116" si="184">IF(BH69=0%, 100%, (CF69/BH69))</f>
        <v>1</v>
      </c>
      <c r="CS69" s="45">
        <f t="shared" ref="CS69:CS116" si="185">IF(BI69=0%, 100%, (CG69/BI69))</f>
        <v>1</v>
      </c>
      <c r="CT69" s="45">
        <f t="shared" ref="CT69:CT116" si="186">IF(BJ69=0%, 100%, (CH69/BJ69))</f>
        <v>1</v>
      </c>
      <c r="CU69" s="45">
        <f t="shared" ref="CU69:CU116" si="187">IF(BK69=0%, 100%, (CI69/BK69))</f>
        <v>1</v>
      </c>
      <c r="CV69" s="45">
        <f t="shared" ref="CV69:CV116" si="188">IF(BL69=0%, 100%, (CJ69/BL69))</f>
        <v>1</v>
      </c>
      <c r="CW69" s="45">
        <f t="shared" ref="CW69:CW116" si="189">IF(BM69=0%, 100%, (CK69/BM69))</f>
        <v>1</v>
      </c>
      <c r="CX69" s="45">
        <f t="shared" ref="CX69:CX116" si="190">IF(BN69=0%, 100%, (CL69/BN69))</f>
        <v>1</v>
      </c>
      <c r="CY69" s="45">
        <f t="shared" si="77"/>
        <v>1</v>
      </c>
      <c r="CZ69" s="45"/>
      <c r="DA69" s="45" t="str">
        <f t="shared" ref="DA69:DA116" si="191">IF(BE69=0%,"NS",IF(CC69=100%,"DONE",IF(CO69&gt;100%,"AS",IF(CO69&lt;75%,"BS",IF(CO69&lt;89.9%,"AR","OS")))))</f>
        <v>NS</v>
      </c>
      <c r="DB69" s="45" t="str">
        <f t="shared" ref="DB69:DB116" si="192">IF(BF69=0%,"NS",IF(CD69=100%,"DONE",IF(CP69&gt;100%,"AS",IF(CP69&lt;75%,"BS",IF(CP69&lt;89.9%,"AR","OS")))))</f>
        <v>NS</v>
      </c>
      <c r="DC69" s="45" t="str">
        <f t="shared" ref="DC69:DC116" si="193">IF(BG69=0%,"NS",IF(CE69=100%,"DONE",IF(CQ69&gt;100%,"AS",IF(CQ69&lt;75%,"BS",IF(CQ69&lt;89.9%,"AR","OS")))))</f>
        <v>NS</v>
      </c>
      <c r="DD69" s="45" t="str">
        <f t="shared" ref="DD69:DD116" si="194">IF(BH69=0%,"NS",IF(CF69=100%,"DONE",IF(CR69&gt;100%,"AS",IF(CR69&lt;75%,"BS",IF(CR69&lt;89.9%,"AR","OS")))))</f>
        <v>NS</v>
      </c>
      <c r="DE69" s="45" t="str">
        <f t="shared" ref="DE69:DE116" si="195">IF(BI69=0%,"NS",IF(CG69=100%,"DONE",IF(CS69&gt;100%,"AS",IF(CS69&lt;75%,"BS",IF(CS69&lt;89.9%,"AR","OS")))))</f>
        <v>NS</v>
      </c>
      <c r="DF69" s="45" t="str">
        <f t="shared" ref="DF69:DF116" si="196">IF(BJ69=0%,"NS",IF(CH69=100%,"DONE",IF(CT69&gt;100%,"AS",IF(CT69&lt;75%,"BS",IF(CT69&lt;89.9%,"AR","OS")))))</f>
        <v>NS</v>
      </c>
      <c r="DG69" s="45" t="str">
        <f t="shared" ref="DG69:DG116" si="197">IF(BK69=0%,"NS",IF(CI69=100%,"DONE",IF(CU69&gt;100%,"AS",IF(CU69&lt;75%,"BS",IF(CU69&lt;89.9%,"AR","OS")))))</f>
        <v>NS</v>
      </c>
      <c r="DH69" s="45" t="str">
        <f t="shared" ref="DH69:DH116" si="198">IF(BL69=0%,"NS",IF(CJ69=100%,"DONE",IF(CV69&gt;100%,"AS",IF(CV69&lt;75%,"BS",IF(CV69&lt;89.9%,"AR","OS")))))</f>
        <v>NS</v>
      </c>
      <c r="DI69" s="45" t="str">
        <f t="shared" ref="DI69:DI116" si="199">IF(BM69=0%,"NS",IF(CK69=100%,"DONE",IF(CW69&gt;100%,"AS",IF(CW69&lt;75%,"BS",IF(CW69&lt;89.9%,"AR","OS")))))</f>
        <v>NS</v>
      </c>
      <c r="DJ69" s="45" t="str">
        <f t="shared" ref="DJ69:DJ116" si="200">IF(BN69=0%,"NS",IF(CL69=100%,"DONE",IF(CX69&gt;100%,"AS",IF(CX69&lt;75%,"BS",IF(CX69&lt;89.9%,"AR","OS")))))</f>
        <v>NS</v>
      </c>
      <c r="DK69" s="45" t="str">
        <f t="shared" si="78"/>
        <v>NS</v>
      </c>
      <c r="DL69" s="45" t="str">
        <f t="shared" ref="DL69:DL117" si="201">IF(BP69=0%,"NS",IF(CN69=100%,"DONE",IF(CZ69&gt;100%,"AS",IF(CZ69&lt;75%,"BS",IF(CZ69&lt;89.9%,"AR","OS")))))</f>
        <v>NS</v>
      </c>
      <c r="DM69" s="45" t="e">
        <f t="shared" ref="DM69:DM117" si="202">CC69/$BP69</f>
        <v>#DIV/0!</v>
      </c>
      <c r="DN69" s="45" t="e">
        <f t="shared" ref="DN69:DN117" si="203">CD69/$BP69</f>
        <v>#DIV/0!</v>
      </c>
      <c r="DO69" s="45" t="e">
        <f t="shared" ref="DO69:DO117" si="204">CE69/$BP69</f>
        <v>#DIV/0!</v>
      </c>
      <c r="DP69" s="45" t="e">
        <f t="shared" ref="DP69:DP117" si="205">CF69/$BP69</f>
        <v>#DIV/0!</v>
      </c>
      <c r="DQ69" s="45" t="e">
        <f t="shared" ref="DQ69:DQ117" si="206">CG69/$BP69</f>
        <v>#DIV/0!</v>
      </c>
      <c r="DR69" s="45" t="e">
        <f t="shared" ref="DR69:DR117" si="207">CH69/$BP69</f>
        <v>#DIV/0!</v>
      </c>
      <c r="DS69" s="45" t="e">
        <f t="shared" ref="DS69:DS117" si="208">CI69/$BP69</f>
        <v>#DIV/0!</v>
      </c>
      <c r="DT69" s="45" t="e">
        <f t="shared" ref="DT69:DT117" si="209">CJ69/$BP69</f>
        <v>#DIV/0!</v>
      </c>
      <c r="DU69" s="45" t="e">
        <f t="shared" ref="DU69:DU117" si="210">CK69/$BP69</f>
        <v>#DIV/0!</v>
      </c>
      <c r="DV69" s="45" t="e">
        <f t="shared" ref="DV69:DV117" si="211">CL69/$BP69</f>
        <v>#DIV/0!</v>
      </c>
      <c r="DW69" s="45" t="e">
        <f t="shared" ref="DW69:DW117" si="212">CM69/$BP69</f>
        <v>#DIV/0!</v>
      </c>
      <c r="DX69" s="45" t="e">
        <f t="shared" ref="DX69:DX117" si="213">CN69/$BP69</f>
        <v>#DIV/0!</v>
      </c>
      <c r="DY69" s="41"/>
      <c r="DZ69" s="41"/>
      <c r="EA69" s="41"/>
      <c r="EB69" s="41"/>
      <c r="EC69" s="41"/>
      <c r="ED69" s="41"/>
      <c r="EE69" s="53"/>
      <c r="EF69" s="54"/>
      <c r="EG69" s="54"/>
      <c r="EH69" s="47"/>
      <c r="EI69" s="222"/>
      <c r="EJ69" s="59">
        <f t="shared" ref="EJ69:EJ117" si="214">AR69</f>
        <v>47299</v>
      </c>
      <c r="EK69" s="275"/>
      <c r="EL69" s="59"/>
      <c r="EM69" s="59"/>
      <c r="EN69" s="222"/>
      <c r="EO69" s="222"/>
      <c r="EP69" s="220"/>
      <c r="EQ69" s="222"/>
      <c r="ER69" s="223"/>
      <c r="ES69" s="220"/>
      <c r="ET69" s="222"/>
      <c r="EU69" s="222"/>
      <c r="EV69" s="220"/>
      <c r="EW69" s="220"/>
      <c r="EX69" s="220"/>
      <c r="EY69" s="220"/>
      <c r="EZ69" s="220"/>
      <c r="FA69" s="220"/>
      <c r="FB69" s="220"/>
      <c r="FC69" s="222"/>
      <c r="FD69" s="220"/>
      <c r="FE69" s="220"/>
      <c r="FF69" s="222"/>
      <c r="FG69" s="222"/>
      <c r="FH69" s="220"/>
      <c r="FI69" s="220"/>
      <c r="FJ69" s="220"/>
      <c r="FK69" s="220"/>
      <c r="FL69" s="220"/>
      <c r="FM69" s="172" t="s">
        <v>244</v>
      </c>
      <c r="FN69" s="319" t="s">
        <v>610</v>
      </c>
      <c r="FO69" s="319" t="s">
        <v>231</v>
      </c>
      <c r="FP69" s="172" t="s">
        <v>611</v>
      </c>
      <c r="FQ69" s="172"/>
      <c r="FR69" s="213" t="s">
        <v>612</v>
      </c>
      <c r="FS69" s="213" t="s">
        <v>613</v>
      </c>
      <c r="FT69" s="213" t="s">
        <v>614</v>
      </c>
      <c r="FU69" s="223"/>
    </row>
    <row r="70" spans="1:177" s="16" customFormat="1" ht="128">
      <c r="A70" s="63" t="s">
        <v>615</v>
      </c>
      <c r="B70" s="48"/>
      <c r="C70" s="64" t="s">
        <v>206</v>
      </c>
      <c r="D70" s="318" t="s">
        <v>207</v>
      </c>
      <c r="E70" s="48" t="s">
        <v>604</v>
      </c>
      <c r="F70" s="48">
        <f t="shared" ref="F70:F78" si="215">F69+1</f>
        <v>2</v>
      </c>
      <c r="G70" s="222" t="s">
        <v>605</v>
      </c>
      <c r="H70" s="222" t="s">
        <v>606</v>
      </c>
      <c r="I70" s="222" t="s">
        <v>616</v>
      </c>
      <c r="J70" s="48">
        <v>2026</v>
      </c>
      <c r="K70" s="48">
        <v>2027</v>
      </c>
      <c r="L70" s="48" t="s">
        <v>172</v>
      </c>
      <c r="M70" s="48" t="s">
        <v>173</v>
      </c>
      <c r="N70" s="63" t="s">
        <v>174</v>
      </c>
      <c r="O70" s="63" t="s">
        <v>608</v>
      </c>
      <c r="P70" s="63" t="s">
        <v>458</v>
      </c>
      <c r="Q70" s="48" t="s">
        <v>199</v>
      </c>
      <c r="R70" s="63" t="s">
        <v>609</v>
      </c>
      <c r="S70" s="63" t="str">
        <f t="shared" si="153"/>
        <v>Not Started</v>
      </c>
      <c r="T70" s="63" t="str">
        <f t="shared" si="145"/>
        <v>Not Started</v>
      </c>
      <c r="U70" s="63" t="str">
        <f t="shared" si="154"/>
        <v>M. Fahmi Ridwan</v>
      </c>
      <c r="V70" s="67">
        <f t="shared" si="155"/>
        <v>0</v>
      </c>
      <c r="W70" s="66" t="s">
        <v>263</v>
      </c>
      <c r="X70" s="59">
        <f t="shared" si="156"/>
        <v>46660</v>
      </c>
      <c r="Y70" s="48">
        <v>0</v>
      </c>
      <c r="Z70" s="48"/>
      <c r="AA70" s="42">
        <v>46327</v>
      </c>
      <c r="AB70" s="42">
        <v>46418</v>
      </c>
      <c r="AC70" s="42">
        <v>46419</v>
      </c>
      <c r="AD70" s="42">
        <v>46446</v>
      </c>
      <c r="AE70" s="217"/>
      <c r="AF70" s="48"/>
      <c r="AG70" s="217"/>
      <c r="AH70" s="217"/>
      <c r="AI70" s="42">
        <v>46447</v>
      </c>
      <c r="AJ70" s="42">
        <v>46477</v>
      </c>
      <c r="AK70" s="42">
        <v>46478</v>
      </c>
      <c r="AL70" s="42">
        <v>46568</v>
      </c>
      <c r="AM70" s="42">
        <v>46569</v>
      </c>
      <c r="AN70" s="42">
        <v>46599</v>
      </c>
      <c r="AO70" s="42">
        <v>46600</v>
      </c>
      <c r="AP70" s="42">
        <v>46630</v>
      </c>
      <c r="AQ70" s="42">
        <v>46631</v>
      </c>
      <c r="AR70" s="42">
        <v>46660</v>
      </c>
      <c r="AS70" s="63" t="str">
        <f t="shared" si="157"/>
        <v>Not Started</v>
      </c>
      <c r="AT70" s="63" t="str">
        <f t="shared" si="158"/>
        <v>Not Started</v>
      </c>
      <c r="AU70" s="63" t="str">
        <f t="shared" si="159"/>
        <v>Not Started</v>
      </c>
      <c r="AV70" s="63" t="str">
        <f t="shared" si="160"/>
        <v>Not Started</v>
      </c>
      <c r="AW70" s="63" t="str">
        <f t="shared" si="161"/>
        <v>Not Started</v>
      </c>
      <c r="AX70" s="63" t="str">
        <f t="shared" si="162"/>
        <v>Not Started</v>
      </c>
      <c r="AY70" s="63" t="str">
        <f t="shared" si="163"/>
        <v>Not Started</v>
      </c>
      <c r="AZ70" s="63" t="str">
        <f t="shared" si="164"/>
        <v>Not Started</v>
      </c>
      <c r="BA70" s="63" t="str">
        <f t="shared" si="165"/>
        <v>Not Started</v>
      </c>
      <c r="BB70" s="63" t="str">
        <f t="shared" si="166"/>
        <v>Not Started</v>
      </c>
      <c r="BC70" s="63" t="str">
        <f t="shared" si="76"/>
        <v>Not Started</v>
      </c>
      <c r="BD70" s="63" t="str">
        <f t="shared" si="167"/>
        <v>Not Started</v>
      </c>
      <c r="BE70" s="219">
        <v>0</v>
      </c>
      <c r="BF70" s="219">
        <v>0</v>
      </c>
      <c r="BG70" s="219">
        <v>0</v>
      </c>
      <c r="BH70" s="219">
        <v>0</v>
      </c>
      <c r="BI70" s="219">
        <v>0</v>
      </c>
      <c r="BJ70" s="219">
        <v>0</v>
      </c>
      <c r="BK70" s="219">
        <v>0</v>
      </c>
      <c r="BL70" s="219">
        <v>0</v>
      </c>
      <c r="BM70" s="219">
        <v>0</v>
      </c>
      <c r="BN70" s="219">
        <v>0</v>
      </c>
      <c r="BO70" s="219">
        <v>0</v>
      </c>
      <c r="BP70" s="219">
        <v>0</v>
      </c>
      <c r="BQ70" s="63" t="str">
        <f t="shared" si="168"/>
        <v>Not Started</v>
      </c>
      <c r="BR70" s="63" t="str">
        <f t="shared" si="169"/>
        <v>Not Started</v>
      </c>
      <c r="BS70" s="63" t="str">
        <f t="shared" si="170"/>
        <v>Not Started</v>
      </c>
      <c r="BT70" s="63" t="str">
        <f t="shared" si="171"/>
        <v>Not Started</v>
      </c>
      <c r="BU70" s="63" t="str">
        <f t="shared" si="172"/>
        <v>Not Started</v>
      </c>
      <c r="BV70" s="63" t="str">
        <f t="shared" si="173"/>
        <v>Proses KAK</v>
      </c>
      <c r="BW70" s="63" t="str">
        <f t="shared" si="174"/>
        <v>Not Started</v>
      </c>
      <c r="BX70" s="63" t="str">
        <f t="shared" si="175"/>
        <v>Not Started</v>
      </c>
      <c r="BY70" s="63" t="str">
        <f t="shared" si="176"/>
        <v>Not Started</v>
      </c>
      <c r="BZ70" s="63" t="str">
        <f t="shared" si="177"/>
        <v>Not Started</v>
      </c>
      <c r="CA70" s="63" t="str">
        <f t="shared" si="178"/>
        <v>Not Started</v>
      </c>
      <c r="CB70" s="63" t="str">
        <f t="shared" si="179"/>
        <v>Not Started</v>
      </c>
      <c r="CC70" s="44">
        <v>0</v>
      </c>
      <c r="CD70" s="44">
        <v>0</v>
      </c>
      <c r="CE70" s="44">
        <v>0</v>
      </c>
      <c r="CF70" s="44">
        <v>0</v>
      </c>
      <c r="CG70" s="44">
        <v>0</v>
      </c>
      <c r="CH70" s="221">
        <v>0.21249999999999999</v>
      </c>
      <c r="CI70" s="220">
        <v>0</v>
      </c>
      <c r="CJ70" s="44"/>
      <c r="CK70" s="220"/>
      <c r="CL70" s="44">
        <v>0</v>
      </c>
      <c r="CM70" s="44">
        <f t="shared" si="180"/>
        <v>0</v>
      </c>
      <c r="CN70" s="44">
        <f t="shared" si="180"/>
        <v>0</v>
      </c>
      <c r="CO70" s="45">
        <f t="shared" si="181"/>
        <v>1</v>
      </c>
      <c r="CP70" s="45">
        <f t="shared" si="182"/>
        <v>1</v>
      </c>
      <c r="CQ70" s="45">
        <f t="shared" si="183"/>
        <v>1</v>
      </c>
      <c r="CR70" s="45">
        <f t="shared" si="184"/>
        <v>1</v>
      </c>
      <c r="CS70" s="45">
        <f t="shared" si="185"/>
        <v>1</v>
      </c>
      <c r="CT70" s="45">
        <f t="shared" si="186"/>
        <v>1</v>
      </c>
      <c r="CU70" s="45">
        <f t="shared" si="187"/>
        <v>1</v>
      </c>
      <c r="CV70" s="45">
        <f t="shared" si="188"/>
        <v>1</v>
      </c>
      <c r="CW70" s="45">
        <f t="shared" si="189"/>
        <v>1</v>
      </c>
      <c r="CX70" s="45">
        <f t="shared" si="190"/>
        <v>1</v>
      </c>
      <c r="CY70" s="45">
        <f t="shared" si="77"/>
        <v>1</v>
      </c>
      <c r="CZ70" s="45"/>
      <c r="DA70" s="45" t="str">
        <f t="shared" si="191"/>
        <v>NS</v>
      </c>
      <c r="DB70" s="45" t="str">
        <f t="shared" si="192"/>
        <v>NS</v>
      </c>
      <c r="DC70" s="45" t="str">
        <f t="shared" si="193"/>
        <v>NS</v>
      </c>
      <c r="DD70" s="45" t="str">
        <f t="shared" si="194"/>
        <v>NS</v>
      </c>
      <c r="DE70" s="45" t="str">
        <f t="shared" si="195"/>
        <v>NS</v>
      </c>
      <c r="DF70" s="45" t="str">
        <f t="shared" si="196"/>
        <v>NS</v>
      </c>
      <c r="DG70" s="45" t="str">
        <f t="shared" si="197"/>
        <v>NS</v>
      </c>
      <c r="DH70" s="45" t="str">
        <f t="shared" si="198"/>
        <v>NS</v>
      </c>
      <c r="DI70" s="45" t="str">
        <f t="shared" si="199"/>
        <v>NS</v>
      </c>
      <c r="DJ70" s="45" t="str">
        <f t="shared" si="200"/>
        <v>NS</v>
      </c>
      <c r="DK70" s="45" t="str">
        <f t="shared" si="78"/>
        <v>NS</v>
      </c>
      <c r="DL70" s="45" t="str">
        <f t="shared" si="201"/>
        <v>NS</v>
      </c>
      <c r="DM70" s="45" t="e">
        <f t="shared" si="202"/>
        <v>#DIV/0!</v>
      </c>
      <c r="DN70" s="45" t="e">
        <f t="shared" si="203"/>
        <v>#DIV/0!</v>
      </c>
      <c r="DO70" s="45" t="e">
        <f t="shared" si="204"/>
        <v>#DIV/0!</v>
      </c>
      <c r="DP70" s="45" t="e">
        <f t="shared" si="205"/>
        <v>#DIV/0!</v>
      </c>
      <c r="DQ70" s="45" t="e">
        <f t="shared" si="206"/>
        <v>#DIV/0!</v>
      </c>
      <c r="DR70" s="45" t="e">
        <f t="shared" si="207"/>
        <v>#DIV/0!</v>
      </c>
      <c r="DS70" s="45" t="e">
        <f t="shared" si="208"/>
        <v>#DIV/0!</v>
      </c>
      <c r="DT70" s="45" t="e">
        <f t="shared" si="209"/>
        <v>#DIV/0!</v>
      </c>
      <c r="DU70" s="45" t="e">
        <f t="shared" si="210"/>
        <v>#DIV/0!</v>
      </c>
      <c r="DV70" s="45" t="e">
        <f t="shared" si="211"/>
        <v>#DIV/0!</v>
      </c>
      <c r="DW70" s="45" t="e">
        <f t="shared" si="212"/>
        <v>#DIV/0!</v>
      </c>
      <c r="DX70" s="45" t="e">
        <f t="shared" si="213"/>
        <v>#DIV/0!</v>
      </c>
      <c r="DY70" s="41"/>
      <c r="DZ70" s="41"/>
      <c r="EA70" s="41"/>
      <c r="EB70" s="41"/>
      <c r="EC70" s="41"/>
      <c r="ED70" s="41"/>
      <c r="EE70" s="53"/>
      <c r="EF70" s="54"/>
      <c r="EG70" s="54"/>
      <c r="EH70" s="47"/>
      <c r="EI70" s="222"/>
      <c r="EJ70" s="59">
        <f t="shared" si="214"/>
        <v>46660</v>
      </c>
      <c r="EK70" s="275"/>
      <c r="EL70" s="59"/>
      <c r="EM70" s="59"/>
      <c r="EN70" s="222"/>
      <c r="EO70" s="222"/>
      <c r="EP70" s="220"/>
      <c r="EQ70" s="222"/>
      <c r="ER70" s="223"/>
      <c r="ES70" s="220"/>
      <c r="ET70" s="222"/>
      <c r="EU70" s="222"/>
      <c r="EV70" s="220"/>
      <c r="EW70" s="220"/>
      <c r="EX70" s="220"/>
      <c r="EY70" s="220"/>
      <c r="EZ70" s="220"/>
      <c r="FA70" s="220"/>
      <c r="FB70" s="220"/>
      <c r="FC70" s="222"/>
      <c r="FD70" s="220"/>
      <c r="FE70" s="220"/>
      <c r="FF70" s="222"/>
      <c r="FG70" s="222"/>
      <c r="FH70" s="220"/>
      <c r="FI70" s="220"/>
      <c r="FJ70" s="220"/>
      <c r="FK70" s="220"/>
      <c r="FL70" s="220"/>
      <c r="FM70" s="172" t="s">
        <v>244</v>
      </c>
      <c r="FN70" s="319" t="s">
        <v>610</v>
      </c>
      <c r="FO70" s="319" t="s">
        <v>231</v>
      </c>
      <c r="FP70" s="172" t="s">
        <v>617</v>
      </c>
      <c r="FQ70" s="172"/>
      <c r="FR70" s="213" t="s">
        <v>224</v>
      </c>
      <c r="FS70" s="213"/>
      <c r="FT70" s="213" t="s">
        <v>618</v>
      </c>
      <c r="FU70" s="223"/>
    </row>
    <row r="71" spans="1:177" s="16" customFormat="1" ht="96">
      <c r="A71" s="63" t="s">
        <v>619</v>
      </c>
      <c r="B71" s="48"/>
      <c r="C71" s="64" t="s">
        <v>206</v>
      </c>
      <c r="D71" s="225" t="s">
        <v>207</v>
      </c>
      <c r="E71" s="320" t="s">
        <v>604</v>
      </c>
      <c r="F71" s="321">
        <f t="shared" si="215"/>
        <v>3</v>
      </c>
      <c r="G71" s="322" t="s">
        <v>605</v>
      </c>
      <c r="H71" s="222" t="s">
        <v>606</v>
      </c>
      <c r="I71" s="322" t="s">
        <v>620</v>
      </c>
      <c r="J71" s="320">
        <v>2025</v>
      </c>
      <c r="K71" s="320">
        <v>2025</v>
      </c>
      <c r="L71" s="320" t="s">
        <v>172</v>
      </c>
      <c r="M71" s="320" t="s">
        <v>173</v>
      </c>
      <c r="N71" s="323" t="s">
        <v>174</v>
      </c>
      <c r="O71" s="323" t="s">
        <v>608</v>
      </c>
      <c r="P71" s="63" t="s">
        <v>458</v>
      </c>
      <c r="Q71" s="320" t="s">
        <v>199</v>
      </c>
      <c r="R71" s="323" t="s">
        <v>621</v>
      </c>
      <c r="S71" s="63" t="str">
        <f t="shared" si="153"/>
        <v>Selesai Implementasi</v>
      </c>
      <c r="T71" s="63" t="str">
        <f t="shared" si="145"/>
        <v>DONE</v>
      </c>
      <c r="U71" s="323" t="str">
        <f t="shared" si="154"/>
        <v>M. Fahmi Ridwan</v>
      </c>
      <c r="V71" s="67">
        <f t="shared" si="155"/>
        <v>0.99999999999999989</v>
      </c>
      <c r="W71" s="324" t="s">
        <v>215</v>
      </c>
      <c r="X71" s="325">
        <f t="shared" si="156"/>
        <v>45838</v>
      </c>
      <c r="Y71" s="326" t="s">
        <v>224</v>
      </c>
      <c r="Z71" s="320"/>
      <c r="AA71" s="327"/>
      <c r="AB71" s="280">
        <v>45747</v>
      </c>
      <c r="AC71" s="328"/>
      <c r="AD71" s="280">
        <v>45747</v>
      </c>
      <c r="AE71" s="280">
        <v>45597</v>
      </c>
      <c r="AF71" s="280">
        <v>45626</v>
      </c>
      <c r="AG71" s="280">
        <v>45627</v>
      </c>
      <c r="AH71" s="280">
        <v>45656</v>
      </c>
      <c r="AI71" s="280">
        <v>45775</v>
      </c>
      <c r="AJ71" s="280">
        <v>45777</v>
      </c>
      <c r="AK71" s="280">
        <v>45782</v>
      </c>
      <c r="AL71" s="280">
        <v>45793</v>
      </c>
      <c r="AM71" s="280">
        <v>45796</v>
      </c>
      <c r="AN71" s="280">
        <v>45813</v>
      </c>
      <c r="AO71" s="280">
        <v>45818</v>
      </c>
      <c r="AP71" s="280">
        <v>45828</v>
      </c>
      <c r="AQ71" s="280">
        <v>45831</v>
      </c>
      <c r="AR71" s="280">
        <v>45838</v>
      </c>
      <c r="AS71" s="323" t="str">
        <f t="shared" si="157"/>
        <v>Selesai Implementasi</v>
      </c>
      <c r="AT71" s="323" t="str">
        <f t="shared" si="158"/>
        <v>Selesai Implementasi</v>
      </c>
      <c r="AU71" s="323" t="str">
        <f t="shared" si="159"/>
        <v>Selesai Implementasi</v>
      </c>
      <c r="AV71" s="323" t="str">
        <f t="shared" si="160"/>
        <v>Selesai Implementasi</v>
      </c>
      <c r="AW71" s="323" t="str">
        <f t="shared" si="161"/>
        <v>Selesai Implementasi</v>
      </c>
      <c r="AX71" s="323" t="str">
        <f t="shared" si="162"/>
        <v>Selesai Implementasi</v>
      </c>
      <c r="AY71" s="323" t="str">
        <f t="shared" si="163"/>
        <v>Selesai Implementasi</v>
      </c>
      <c r="AZ71" s="323" t="str">
        <f t="shared" si="164"/>
        <v>Selesai Implementasi</v>
      </c>
      <c r="BA71" s="323" t="str">
        <f t="shared" si="165"/>
        <v>Selesai Implementasi</v>
      </c>
      <c r="BB71" s="323" t="str">
        <f t="shared" si="166"/>
        <v>Selesai Implementasi</v>
      </c>
      <c r="BC71" s="323" t="str">
        <f t="shared" si="76"/>
        <v>Selesai Implementasi</v>
      </c>
      <c r="BD71" s="323" t="str">
        <f t="shared" si="167"/>
        <v>Selesai Implementasi</v>
      </c>
      <c r="BE71" s="43">
        <v>1</v>
      </c>
      <c r="BF71" s="43">
        <v>1</v>
      </c>
      <c r="BG71" s="43">
        <v>1</v>
      </c>
      <c r="BH71" s="43">
        <v>1</v>
      </c>
      <c r="BI71" s="43">
        <v>1</v>
      </c>
      <c r="BJ71" s="43">
        <v>1</v>
      </c>
      <c r="BK71" s="43">
        <v>1</v>
      </c>
      <c r="BL71" s="43">
        <v>1</v>
      </c>
      <c r="BM71" s="43">
        <v>1</v>
      </c>
      <c r="BN71" s="43">
        <v>1</v>
      </c>
      <c r="BO71" s="43">
        <v>1</v>
      </c>
      <c r="BP71" s="43">
        <v>1</v>
      </c>
      <c r="BQ71" s="323" t="str">
        <f t="shared" si="168"/>
        <v>Selesai Implementasi</v>
      </c>
      <c r="BR71" s="323" t="str">
        <f t="shared" si="169"/>
        <v>Not Started</v>
      </c>
      <c r="BS71" s="323" t="str">
        <f t="shared" si="170"/>
        <v>Not Started</v>
      </c>
      <c r="BT71" s="323" t="str">
        <f t="shared" si="171"/>
        <v>Not Started</v>
      </c>
      <c r="BU71" s="323" t="str">
        <f t="shared" si="172"/>
        <v>Not Started</v>
      </c>
      <c r="BV71" s="323" t="str">
        <f t="shared" si="173"/>
        <v>Not Started</v>
      </c>
      <c r="BW71" s="323" t="str">
        <f t="shared" si="174"/>
        <v>Not Started</v>
      </c>
      <c r="BX71" s="323" t="str">
        <f t="shared" si="175"/>
        <v>Not Started</v>
      </c>
      <c r="BY71" s="323" t="str">
        <f t="shared" si="176"/>
        <v>Not Started</v>
      </c>
      <c r="BZ71" s="323" t="str">
        <f t="shared" si="177"/>
        <v>Not Started</v>
      </c>
      <c r="CA71" s="323" t="str">
        <f t="shared" si="178"/>
        <v>Not Started</v>
      </c>
      <c r="CB71" s="323" t="str">
        <f t="shared" si="179"/>
        <v>Not Started</v>
      </c>
      <c r="CC71" s="44">
        <f t="shared" ref="CC71:CC107" si="216">(($DY71/100%)*15%)+(($DZ71/100%)*5%)+(($EA71/100%)*5%)+(($EB71/100%)*5%)+(($EC71/100%)*15%)+(($ED71/100%)*35%)+(($EE71/100%)*7.5%)+(($EF71/100%)*7.5%)+(($EG71/100%)*5%)</f>
        <v>0.99999999999999989</v>
      </c>
      <c r="CD71" s="329"/>
      <c r="CE71" s="329"/>
      <c r="CF71" s="329"/>
      <c r="CG71" s="329"/>
      <c r="CH71" s="329"/>
      <c r="CI71" s="329"/>
      <c r="CJ71" s="329"/>
      <c r="CK71" s="330"/>
      <c r="CL71" s="329"/>
      <c r="CM71" s="329"/>
      <c r="CN71" s="329"/>
      <c r="CO71" s="331">
        <f t="shared" si="181"/>
        <v>0.99999999999999989</v>
      </c>
      <c r="CP71" s="331">
        <f t="shared" si="182"/>
        <v>0</v>
      </c>
      <c r="CQ71" s="331">
        <f t="shared" si="183"/>
        <v>0</v>
      </c>
      <c r="CR71" s="331">
        <f t="shared" si="184"/>
        <v>0</v>
      </c>
      <c r="CS71" s="331">
        <f t="shared" si="185"/>
        <v>0</v>
      </c>
      <c r="CT71" s="331">
        <f t="shared" si="186"/>
        <v>0</v>
      </c>
      <c r="CU71" s="331">
        <f t="shared" si="187"/>
        <v>0</v>
      </c>
      <c r="CV71" s="331">
        <f t="shared" si="188"/>
        <v>0</v>
      </c>
      <c r="CW71" s="331">
        <f t="shared" si="189"/>
        <v>0</v>
      </c>
      <c r="CX71" s="331">
        <f t="shared" si="190"/>
        <v>0</v>
      </c>
      <c r="CY71" s="45">
        <f t="shared" si="77"/>
        <v>0</v>
      </c>
      <c r="CZ71" s="331"/>
      <c r="DA71" s="331" t="str">
        <f t="shared" si="191"/>
        <v>DONE</v>
      </c>
      <c r="DB71" s="331" t="str">
        <f t="shared" si="192"/>
        <v>BS</v>
      </c>
      <c r="DC71" s="331" t="str">
        <f t="shared" si="193"/>
        <v>BS</v>
      </c>
      <c r="DD71" s="331" t="str">
        <f t="shared" si="194"/>
        <v>BS</v>
      </c>
      <c r="DE71" s="331" t="str">
        <f t="shared" si="195"/>
        <v>BS</v>
      </c>
      <c r="DF71" s="331" t="str">
        <f t="shared" si="196"/>
        <v>BS</v>
      </c>
      <c r="DG71" s="331" t="str">
        <f t="shared" si="197"/>
        <v>BS</v>
      </c>
      <c r="DH71" s="331" t="str">
        <f t="shared" si="198"/>
        <v>BS</v>
      </c>
      <c r="DI71" s="331" t="str">
        <f t="shared" si="199"/>
        <v>BS</v>
      </c>
      <c r="DJ71" s="331" t="str">
        <f t="shared" si="200"/>
        <v>BS</v>
      </c>
      <c r="DK71" s="331" t="str">
        <f t="shared" si="78"/>
        <v>BS</v>
      </c>
      <c r="DL71" s="331" t="str">
        <f t="shared" si="201"/>
        <v>BS</v>
      </c>
      <c r="DM71" s="331">
        <f t="shared" si="202"/>
        <v>0.99999999999999989</v>
      </c>
      <c r="DN71" s="331">
        <f t="shared" si="203"/>
        <v>0</v>
      </c>
      <c r="DO71" s="331">
        <f t="shared" si="204"/>
        <v>0</v>
      </c>
      <c r="DP71" s="331">
        <f t="shared" si="205"/>
        <v>0</v>
      </c>
      <c r="DQ71" s="331">
        <f t="shared" si="206"/>
        <v>0</v>
      </c>
      <c r="DR71" s="331">
        <f t="shared" si="207"/>
        <v>0</v>
      </c>
      <c r="DS71" s="331">
        <f t="shared" si="208"/>
        <v>0</v>
      </c>
      <c r="DT71" s="331">
        <f t="shared" si="209"/>
        <v>0</v>
      </c>
      <c r="DU71" s="331">
        <f t="shared" si="210"/>
        <v>0</v>
      </c>
      <c r="DV71" s="331">
        <f t="shared" si="211"/>
        <v>0</v>
      </c>
      <c r="DW71" s="331">
        <f t="shared" si="212"/>
        <v>0</v>
      </c>
      <c r="DX71" s="331">
        <f t="shared" si="213"/>
        <v>0</v>
      </c>
      <c r="DY71" s="175">
        <v>1</v>
      </c>
      <c r="DZ71" s="175">
        <v>1</v>
      </c>
      <c r="EA71" s="175">
        <v>1</v>
      </c>
      <c r="EB71" s="175">
        <v>1</v>
      </c>
      <c r="EC71" s="175">
        <v>1</v>
      </c>
      <c r="ED71" s="175">
        <v>1</v>
      </c>
      <c r="EE71" s="176">
        <v>1</v>
      </c>
      <c r="EF71" s="176">
        <v>1</v>
      </c>
      <c r="EG71" s="176">
        <v>1</v>
      </c>
      <c r="EH71" s="177" t="s">
        <v>622</v>
      </c>
      <c r="EI71" s="280">
        <v>45838</v>
      </c>
      <c r="EJ71" s="325">
        <f t="shared" si="214"/>
        <v>45838</v>
      </c>
      <c r="EK71" s="332"/>
      <c r="EL71" s="325"/>
      <c r="EM71" s="333"/>
      <c r="EN71" s="288"/>
      <c r="EO71" s="288"/>
      <c r="EP71" s="330"/>
      <c r="EQ71" s="288"/>
      <c r="ER71" s="334"/>
      <c r="ES71" s="330"/>
      <c r="ET71" s="288"/>
      <c r="EU71" s="288"/>
      <c r="EV71" s="330"/>
      <c r="EW71" s="330"/>
      <c r="EX71" s="330"/>
      <c r="EY71" s="330"/>
      <c r="EZ71" s="330"/>
      <c r="FA71" s="330"/>
      <c r="FB71" s="330"/>
      <c r="FC71" s="288"/>
      <c r="FD71" s="330"/>
      <c r="FE71" s="330"/>
      <c r="FF71" s="288"/>
      <c r="FG71" s="288"/>
      <c r="FH71" s="330"/>
      <c r="FI71" s="330"/>
      <c r="FJ71" s="330"/>
      <c r="FK71" s="330"/>
      <c r="FL71" s="335"/>
      <c r="FM71" s="172" t="s">
        <v>430</v>
      </c>
      <c r="FN71" s="336" t="s">
        <v>610</v>
      </c>
      <c r="FO71" s="236" t="s">
        <v>231</v>
      </c>
      <c r="FP71" s="240" t="s">
        <v>623</v>
      </c>
      <c r="FQ71" s="240" t="s">
        <v>624</v>
      </c>
      <c r="FR71" s="337" t="s">
        <v>224</v>
      </c>
      <c r="FS71" s="261"/>
      <c r="FT71" s="261" t="s">
        <v>618</v>
      </c>
      <c r="FU71" s="320">
        <v>5</v>
      </c>
    </row>
    <row r="72" spans="1:177" s="16" customFormat="1" ht="288">
      <c r="A72" s="63" t="s">
        <v>625</v>
      </c>
      <c r="B72" s="48"/>
      <c r="C72" s="64" t="s">
        <v>206</v>
      </c>
      <c r="D72" s="225" t="s">
        <v>207</v>
      </c>
      <c r="E72" s="48" t="s">
        <v>604</v>
      </c>
      <c r="F72" s="227">
        <f t="shared" si="215"/>
        <v>4</v>
      </c>
      <c r="G72" s="65" t="s">
        <v>605</v>
      </c>
      <c r="H72" s="222" t="s">
        <v>606</v>
      </c>
      <c r="I72" s="65" t="s">
        <v>626</v>
      </c>
      <c r="J72" s="48">
        <v>2025</v>
      </c>
      <c r="K72" s="48">
        <v>2026</v>
      </c>
      <c r="L72" s="48" t="s">
        <v>172</v>
      </c>
      <c r="M72" s="48" t="s">
        <v>173</v>
      </c>
      <c r="N72" s="63" t="s">
        <v>174</v>
      </c>
      <c r="O72" s="63" t="s">
        <v>627</v>
      </c>
      <c r="P72" s="63" t="s">
        <v>458</v>
      </c>
      <c r="Q72" s="48" t="s">
        <v>199</v>
      </c>
      <c r="R72" s="63" t="s">
        <v>628</v>
      </c>
      <c r="S72" s="63" t="str">
        <f t="shared" si="153"/>
        <v>Proses Pengembangan</v>
      </c>
      <c r="T72" s="63" t="str">
        <f t="shared" si="145"/>
        <v>On Progress</v>
      </c>
      <c r="U72" s="63" t="str">
        <f t="shared" si="154"/>
        <v>M. Fahmi Ridwan</v>
      </c>
      <c r="V72" s="67">
        <f t="shared" si="155"/>
        <v>0.78249999999999997</v>
      </c>
      <c r="W72" s="66" t="s">
        <v>448</v>
      </c>
      <c r="X72" s="59">
        <f t="shared" si="156"/>
        <v>46080</v>
      </c>
      <c r="Y72" s="68">
        <v>0</v>
      </c>
      <c r="Z72" s="48"/>
      <c r="AA72" s="338">
        <v>45839</v>
      </c>
      <c r="AB72" s="280">
        <v>45899</v>
      </c>
      <c r="AC72" s="280">
        <v>45901</v>
      </c>
      <c r="AD72" s="280">
        <v>45919</v>
      </c>
      <c r="AE72" s="217">
        <v>45901</v>
      </c>
      <c r="AF72" s="217">
        <v>45904</v>
      </c>
      <c r="AG72" s="217"/>
      <c r="AH72" s="217"/>
      <c r="AI72" s="42">
        <v>45964</v>
      </c>
      <c r="AJ72" s="42">
        <v>45975</v>
      </c>
      <c r="AK72" s="42">
        <v>45978</v>
      </c>
      <c r="AL72" s="42">
        <v>46045</v>
      </c>
      <c r="AM72" s="42">
        <v>46055</v>
      </c>
      <c r="AN72" s="42">
        <v>46066</v>
      </c>
      <c r="AO72" s="42">
        <v>46071</v>
      </c>
      <c r="AP72" s="42">
        <v>46079</v>
      </c>
      <c r="AQ72" s="280">
        <v>46080</v>
      </c>
      <c r="AR72" s="280">
        <v>46080</v>
      </c>
      <c r="AS72" s="63" t="str">
        <f t="shared" si="157"/>
        <v>Proses SIT</v>
      </c>
      <c r="AT72" s="63" t="str">
        <f t="shared" si="158"/>
        <v>Proses UAT</v>
      </c>
      <c r="AU72" s="63" t="str">
        <f t="shared" si="159"/>
        <v>Selesai Implementasi</v>
      </c>
      <c r="AV72" s="63" t="str">
        <f t="shared" si="160"/>
        <v>Selesai Implementasi</v>
      </c>
      <c r="AW72" s="63" t="str">
        <f t="shared" si="161"/>
        <v>Selesai Implementasi</v>
      </c>
      <c r="AX72" s="63" t="str">
        <f t="shared" si="162"/>
        <v>Selesai Implementasi</v>
      </c>
      <c r="AY72" s="63" t="str">
        <f t="shared" si="163"/>
        <v>Selesai Implementasi</v>
      </c>
      <c r="AZ72" s="63" t="str">
        <f t="shared" si="164"/>
        <v>Selesai Implementasi</v>
      </c>
      <c r="BA72" s="63" t="str">
        <f t="shared" si="165"/>
        <v>Selesai Implementasi</v>
      </c>
      <c r="BB72" s="63" t="str">
        <f t="shared" si="166"/>
        <v>Selesai Implementasi</v>
      </c>
      <c r="BC72" s="63" t="str">
        <f t="shared" si="76"/>
        <v>Selesai Implementasi</v>
      </c>
      <c r="BD72" s="63" t="str">
        <f t="shared" si="167"/>
        <v>Selesai Implementasi</v>
      </c>
      <c r="BE72" s="43">
        <v>0.85</v>
      </c>
      <c r="BF72" s="43">
        <v>0.9</v>
      </c>
      <c r="BG72" s="43">
        <v>1</v>
      </c>
      <c r="BH72" s="43">
        <v>1</v>
      </c>
      <c r="BI72" s="43">
        <v>1</v>
      </c>
      <c r="BJ72" s="43">
        <v>1</v>
      </c>
      <c r="BK72" s="43">
        <v>1</v>
      </c>
      <c r="BL72" s="43">
        <v>1</v>
      </c>
      <c r="BM72" s="43">
        <v>1</v>
      </c>
      <c r="BN72" s="43">
        <v>1</v>
      </c>
      <c r="BO72" s="43">
        <v>1</v>
      </c>
      <c r="BP72" s="43">
        <v>1</v>
      </c>
      <c r="BQ72" s="63" t="str">
        <f t="shared" si="168"/>
        <v>Proses Pengembangan</v>
      </c>
      <c r="BR72" s="63" t="str">
        <f t="shared" si="169"/>
        <v>Not Started</v>
      </c>
      <c r="BS72" s="63" t="str">
        <f t="shared" si="170"/>
        <v>Not Started</v>
      </c>
      <c r="BT72" s="63" t="str">
        <f t="shared" si="171"/>
        <v>Not Started</v>
      </c>
      <c r="BU72" s="63" t="str">
        <f t="shared" si="172"/>
        <v>Not Started</v>
      </c>
      <c r="BV72" s="63" t="str">
        <f t="shared" si="173"/>
        <v>Not Started</v>
      </c>
      <c r="BW72" s="63" t="str">
        <f t="shared" si="174"/>
        <v>Not Started</v>
      </c>
      <c r="BX72" s="63" t="str">
        <f t="shared" si="175"/>
        <v>Not Started</v>
      </c>
      <c r="BY72" s="63" t="str">
        <f t="shared" si="176"/>
        <v>Not Started</v>
      </c>
      <c r="BZ72" s="63" t="str">
        <f t="shared" si="177"/>
        <v>Not Started</v>
      </c>
      <c r="CA72" s="63" t="str">
        <f t="shared" si="178"/>
        <v>Not Started</v>
      </c>
      <c r="CB72" s="63" t="str">
        <f t="shared" si="179"/>
        <v>Not Started</v>
      </c>
      <c r="CC72" s="44">
        <f t="shared" si="216"/>
        <v>0.78249999999999997</v>
      </c>
      <c r="CD72" s="44"/>
      <c r="CE72" s="44"/>
      <c r="CF72" s="44"/>
      <c r="CG72" s="44"/>
      <c r="CH72" s="44"/>
      <c r="CI72" s="44"/>
      <c r="CJ72" s="44"/>
      <c r="CK72" s="220"/>
      <c r="CL72" s="44"/>
      <c r="CM72" s="44"/>
      <c r="CN72" s="44"/>
      <c r="CO72" s="45">
        <f t="shared" si="181"/>
        <v>0.9205882352941176</v>
      </c>
      <c r="CP72" s="45">
        <f t="shared" si="182"/>
        <v>0</v>
      </c>
      <c r="CQ72" s="45">
        <f t="shared" si="183"/>
        <v>0</v>
      </c>
      <c r="CR72" s="45">
        <f t="shared" si="184"/>
        <v>0</v>
      </c>
      <c r="CS72" s="45">
        <f t="shared" si="185"/>
        <v>0</v>
      </c>
      <c r="CT72" s="45">
        <f t="shared" si="186"/>
        <v>0</v>
      </c>
      <c r="CU72" s="45">
        <f t="shared" si="187"/>
        <v>0</v>
      </c>
      <c r="CV72" s="45">
        <f t="shared" si="188"/>
        <v>0</v>
      </c>
      <c r="CW72" s="45">
        <f t="shared" si="189"/>
        <v>0</v>
      </c>
      <c r="CX72" s="45">
        <f t="shared" si="190"/>
        <v>0</v>
      </c>
      <c r="CY72" s="45">
        <f t="shared" si="77"/>
        <v>0</v>
      </c>
      <c r="CZ72" s="45"/>
      <c r="DA72" s="45" t="str">
        <f t="shared" si="191"/>
        <v>OS</v>
      </c>
      <c r="DB72" s="45" t="str">
        <f t="shared" si="192"/>
        <v>BS</v>
      </c>
      <c r="DC72" s="45" t="str">
        <f t="shared" si="193"/>
        <v>BS</v>
      </c>
      <c r="DD72" s="45" t="str">
        <f t="shared" si="194"/>
        <v>BS</v>
      </c>
      <c r="DE72" s="45" t="str">
        <f t="shared" si="195"/>
        <v>BS</v>
      </c>
      <c r="DF72" s="45" t="str">
        <f t="shared" si="196"/>
        <v>BS</v>
      </c>
      <c r="DG72" s="45" t="str">
        <f t="shared" si="197"/>
        <v>BS</v>
      </c>
      <c r="DH72" s="45" t="str">
        <f t="shared" si="198"/>
        <v>BS</v>
      </c>
      <c r="DI72" s="45" t="str">
        <f t="shared" si="199"/>
        <v>BS</v>
      </c>
      <c r="DJ72" s="45" t="str">
        <f t="shared" si="200"/>
        <v>BS</v>
      </c>
      <c r="DK72" s="45" t="str">
        <f t="shared" si="78"/>
        <v>BS</v>
      </c>
      <c r="DL72" s="45" t="str">
        <f t="shared" si="201"/>
        <v>BS</v>
      </c>
      <c r="DM72" s="45">
        <f t="shared" si="202"/>
        <v>0.78249999999999997</v>
      </c>
      <c r="DN72" s="45">
        <f t="shared" si="203"/>
        <v>0</v>
      </c>
      <c r="DO72" s="45">
        <f t="shared" si="204"/>
        <v>0</v>
      </c>
      <c r="DP72" s="45">
        <f t="shared" si="205"/>
        <v>0</v>
      </c>
      <c r="DQ72" s="45">
        <f t="shared" si="206"/>
        <v>0</v>
      </c>
      <c r="DR72" s="45">
        <f t="shared" si="207"/>
        <v>0</v>
      </c>
      <c r="DS72" s="45">
        <f t="shared" si="208"/>
        <v>0</v>
      </c>
      <c r="DT72" s="45">
        <f t="shared" si="209"/>
        <v>0</v>
      </c>
      <c r="DU72" s="45">
        <f t="shared" si="210"/>
        <v>0</v>
      </c>
      <c r="DV72" s="45">
        <f t="shared" si="211"/>
        <v>0</v>
      </c>
      <c r="DW72" s="45">
        <f t="shared" si="212"/>
        <v>0</v>
      </c>
      <c r="DX72" s="45">
        <f t="shared" si="213"/>
        <v>0</v>
      </c>
      <c r="DY72" s="41">
        <v>1</v>
      </c>
      <c r="DZ72" s="41">
        <v>1</v>
      </c>
      <c r="EA72" s="41">
        <v>1</v>
      </c>
      <c r="EB72" s="41">
        <v>1</v>
      </c>
      <c r="EC72" s="41">
        <v>1</v>
      </c>
      <c r="ED72" s="41">
        <v>0.95</v>
      </c>
      <c r="EE72" s="53"/>
      <c r="EF72" s="54"/>
      <c r="EG72" s="54"/>
      <c r="EH72" s="47" t="s">
        <v>1632</v>
      </c>
      <c r="EI72" s="222"/>
      <c r="EJ72" s="59">
        <f t="shared" si="214"/>
        <v>46080</v>
      </c>
      <c r="EK72" s="229"/>
      <c r="EL72" s="59"/>
      <c r="EM72" s="230"/>
      <c r="EN72" s="222"/>
      <c r="EO72" s="222"/>
      <c r="EP72" s="220"/>
      <c r="EQ72" s="222"/>
      <c r="ER72" s="223"/>
      <c r="ES72" s="220"/>
      <c r="ET72" s="222"/>
      <c r="EU72" s="222"/>
      <c r="EV72" s="220"/>
      <c r="EW72" s="220"/>
      <c r="EX72" s="220"/>
      <c r="EY72" s="220"/>
      <c r="EZ72" s="220"/>
      <c r="FA72" s="220"/>
      <c r="FB72" s="220"/>
      <c r="FC72" s="222"/>
      <c r="FD72" s="220"/>
      <c r="FE72" s="220"/>
      <c r="FF72" s="222"/>
      <c r="FG72" s="222"/>
      <c r="FH72" s="220"/>
      <c r="FI72" s="220"/>
      <c r="FJ72" s="220"/>
      <c r="FK72" s="220"/>
      <c r="FL72" s="215"/>
      <c r="FM72" s="172" t="s">
        <v>430</v>
      </c>
      <c r="FN72" s="319" t="s">
        <v>610</v>
      </c>
      <c r="FO72" s="319" t="s">
        <v>231</v>
      </c>
      <c r="FP72" s="172" t="s">
        <v>629</v>
      </c>
      <c r="FQ72" s="172" t="s">
        <v>223</v>
      </c>
      <c r="FR72" s="289" t="s">
        <v>184</v>
      </c>
      <c r="FS72" s="267" t="s">
        <v>630</v>
      </c>
      <c r="FT72" s="267" t="s">
        <v>631</v>
      </c>
      <c r="FU72" s="48">
        <v>5</v>
      </c>
    </row>
    <row r="73" spans="1:177" s="16" customFormat="1" ht="96">
      <c r="A73" s="63" t="s">
        <v>632</v>
      </c>
      <c r="B73" s="48"/>
      <c r="C73" s="64" t="s">
        <v>206</v>
      </c>
      <c r="D73" s="225" t="s">
        <v>207</v>
      </c>
      <c r="E73" s="48" t="s">
        <v>604</v>
      </c>
      <c r="F73" s="227">
        <f t="shared" si="215"/>
        <v>5</v>
      </c>
      <c r="G73" s="65" t="s">
        <v>605</v>
      </c>
      <c r="H73" s="222" t="s">
        <v>606</v>
      </c>
      <c r="I73" s="65" t="s">
        <v>633</v>
      </c>
      <c r="J73" s="48">
        <v>2026</v>
      </c>
      <c r="K73" s="48">
        <v>2026</v>
      </c>
      <c r="L73" s="48" t="s">
        <v>172</v>
      </c>
      <c r="M73" s="48" t="s">
        <v>173</v>
      </c>
      <c r="N73" s="63" t="s">
        <v>174</v>
      </c>
      <c r="O73" s="63" t="s">
        <v>634</v>
      </c>
      <c r="P73" s="63" t="s">
        <v>458</v>
      </c>
      <c r="Q73" s="48" t="s">
        <v>199</v>
      </c>
      <c r="R73" s="63" t="s">
        <v>605</v>
      </c>
      <c r="S73" s="63" t="str">
        <f t="shared" si="153"/>
        <v>Not Started</v>
      </c>
      <c r="T73" s="63" t="str">
        <f t="shared" si="145"/>
        <v>Not Started</v>
      </c>
      <c r="U73" s="63" t="str">
        <f t="shared" si="154"/>
        <v>M. Fahmi Ridwan</v>
      </c>
      <c r="V73" s="67">
        <f t="shared" si="155"/>
        <v>0</v>
      </c>
      <c r="W73" s="66" t="s">
        <v>178</v>
      </c>
      <c r="X73" s="59">
        <f t="shared" si="156"/>
        <v>46356</v>
      </c>
      <c r="Y73" s="68">
        <v>0</v>
      </c>
      <c r="Z73" s="48"/>
      <c r="AA73" s="280">
        <v>46113</v>
      </c>
      <c r="AB73" s="280">
        <v>46203</v>
      </c>
      <c r="AC73" s="280">
        <v>46204</v>
      </c>
      <c r="AD73" s="280">
        <v>46233</v>
      </c>
      <c r="AE73" s="217"/>
      <c r="AF73" s="48"/>
      <c r="AG73" s="217"/>
      <c r="AH73" s="217"/>
      <c r="AI73" s="280">
        <v>46235</v>
      </c>
      <c r="AJ73" s="280">
        <v>46249</v>
      </c>
      <c r="AK73" s="280">
        <v>46250</v>
      </c>
      <c r="AL73" s="280">
        <v>46295</v>
      </c>
      <c r="AM73" s="280">
        <v>46296</v>
      </c>
      <c r="AN73" s="280">
        <v>46326</v>
      </c>
      <c r="AO73" s="280">
        <v>46327</v>
      </c>
      <c r="AP73" s="280">
        <v>46341</v>
      </c>
      <c r="AQ73" s="280">
        <v>46342</v>
      </c>
      <c r="AR73" s="280">
        <v>46356</v>
      </c>
      <c r="AS73" s="63" t="str">
        <f t="shared" si="157"/>
        <v>Not Started</v>
      </c>
      <c r="AT73" s="63" t="str">
        <f t="shared" si="158"/>
        <v>Not Started</v>
      </c>
      <c r="AU73" s="63" t="str">
        <f t="shared" si="159"/>
        <v>Not Started</v>
      </c>
      <c r="AV73" s="63" t="str">
        <f t="shared" si="160"/>
        <v>Selesai RBT-RBB</v>
      </c>
      <c r="AW73" s="63" t="str">
        <f t="shared" si="161"/>
        <v>Selesai RBT-RBL</v>
      </c>
      <c r="AX73" s="63" t="str">
        <f t="shared" si="162"/>
        <v>Selesai RBT-RBTD</v>
      </c>
      <c r="AY73" s="63" t="str">
        <f t="shared" si="163"/>
        <v>Selesai RPP</v>
      </c>
      <c r="AZ73" s="63" t="str">
        <f t="shared" si="164"/>
        <v>Selesai Desain</v>
      </c>
      <c r="BA73" s="63" t="str">
        <f t="shared" si="165"/>
        <v>Selesai Pengembangan</v>
      </c>
      <c r="BB73" s="63" t="str">
        <f t="shared" si="166"/>
        <v>Proses SIT</v>
      </c>
      <c r="BC73" s="63" t="str">
        <f t="shared" si="76"/>
        <v>Selesai Implementasi</v>
      </c>
      <c r="BD73" s="63" t="str">
        <f t="shared" si="167"/>
        <v>Selesai Implementasi</v>
      </c>
      <c r="BE73" s="43">
        <v>0</v>
      </c>
      <c r="BF73" s="43">
        <v>0</v>
      </c>
      <c r="BG73" s="43">
        <v>0</v>
      </c>
      <c r="BH73" s="43">
        <v>0.05</v>
      </c>
      <c r="BI73" s="43">
        <v>0.1</v>
      </c>
      <c r="BJ73" s="43">
        <v>0.15</v>
      </c>
      <c r="BK73" s="43">
        <v>0.2</v>
      </c>
      <c r="BL73" s="43">
        <v>0.45</v>
      </c>
      <c r="BM73" s="43">
        <v>0.8</v>
      </c>
      <c r="BN73" s="43">
        <v>0.87</v>
      </c>
      <c r="BO73" s="43">
        <v>1</v>
      </c>
      <c r="BP73" s="43">
        <v>1</v>
      </c>
      <c r="BQ73" s="63" t="str">
        <f t="shared" si="168"/>
        <v>Not Started</v>
      </c>
      <c r="BR73" s="63" t="str">
        <f t="shared" si="169"/>
        <v>Not Started</v>
      </c>
      <c r="BS73" s="63" t="str">
        <f t="shared" si="170"/>
        <v>Not Started</v>
      </c>
      <c r="BT73" s="63" t="str">
        <f t="shared" si="171"/>
        <v>Not Started</v>
      </c>
      <c r="BU73" s="63" t="str">
        <f t="shared" si="172"/>
        <v>Not Started</v>
      </c>
      <c r="BV73" s="63" t="str">
        <f t="shared" si="173"/>
        <v>Not Started</v>
      </c>
      <c r="BW73" s="63" t="str">
        <f t="shared" si="174"/>
        <v>Not Started</v>
      </c>
      <c r="BX73" s="63" t="str">
        <f t="shared" si="175"/>
        <v>Not Started</v>
      </c>
      <c r="BY73" s="63" t="str">
        <f t="shared" si="176"/>
        <v>Not Started</v>
      </c>
      <c r="BZ73" s="63" t="str">
        <f t="shared" si="177"/>
        <v>Not Started</v>
      </c>
      <c r="CA73" s="63" t="str">
        <f t="shared" si="178"/>
        <v>Not Started</v>
      </c>
      <c r="CB73" s="63" t="str">
        <f t="shared" si="179"/>
        <v>Not Started</v>
      </c>
      <c r="CC73" s="44">
        <f t="shared" si="216"/>
        <v>0</v>
      </c>
      <c r="CD73" s="44"/>
      <c r="CE73" s="44"/>
      <c r="CF73" s="44"/>
      <c r="CG73" s="44"/>
      <c r="CH73" s="242"/>
      <c r="CI73" s="220"/>
      <c r="CJ73" s="44"/>
      <c r="CK73" s="220"/>
      <c r="CL73" s="44"/>
      <c r="CM73" s="44"/>
      <c r="CN73" s="44"/>
      <c r="CO73" s="45">
        <f t="shared" si="181"/>
        <v>1</v>
      </c>
      <c r="CP73" s="45">
        <f t="shared" si="182"/>
        <v>1</v>
      </c>
      <c r="CQ73" s="45">
        <f t="shared" si="183"/>
        <v>1</v>
      </c>
      <c r="CR73" s="45">
        <f t="shared" si="184"/>
        <v>0</v>
      </c>
      <c r="CS73" s="45">
        <f t="shared" si="185"/>
        <v>0</v>
      </c>
      <c r="CT73" s="45">
        <f t="shared" si="186"/>
        <v>0</v>
      </c>
      <c r="CU73" s="45">
        <f t="shared" si="187"/>
        <v>0</v>
      </c>
      <c r="CV73" s="45">
        <f t="shared" si="188"/>
        <v>0</v>
      </c>
      <c r="CW73" s="45">
        <f t="shared" si="189"/>
        <v>0</v>
      </c>
      <c r="CX73" s="45">
        <f t="shared" si="190"/>
        <v>0</v>
      </c>
      <c r="CY73" s="45">
        <f t="shared" si="77"/>
        <v>0</v>
      </c>
      <c r="CZ73" s="45"/>
      <c r="DA73" s="45" t="str">
        <f t="shared" si="191"/>
        <v>NS</v>
      </c>
      <c r="DB73" s="45" t="str">
        <f t="shared" si="192"/>
        <v>NS</v>
      </c>
      <c r="DC73" s="45" t="str">
        <f t="shared" si="193"/>
        <v>NS</v>
      </c>
      <c r="DD73" s="45" t="str">
        <f t="shared" si="194"/>
        <v>BS</v>
      </c>
      <c r="DE73" s="45" t="str">
        <f t="shared" si="195"/>
        <v>BS</v>
      </c>
      <c r="DF73" s="45" t="str">
        <f t="shared" si="196"/>
        <v>BS</v>
      </c>
      <c r="DG73" s="45" t="str">
        <f t="shared" si="197"/>
        <v>BS</v>
      </c>
      <c r="DH73" s="45" t="str">
        <f t="shared" si="198"/>
        <v>BS</v>
      </c>
      <c r="DI73" s="45" t="str">
        <f t="shared" si="199"/>
        <v>BS</v>
      </c>
      <c r="DJ73" s="45" t="str">
        <f t="shared" si="200"/>
        <v>BS</v>
      </c>
      <c r="DK73" s="45" t="str">
        <f t="shared" si="78"/>
        <v>BS</v>
      </c>
      <c r="DL73" s="45" t="str">
        <f t="shared" si="201"/>
        <v>BS</v>
      </c>
      <c r="DM73" s="45">
        <f t="shared" si="202"/>
        <v>0</v>
      </c>
      <c r="DN73" s="45">
        <f t="shared" si="203"/>
        <v>0</v>
      </c>
      <c r="DO73" s="45">
        <f t="shared" si="204"/>
        <v>0</v>
      </c>
      <c r="DP73" s="45">
        <f t="shared" si="205"/>
        <v>0</v>
      </c>
      <c r="DQ73" s="45">
        <f t="shared" si="206"/>
        <v>0</v>
      </c>
      <c r="DR73" s="45">
        <f t="shared" si="207"/>
        <v>0</v>
      </c>
      <c r="DS73" s="45">
        <f t="shared" si="208"/>
        <v>0</v>
      </c>
      <c r="DT73" s="45">
        <f t="shared" si="209"/>
        <v>0</v>
      </c>
      <c r="DU73" s="45">
        <f t="shared" si="210"/>
        <v>0</v>
      </c>
      <c r="DV73" s="45">
        <f t="shared" si="211"/>
        <v>0</v>
      </c>
      <c r="DW73" s="45">
        <f t="shared" si="212"/>
        <v>0</v>
      </c>
      <c r="DX73" s="45">
        <f t="shared" si="213"/>
        <v>0</v>
      </c>
      <c r="DY73" s="41"/>
      <c r="DZ73" s="41"/>
      <c r="EA73" s="41"/>
      <c r="EB73" s="41"/>
      <c r="EC73" s="41"/>
      <c r="ED73" s="41"/>
      <c r="EE73" s="53"/>
      <c r="EF73" s="54"/>
      <c r="EG73" s="54"/>
      <c r="EH73" s="47" t="s">
        <v>1625</v>
      </c>
      <c r="EI73" s="222"/>
      <c r="EJ73" s="59">
        <f t="shared" si="214"/>
        <v>46356</v>
      </c>
      <c r="EK73" s="229"/>
      <c r="EL73" s="59"/>
      <c r="EM73" s="230"/>
      <c r="EN73" s="222"/>
      <c r="EO73" s="222"/>
      <c r="EP73" s="220"/>
      <c r="EQ73" s="222"/>
      <c r="ER73" s="223"/>
      <c r="ES73" s="220"/>
      <c r="ET73" s="222"/>
      <c r="EU73" s="222"/>
      <c r="EV73" s="220"/>
      <c r="EW73" s="220"/>
      <c r="EX73" s="220"/>
      <c r="EY73" s="220"/>
      <c r="EZ73" s="220"/>
      <c r="FA73" s="220"/>
      <c r="FB73" s="220"/>
      <c r="FC73" s="222"/>
      <c r="FD73" s="220"/>
      <c r="FE73" s="220"/>
      <c r="FF73" s="222"/>
      <c r="FG73" s="222"/>
      <c r="FH73" s="220"/>
      <c r="FI73" s="220"/>
      <c r="FJ73" s="220"/>
      <c r="FK73" s="220"/>
      <c r="FL73" s="215"/>
      <c r="FM73" s="172" t="s">
        <v>244</v>
      </c>
      <c r="FN73" s="319" t="s">
        <v>610</v>
      </c>
      <c r="FO73" s="319" t="s">
        <v>231</v>
      </c>
      <c r="FP73" s="172" t="s">
        <v>635</v>
      </c>
      <c r="FQ73" s="172" t="s">
        <v>183</v>
      </c>
      <c r="FR73" s="16" t="s">
        <v>224</v>
      </c>
      <c r="FT73" s="267" t="s">
        <v>631</v>
      </c>
      <c r="FU73" s="269"/>
    </row>
    <row r="74" spans="1:177" s="16" customFormat="1" ht="96">
      <c r="A74" s="63" t="s">
        <v>636</v>
      </c>
      <c r="B74" s="48"/>
      <c r="C74" s="64" t="s">
        <v>206</v>
      </c>
      <c r="D74" s="225" t="s">
        <v>207</v>
      </c>
      <c r="E74" s="48" t="s">
        <v>604</v>
      </c>
      <c r="F74" s="227">
        <f t="shared" si="215"/>
        <v>6</v>
      </c>
      <c r="G74" s="65" t="s">
        <v>605</v>
      </c>
      <c r="H74" s="222" t="s">
        <v>606</v>
      </c>
      <c r="I74" s="65" t="s">
        <v>637</v>
      </c>
      <c r="J74" s="48">
        <v>2024</v>
      </c>
      <c r="K74" s="48">
        <v>2025</v>
      </c>
      <c r="L74" s="48" t="s">
        <v>172</v>
      </c>
      <c r="M74" s="48" t="s">
        <v>173</v>
      </c>
      <c r="N74" s="63" t="s">
        <v>174</v>
      </c>
      <c r="O74" s="63" t="s">
        <v>638</v>
      </c>
      <c r="P74" s="63" t="s">
        <v>458</v>
      </c>
      <c r="Q74" s="48" t="s">
        <v>199</v>
      </c>
      <c r="R74" s="63" t="s">
        <v>605</v>
      </c>
      <c r="S74" s="63" t="str">
        <f t="shared" si="153"/>
        <v>Selesai Implementasi</v>
      </c>
      <c r="T74" s="63" t="str">
        <f t="shared" si="145"/>
        <v>DONE</v>
      </c>
      <c r="U74" s="63" t="str">
        <f t="shared" si="154"/>
        <v>M. Fahmi Ridwan</v>
      </c>
      <c r="V74" s="67">
        <f t="shared" si="155"/>
        <v>0.99999999999999989</v>
      </c>
      <c r="W74" s="66" t="s">
        <v>215</v>
      </c>
      <c r="X74" s="59">
        <f t="shared" si="156"/>
        <v>45740</v>
      </c>
      <c r="Y74" s="68" t="s">
        <v>224</v>
      </c>
      <c r="Z74" s="48"/>
      <c r="AA74" s="338">
        <v>45597</v>
      </c>
      <c r="AB74" s="280">
        <v>45746</v>
      </c>
      <c r="AC74" s="280">
        <v>45612</v>
      </c>
      <c r="AD74" s="280">
        <v>45746</v>
      </c>
      <c r="AE74" s="280">
        <v>45627</v>
      </c>
      <c r="AF74" s="280">
        <v>45641</v>
      </c>
      <c r="AG74" s="280">
        <v>45642</v>
      </c>
      <c r="AH74" s="280">
        <v>45656</v>
      </c>
      <c r="AI74" s="280">
        <v>45658</v>
      </c>
      <c r="AJ74" s="280">
        <v>45688</v>
      </c>
      <c r="AK74" s="280">
        <v>45691</v>
      </c>
      <c r="AL74" s="280">
        <v>45701</v>
      </c>
      <c r="AM74" s="280">
        <v>45705</v>
      </c>
      <c r="AN74" s="280">
        <v>45716</v>
      </c>
      <c r="AO74" s="280">
        <v>45719</v>
      </c>
      <c r="AP74" s="280">
        <v>45731</v>
      </c>
      <c r="AQ74" s="280">
        <v>45733</v>
      </c>
      <c r="AR74" s="280">
        <v>45740</v>
      </c>
      <c r="AS74" s="63" t="str">
        <f t="shared" si="157"/>
        <v>Selesai Implementasi</v>
      </c>
      <c r="AT74" s="63" t="str">
        <f t="shared" si="158"/>
        <v>Selesai Implementasi</v>
      </c>
      <c r="AU74" s="63" t="str">
        <f t="shared" si="159"/>
        <v>Selesai Implementasi</v>
      </c>
      <c r="AV74" s="63" t="str">
        <f t="shared" si="160"/>
        <v>Selesai Implementasi</v>
      </c>
      <c r="AW74" s="63" t="str">
        <f t="shared" si="161"/>
        <v>Selesai Implementasi</v>
      </c>
      <c r="AX74" s="63" t="str">
        <f t="shared" si="162"/>
        <v>Selesai Implementasi</v>
      </c>
      <c r="AY74" s="63" t="str">
        <f t="shared" si="163"/>
        <v>Selesai Implementasi</v>
      </c>
      <c r="AZ74" s="63" t="str">
        <f t="shared" si="164"/>
        <v>Selesai Implementasi</v>
      </c>
      <c r="BA74" s="63" t="str">
        <f t="shared" si="165"/>
        <v>Selesai Implementasi</v>
      </c>
      <c r="BB74" s="63" t="str">
        <f t="shared" si="166"/>
        <v>Selesai Implementasi</v>
      </c>
      <c r="BC74" s="63" t="str">
        <f t="shared" si="76"/>
        <v>Selesai Implementasi</v>
      </c>
      <c r="BD74" s="63" t="str">
        <f t="shared" si="167"/>
        <v>Selesai Implementasi</v>
      </c>
      <c r="BE74" s="43">
        <v>1</v>
      </c>
      <c r="BF74" s="43">
        <v>1</v>
      </c>
      <c r="BG74" s="43">
        <v>1</v>
      </c>
      <c r="BH74" s="43">
        <v>1</v>
      </c>
      <c r="BI74" s="43">
        <v>1</v>
      </c>
      <c r="BJ74" s="43">
        <v>1</v>
      </c>
      <c r="BK74" s="43">
        <v>1</v>
      </c>
      <c r="BL74" s="43">
        <v>1</v>
      </c>
      <c r="BM74" s="43">
        <v>1</v>
      </c>
      <c r="BN74" s="43">
        <v>1</v>
      </c>
      <c r="BO74" s="43">
        <v>1</v>
      </c>
      <c r="BP74" s="43">
        <v>1</v>
      </c>
      <c r="BQ74" s="63" t="str">
        <f t="shared" si="168"/>
        <v>Selesai Implementasi</v>
      </c>
      <c r="BR74" s="63" t="str">
        <f t="shared" si="169"/>
        <v>Not Started</v>
      </c>
      <c r="BS74" s="63" t="str">
        <f t="shared" si="170"/>
        <v>Not Started</v>
      </c>
      <c r="BT74" s="63" t="str">
        <f t="shared" si="171"/>
        <v>Not Started</v>
      </c>
      <c r="BU74" s="63" t="str">
        <f t="shared" si="172"/>
        <v>Not Started</v>
      </c>
      <c r="BV74" s="63" t="str">
        <f t="shared" si="173"/>
        <v>Not Started</v>
      </c>
      <c r="BW74" s="63" t="str">
        <f t="shared" si="174"/>
        <v>Not Started</v>
      </c>
      <c r="BX74" s="63" t="str">
        <f t="shared" si="175"/>
        <v>Not Started</v>
      </c>
      <c r="BY74" s="63" t="str">
        <f t="shared" si="176"/>
        <v>Not Started</v>
      </c>
      <c r="BZ74" s="63" t="str">
        <f t="shared" si="177"/>
        <v>Not Started</v>
      </c>
      <c r="CA74" s="63" t="str">
        <f t="shared" si="178"/>
        <v>Not Started</v>
      </c>
      <c r="CB74" s="63" t="str">
        <f t="shared" si="179"/>
        <v>Not Started</v>
      </c>
      <c r="CC74" s="44">
        <f t="shared" si="216"/>
        <v>0.99999999999999989</v>
      </c>
      <c r="CD74" s="44"/>
      <c r="CE74" s="44"/>
      <c r="CF74" s="44"/>
      <c r="CG74" s="44"/>
      <c r="CH74" s="44"/>
      <c r="CI74" s="44"/>
      <c r="CJ74" s="44"/>
      <c r="CK74" s="220"/>
      <c r="CL74" s="44"/>
      <c r="CM74" s="44"/>
      <c r="CN74" s="44"/>
      <c r="CO74" s="45">
        <f t="shared" si="181"/>
        <v>0.99999999999999989</v>
      </c>
      <c r="CP74" s="45">
        <f t="shared" si="182"/>
        <v>0</v>
      </c>
      <c r="CQ74" s="45">
        <f t="shared" si="183"/>
        <v>0</v>
      </c>
      <c r="CR74" s="45">
        <f t="shared" si="184"/>
        <v>0</v>
      </c>
      <c r="CS74" s="45">
        <f t="shared" si="185"/>
        <v>0</v>
      </c>
      <c r="CT74" s="45">
        <f t="shared" si="186"/>
        <v>0</v>
      </c>
      <c r="CU74" s="45">
        <f t="shared" si="187"/>
        <v>0</v>
      </c>
      <c r="CV74" s="45">
        <f t="shared" si="188"/>
        <v>0</v>
      </c>
      <c r="CW74" s="45">
        <f t="shared" si="189"/>
        <v>0</v>
      </c>
      <c r="CX74" s="45">
        <f t="shared" si="190"/>
        <v>0</v>
      </c>
      <c r="CY74" s="45">
        <f t="shared" si="77"/>
        <v>0</v>
      </c>
      <c r="CZ74" s="45"/>
      <c r="DA74" s="45" t="str">
        <f t="shared" si="191"/>
        <v>DONE</v>
      </c>
      <c r="DB74" s="45" t="str">
        <f t="shared" si="192"/>
        <v>BS</v>
      </c>
      <c r="DC74" s="45" t="str">
        <f t="shared" si="193"/>
        <v>BS</v>
      </c>
      <c r="DD74" s="45" t="str">
        <f t="shared" si="194"/>
        <v>BS</v>
      </c>
      <c r="DE74" s="45" t="str">
        <f t="shared" si="195"/>
        <v>BS</v>
      </c>
      <c r="DF74" s="45" t="str">
        <f t="shared" si="196"/>
        <v>BS</v>
      </c>
      <c r="DG74" s="45" t="str">
        <f t="shared" si="197"/>
        <v>BS</v>
      </c>
      <c r="DH74" s="45" t="str">
        <f t="shared" si="198"/>
        <v>BS</v>
      </c>
      <c r="DI74" s="45" t="str">
        <f t="shared" si="199"/>
        <v>BS</v>
      </c>
      <c r="DJ74" s="45" t="str">
        <f t="shared" si="200"/>
        <v>BS</v>
      </c>
      <c r="DK74" s="45" t="str">
        <f t="shared" si="78"/>
        <v>BS</v>
      </c>
      <c r="DL74" s="45" t="str">
        <f t="shared" si="201"/>
        <v>BS</v>
      </c>
      <c r="DM74" s="45">
        <f t="shared" si="202"/>
        <v>0.99999999999999989</v>
      </c>
      <c r="DN74" s="45">
        <f t="shared" si="203"/>
        <v>0</v>
      </c>
      <c r="DO74" s="45">
        <f t="shared" si="204"/>
        <v>0</v>
      </c>
      <c r="DP74" s="45">
        <f t="shared" si="205"/>
        <v>0</v>
      </c>
      <c r="DQ74" s="45">
        <f t="shared" si="206"/>
        <v>0</v>
      </c>
      <c r="DR74" s="45">
        <f t="shared" si="207"/>
        <v>0</v>
      </c>
      <c r="DS74" s="45">
        <f t="shared" si="208"/>
        <v>0</v>
      </c>
      <c r="DT74" s="45">
        <f t="shared" si="209"/>
        <v>0</v>
      </c>
      <c r="DU74" s="45">
        <f t="shared" si="210"/>
        <v>0</v>
      </c>
      <c r="DV74" s="45">
        <f t="shared" si="211"/>
        <v>0</v>
      </c>
      <c r="DW74" s="45">
        <f t="shared" si="212"/>
        <v>0</v>
      </c>
      <c r="DX74" s="45">
        <f t="shared" si="213"/>
        <v>0</v>
      </c>
      <c r="DY74" s="46">
        <v>1</v>
      </c>
      <c r="DZ74" s="46">
        <v>1</v>
      </c>
      <c r="EA74" s="46">
        <v>1</v>
      </c>
      <c r="EB74" s="46">
        <v>1</v>
      </c>
      <c r="EC74" s="46">
        <v>1</v>
      </c>
      <c r="ED74" s="46">
        <v>1</v>
      </c>
      <c r="EE74" s="52">
        <v>1</v>
      </c>
      <c r="EF74" s="46">
        <v>1</v>
      </c>
      <c r="EG74" s="46">
        <v>1</v>
      </c>
      <c r="EH74" s="55" t="s">
        <v>639</v>
      </c>
      <c r="EI74" s="42">
        <v>45740</v>
      </c>
      <c r="EJ74" s="59">
        <f t="shared" si="214"/>
        <v>45740</v>
      </c>
      <c r="EK74" s="229"/>
      <c r="EL74" s="59"/>
      <c r="EM74" s="230"/>
      <c r="EN74" s="222"/>
      <c r="EO74" s="222"/>
      <c r="EP74" s="220"/>
      <c r="EQ74" s="222"/>
      <c r="ER74" s="223"/>
      <c r="ES74" s="220"/>
      <c r="ET74" s="222"/>
      <c r="EU74" s="222"/>
      <c r="EV74" s="220"/>
      <c r="EW74" s="220"/>
      <c r="EX74" s="220"/>
      <c r="EY74" s="220"/>
      <c r="EZ74" s="220"/>
      <c r="FA74" s="220"/>
      <c r="FB74" s="220"/>
      <c r="FC74" s="222"/>
      <c r="FD74" s="220"/>
      <c r="FE74" s="220"/>
      <c r="FF74" s="222"/>
      <c r="FG74" s="222"/>
      <c r="FH74" s="220"/>
      <c r="FI74" s="220"/>
      <c r="FJ74" s="220"/>
      <c r="FK74" s="220"/>
      <c r="FL74" s="215"/>
      <c r="FM74" s="172"/>
      <c r="FN74" s="248" t="s">
        <v>610</v>
      </c>
      <c r="FO74" s="236" t="s">
        <v>231</v>
      </c>
      <c r="FP74" s="172"/>
      <c r="FQ74" s="172"/>
      <c r="FR74" s="289" t="s">
        <v>224</v>
      </c>
      <c r="FS74" s="267" t="s">
        <v>246</v>
      </c>
      <c r="FT74" s="267" t="s">
        <v>640</v>
      </c>
      <c r="FU74" s="48">
        <v>5</v>
      </c>
    </row>
    <row r="75" spans="1:177" s="16" customFormat="1" ht="112">
      <c r="A75" s="63" t="s">
        <v>641</v>
      </c>
      <c r="B75" s="48"/>
      <c r="C75" s="64" t="s">
        <v>206</v>
      </c>
      <c r="D75" s="225" t="s">
        <v>207</v>
      </c>
      <c r="E75" s="48" t="s">
        <v>604</v>
      </c>
      <c r="F75" s="227">
        <f t="shared" si="215"/>
        <v>7</v>
      </c>
      <c r="G75" s="65" t="s">
        <v>605</v>
      </c>
      <c r="H75" s="222" t="s">
        <v>606</v>
      </c>
      <c r="I75" s="65" t="s">
        <v>642</v>
      </c>
      <c r="J75" s="48">
        <v>2026</v>
      </c>
      <c r="K75" s="48">
        <v>2026</v>
      </c>
      <c r="L75" s="48" t="s">
        <v>172</v>
      </c>
      <c r="M75" s="48" t="s">
        <v>173</v>
      </c>
      <c r="N75" s="63" t="s">
        <v>174</v>
      </c>
      <c r="O75" s="63" t="s">
        <v>643</v>
      </c>
      <c r="P75" s="63" t="s">
        <v>458</v>
      </c>
      <c r="Q75" s="48" t="s">
        <v>199</v>
      </c>
      <c r="R75" s="63" t="s">
        <v>605</v>
      </c>
      <c r="S75" s="63" t="str">
        <f t="shared" si="153"/>
        <v>Not Started</v>
      </c>
      <c r="T75" s="63" t="str">
        <f t="shared" si="145"/>
        <v>Not Started</v>
      </c>
      <c r="U75" s="63" t="str">
        <f t="shared" si="154"/>
        <v>Helen Desyani</v>
      </c>
      <c r="V75" s="67">
        <f t="shared" si="155"/>
        <v>0</v>
      </c>
      <c r="W75" s="66" t="s">
        <v>178</v>
      </c>
      <c r="X75" s="59">
        <f t="shared" si="156"/>
        <v>46387</v>
      </c>
      <c r="Y75" s="68" t="s">
        <v>224</v>
      </c>
      <c r="Z75" s="48"/>
      <c r="AA75" s="280">
        <v>46054</v>
      </c>
      <c r="AB75" s="280">
        <v>46142</v>
      </c>
      <c r="AC75" s="280">
        <v>46143</v>
      </c>
      <c r="AD75" s="280">
        <v>46157</v>
      </c>
      <c r="AE75" s="217"/>
      <c r="AF75" s="48"/>
      <c r="AG75" s="217"/>
      <c r="AH75" s="217"/>
      <c r="AI75" s="280">
        <v>46174</v>
      </c>
      <c r="AJ75" s="280">
        <v>46203</v>
      </c>
      <c r="AK75" s="280">
        <v>46204</v>
      </c>
      <c r="AL75" s="280">
        <v>46295</v>
      </c>
      <c r="AM75" s="280">
        <v>46296</v>
      </c>
      <c r="AN75" s="280">
        <v>46326</v>
      </c>
      <c r="AO75" s="280">
        <v>46327</v>
      </c>
      <c r="AP75" s="280">
        <v>46356</v>
      </c>
      <c r="AQ75" s="280">
        <v>46357</v>
      </c>
      <c r="AR75" s="280">
        <v>46387</v>
      </c>
      <c r="AS75" s="63" t="str">
        <f t="shared" si="157"/>
        <v>Not Started</v>
      </c>
      <c r="AT75" s="63" t="str">
        <f t="shared" si="158"/>
        <v>Selesai RBT-RBB</v>
      </c>
      <c r="AU75" s="63" t="str">
        <f t="shared" si="159"/>
        <v>Selesai RBT-RBL</v>
      </c>
      <c r="AV75" s="63" t="str">
        <f t="shared" si="160"/>
        <v>Selesai RBT-RBTD</v>
      </c>
      <c r="AW75" s="63" t="str">
        <f t="shared" si="161"/>
        <v>Selesai RPP</v>
      </c>
      <c r="AX75" s="63" t="str">
        <f t="shared" si="162"/>
        <v>Selesai Desain</v>
      </c>
      <c r="AY75" s="63" t="str">
        <f t="shared" si="163"/>
        <v>Proses Pengembangan</v>
      </c>
      <c r="AZ75" s="63" t="str">
        <f t="shared" si="164"/>
        <v>Proses Pengembangan</v>
      </c>
      <c r="BA75" s="63" t="str">
        <f t="shared" si="165"/>
        <v>Selesai Pengembangan</v>
      </c>
      <c r="BB75" s="63" t="str">
        <f t="shared" si="166"/>
        <v>Proses SIT</v>
      </c>
      <c r="BC75" s="63" t="str">
        <f t="shared" si="76"/>
        <v>Selesai UAT</v>
      </c>
      <c r="BD75" s="63" t="str">
        <f t="shared" si="167"/>
        <v>Selesai Implementasi</v>
      </c>
      <c r="BE75" s="43">
        <v>0</v>
      </c>
      <c r="BF75" s="43">
        <v>0.05</v>
      </c>
      <c r="BG75" s="43">
        <v>0.1</v>
      </c>
      <c r="BH75" s="43">
        <v>0.15</v>
      </c>
      <c r="BI75" s="43">
        <v>0.2</v>
      </c>
      <c r="BJ75" s="43">
        <v>0.45</v>
      </c>
      <c r="BK75" s="43">
        <v>0.55000000000000004</v>
      </c>
      <c r="BL75" s="43">
        <v>0.65</v>
      </c>
      <c r="BM75" s="43">
        <v>0.8</v>
      </c>
      <c r="BN75" s="43">
        <v>0.87</v>
      </c>
      <c r="BO75" s="43">
        <v>0.95</v>
      </c>
      <c r="BP75" s="43">
        <v>1</v>
      </c>
      <c r="BQ75" s="63" t="str">
        <f t="shared" si="168"/>
        <v>Not Started</v>
      </c>
      <c r="BR75" s="63" t="str">
        <f t="shared" si="169"/>
        <v>Not Started</v>
      </c>
      <c r="BS75" s="63" t="str">
        <f t="shared" si="170"/>
        <v>Not Started</v>
      </c>
      <c r="BT75" s="63" t="str">
        <f t="shared" si="171"/>
        <v>Not Started</v>
      </c>
      <c r="BU75" s="63" t="str">
        <f t="shared" si="172"/>
        <v>Not Started</v>
      </c>
      <c r="BV75" s="63" t="str">
        <f t="shared" si="173"/>
        <v>Not Started</v>
      </c>
      <c r="BW75" s="63" t="str">
        <f t="shared" si="174"/>
        <v>Not Started</v>
      </c>
      <c r="BX75" s="63" t="str">
        <f t="shared" si="175"/>
        <v>Not Started</v>
      </c>
      <c r="BY75" s="63" t="str">
        <f t="shared" si="176"/>
        <v>Not Started</v>
      </c>
      <c r="BZ75" s="63" t="str">
        <f t="shared" si="177"/>
        <v>Not Started</v>
      </c>
      <c r="CA75" s="63" t="str">
        <f t="shared" si="178"/>
        <v>Not Started</v>
      </c>
      <c r="CB75" s="63" t="str">
        <f t="shared" si="179"/>
        <v>Not Started</v>
      </c>
      <c r="CC75" s="44">
        <f t="shared" si="216"/>
        <v>0</v>
      </c>
      <c r="CD75" s="44"/>
      <c r="CE75" s="44"/>
      <c r="CF75" s="44"/>
      <c r="CG75" s="44"/>
      <c r="CH75" s="242"/>
      <c r="CI75" s="220"/>
      <c r="CJ75" s="44"/>
      <c r="CK75" s="220"/>
      <c r="CL75" s="44"/>
      <c r="CM75" s="44"/>
      <c r="CN75" s="44"/>
      <c r="CO75" s="45">
        <f t="shared" si="181"/>
        <v>1</v>
      </c>
      <c r="CP75" s="45">
        <f t="shared" si="182"/>
        <v>0</v>
      </c>
      <c r="CQ75" s="45">
        <f t="shared" si="183"/>
        <v>0</v>
      </c>
      <c r="CR75" s="45">
        <f t="shared" si="184"/>
        <v>0</v>
      </c>
      <c r="CS75" s="45">
        <f t="shared" si="185"/>
        <v>0</v>
      </c>
      <c r="CT75" s="45">
        <f t="shared" si="186"/>
        <v>0</v>
      </c>
      <c r="CU75" s="45">
        <f t="shared" si="187"/>
        <v>0</v>
      </c>
      <c r="CV75" s="45">
        <f t="shared" si="188"/>
        <v>0</v>
      </c>
      <c r="CW75" s="45">
        <f t="shared" si="189"/>
        <v>0</v>
      </c>
      <c r="CX75" s="45">
        <f t="shared" si="190"/>
        <v>0</v>
      </c>
      <c r="CY75" s="45">
        <f t="shared" si="77"/>
        <v>0</v>
      </c>
      <c r="CZ75" s="45"/>
      <c r="DA75" s="45" t="str">
        <f t="shared" si="191"/>
        <v>NS</v>
      </c>
      <c r="DB75" s="45" t="str">
        <f t="shared" si="192"/>
        <v>BS</v>
      </c>
      <c r="DC75" s="45" t="str">
        <f t="shared" si="193"/>
        <v>BS</v>
      </c>
      <c r="DD75" s="45" t="str">
        <f t="shared" si="194"/>
        <v>BS</v>
      </c>
      <c r="DE75" s="45" t="str">
        <f t="shared" si="195"/>
        <v>BS</v>
      </c>
      <c r="DF75" s="45" t="str">
        <f t="shared" si="196"/>
        <v>BS</v>
      </c>
      <c r="DG75" s="45" t="str">
        <f t="shared" si="197"/>
        <v>BS</v>
      </c>
      <c r="DH75" s="45" t="str">
        <f t="shared" si="198"/>
        <v>BS</v>
      </c>
      <c r="DI75" s="45" t="str">
        <f t="shared" si="199"/>
        <v>BS</v>
      </c>
      <c r="DJ75" s="45" t="str">
        <f t="shared" si="200"/>
        <v>BS</v>
      </c>
      <c r="DK75" s="45" t="str">
        <f t="shared" si="78"/>
        <v>BS</v>
      </c>
      <c r="DL75" s="45" t="str">
        <f t="shared" si="201"/>
        <v>BS</v>
      </c>
      <c r="DM75" s="45">
        <f t="shared" si="202"/>
        <v>0</v>
      </c>
      <c r="DN75" s="45">
        <f t="shared" si="203"/>
        <v>0</v>
      </c>
      <c r="DO75" s="45">
        <f t="shared" si="204"/>
        <v>0</v>
      </c>
      <c r="DP75" s="45">
        <f t="shared" si="205"/>
        <v>0</v>
      </c>
      <c r="DQ75" s="45">
        <f t="shared" si="206"/>
        <v>0</v>
      </c>
      <c r="DR75" s="45">
        <f t="shared" si="207"/>
        <v>0</v>
      </c>
      <c r="DS75" s="45">
        <f t="shared" si="208"/>
        <v>0</v>
      </c>
      <c r="DT75" s="45">
        <f t="shared" si="209"/>
        <v>0</v>
      </c>
      <c r="DU75" s="45">
        <f t="shared" si="210"/>
        <v>0</v>
      </c>
      <c r="DV75" s="45">
        <f t="shared" si="211"/>
        <v>0</v>
      </c>
      <c r="DW75" s="45">
        <f t="shared" si="212"/>
        <v>0</v>
      </c>
      <c r="DX75" s="45">
        <f t="shared" si="213"/>
        <v>0</v>
      </c>
      <c r="DY75" s="41"/>
      <c r="DZ75" s="41"/>
      <c r="EA75" s="41"/>
      <c r="EB75" s="41"/>
      <c r="EC75" s="41"/>
      <c r="ED75" s="41"/>
      <c r="EE75" s="53"/>
      <c r="EF75" s="54"/>
      <c r="EG75" s="54"/>
      <c r="EH75" s="57" t="s">
        <v>1489</v>
      </c>
      <c r="EI75" s="222"/>
      <c r="EJ75" s="59">
        <f t="shared" si="214"/>
        <v>46387</v>
      </c>
      <c r="EK75" s="229"/>
      <c r="EL75" s="59"/>
      <c r="EM75" s="230"/>
      <c r="EN75" s="222"/>
      <c r="EO75" s="222"/>
      <c r="EP75" s="220"/>
      <c r="EQ75" s="222"/>
      <c r="ER75" s="223"/>
      <c r="ES75" s="220"/>
      <c r="ET75" s="222"/>
      <c r="EU75" s="222"/>
      <c r="EV75" s="220"/>
      <c r="EW75" s="220"/>
      <c r="EX75" s="220"/>
      <c r="EY75" s="220"/>
      <c r="EZ75" s="220"/>
      <c r="FA75" s="220"/>
      <c r="FB75" s="220"/>
      <c r="FC75" s="222"/>
      <c r="FD75" s="220"/>
      <c r="FE75" s="220"/>
      <c r="FF75" s="222"/>
      <c r="FG75" s="222"/>
      <c r="FH75" s="220"/>
      <c r="FI75" s="220"/>
      <c r="FJ75" s="220"/>
      <c r="FK75" s="220"/>
      <c r="FL75" s="215"/>
      <c r="FM75" s="172" t="s">
        <v>373</v>
      </c>
      <c r="FN75" s="237" t="s">
        <v>230</v>
      </c>
      <c r="FO75" s="319" t="s">
        <v>231</v>
      </c>
      <c r="FP75" s="172" t="s">
        <v>635</v>
      </c>
      <c r="FQ75" s="172" t="s">
        <v>183</v>
      </c>
      <c r="FR75" s="267" t="s">
        <v>224</v>
      </c>
      <c r="FS75" s="267"/>
      <c r="FT75" s="267" t="s">
        <v>256</v>
      </c>
      <c r="FU75" s="269"/>
    </row>
    <row r="76" spans="1:177" s="16" customFormat="1" ht="112">
      <c r="A76" s="64"/>
      <c r="B76" s="48"/>
      <c r="C76" s="64"/>
      <c r="D76" s="225"/>
      <c r="E76" s="48" t="s">
        <v>604</v>
      </c>
      <c r="F76" s="227">
        <f t="shared" si="215"/>
        <v>8</v>
      </c>
      <c r="G76" s="65" t="s">
        <v>605</v>
      </c>
      <c r="H76" s="222" t="s">
        <v>606</v>
      </c>
      <c r="I76" s="65" t="s">
        <v>644</v>
      </c>
      <c r="J76" s="48">
        <v>2025</v>
      </c>
      <c r="K76" s="48">
        <v>2025</v>
      </c>
      <c r="L76" s="48" t="s">
        <v>172</v>
      </c>
      <c r="M76" s="48" t="s">
        <v>173</v>
      </c>
      <c r="N76" s="63" t="s">
        <v>174</v>
      </c>
      <c r="O76" s="63" t="s">
        <v>645</v>
      </c>
      <c r="P76" s="63" t="s">
        <v>458</v>
      </c>
      <c r="Q76" s="48" t="s">
        <v>199</v>
      </c>
      <c r="R76" s="63" t="s">
        <v>605</v>
      </c>
      <c r="S76" s="63" t="str">
        <f t="shared" si="153"/>
        <v>Selesai Implementasi</v>
      </c>
      <c r="T76" s="63" t="str">
        <f t="shared" si="145"/>
        <v>DONE</v>
      </c>
      <c r="U76" s="63" t="str">
        <f t="shared" si="154"/>
        <v>M. Fahmi Ridwan</v>
      </c>
      <c r="V76" s="67">
        <f t="shared" si="155"/>
        <v>0.99999999999999989</v>
      </c>
      <c r="W76" s="66" t="s">
        <v>448</v>
      </c>
      <c r="X76" s="59">
        <f t="shared" si="156"/>
        <v>46022</v>
      </c>
      <c r="Y76" s="68"/>
      <c r="Z76" s="48" t="s">
        <v>179</v>
      </c>
      <c r="AA76" s="280">
        <v>45870</v>
      </c>
      <c r="AB76" s="280">
        <v>45900</v>
      </c>
      <c r="AC76" s="280">
        <v>45901</v>
      </c>
      <c r="AD76" s="280">
        <v>45915</v>
      </c>
      <c r="AE76" s="513"/>
      <c r="AF76" s="48"/>
      <c r="AG76" s="217"/>
      <c r="AH76" s="217"/>
      <c r="AI76" s="280">
        <v>45916</v>
      </c>
      <c r="AJ76" s="280">
        <v>45924</v>
      </c>
      <c r="AK76" s="280">
        <v>45925</v>
      </c>
      <c r="AL76" s="280">
        <v>45945</v>
      </c>
      <c r="AM76" s="280">
        <v>45946</v>
      </c>
      <c r="AN76" s="280">
        <v>45976</v>
      </c>
      <c r="AO76" s="280">
        <v>45977</v>
      </c>
      <c r="AP76" s="280">
        <v>45991</v>
      </c>
      <c r="AQ76" s="280">
        <v>45992</v>
      </c>
      <c r="AR76" s="280">
        <v>46022</v>
      </c>
      <c r="AS76" s="63" t="str">
        <f t="shared" si="157"/>
        <v>Selesai Implementasi</v>
      </c>
      <c r="AT76" s="63" t="str">
        <f t="shared" si="158"/>
        <v>Selesai Implementasi</v>
      </c>
      <c r="AU76" s="63" t="str">
        <f t="shared" si="159"/>
        <v>Selesai Implementasi</v>
      </c>
      <c r="AV76" s="63" t="str">
        <f t="shared" si="160"/>
        <v>Selesai Implementasi</v>
      </c>
      <c r="AW76" s="63" t="str">
        <f t="shared" si="161"/>
        <v>Selesai Implementasi</v>
      </c>
      <c r="AX76" s="63" t="str">
        <f t="shared" si="162"/>
        <v>Selesai Implementasi</v>
      </c>
      <c r="AY76" s="63" t="str">
        <f t="shared" si="163"/>
        <v>Selesai Implementasi</v>
      </c>
      <c r="AZ76" s="63" t="str">
        <f t="shared" si="164"/>
        <v>Selesai Implementasi</v>
      </c>
      <c r="BA76" s="63" t="str">
        <f t="shared" si="165"/>
        <v>Selesai Implementasi</v>
      </c>
      <c r="BB76" s="63" t="str">
        <f t="shared" si="166"/>
        <v>Selesai Implementasi</v>
      </c>
      <c r="BC76" s="63" t="str">
        <f t="shared" ref="BC76:BC108" si="217">IF(BO76=0%,"Not Started",IF(BO76&lt;5%,"Proses RBT-RBB",IF(BO76=5%,"Selesai RBT-RBB",IF(BO76&lt;10%,"Proses RBT-RBL",IF(BO76=10%,"Selesai RBT-RBL",IF(BO76&lt;15%,"Proses RBT-RBTD",IF(BO76=15%,"Selesai RBT-RBTD",IF(BO76&lt;20%,"Proses RPP",IF(BO76=20%,"Selesai RPP",IF(BO76&lt;25%,"Proses KAK",IF(BO76=25%,"Selesai KAK",IF(BO76&lt;30%,"Proses Pengadaan",IF(BO76=30%,"Selesai Pengadaan",IF(BO76&lt;45%,"Proses Desain",IF(BO76=45%,"Selesai Desain",IF(BO76&lt;80%,"Proses Pengembangan",IF(BO76=80%,"Selesai Pengembangan",IF(BO76&lt;87.5%,"Proses SIT",IF(BO76=87.5%,"Selesai SIT",IF(BO76&lt;95%,"Proses UAT",IF(BO76=95%,"Selesai UAT",IF(BO76&lt;100%,"Proses Implementasi","Selesai Implementasi"))))))))))))))))))))))</f>
        <v>Selesai Implementasi</v>
      </c>
      <c r="BD76" s="63" t="str">
        <f t="shared" si="167"/>
        <v>Selesai Implementasi</v>
      </c>
      <c r="BE76" s="43">
        <v>1</v>
      </c>
      <c r="BF76" s="43">
        <v>1</v>
      </c>
      <c r="BG76" s="43">
        <v>1</v>
      </c>
      <c r="BH76" s="43">
        <v>1</v>
      </c>
      <c r="BI76" s="43">
        <v>1</v>
      </c>
      <c r="BJ76" s="43">
        <v>1</v>
      </c>
      <c r="BK76" s="43">
        <v>1</v>
      </c>
      <c r="BL76" s="43">
        <v>1</v>
      </c>
      <c r="BM76" s="43">
        <v>1</v>
      </c>
      <c r="BN76" s="43">
        <v>1</v>
      </c>
      <c r="BO76" s="43">
        <v>1</v>
      </c>
      <c r="BP76" s="43">
        <v>1</v>
      </c>
      <c r="BQ76" s="63" t="str">
        <f t="shared" si="168"/>
        <v>Selesai Implementasi</v>
      </c>
      <c r="BR76" s="63" t="str">
        <f t="shared" si="169"/>
        <v>Not Started</v>
      </c>
      <c r="BS76" s="63" t="str">
        <f t="shared" si="170"/>
        <v>Not Started</v>
      </c>
      <c r="BT76" s="63" t="str">
        <f t="shared" si="171"/>
        <v>Not Started</v>
      </c>
      <c r="BU76" s="63" t="str">
        <f t="shared" si="172"/>
        <v>Not Started</v>
      </c>
      <c r="BV76" s="63" t="str">
        <f t="shared" si="173"/>
        <v>Not Started</v>
      </c>
      <c r="BW76" s="63" t="str">
        <f t="shared" si="174"/>
        <v>Not Started</v>
      </c>
      <c r="BX76" s="63" t="str">
        <f t="shared" si="175"/>
        <v>Not Started</v>
      </c>
      <c r="BY76" s="63" t="str">
        <f t="shared" si="176"/>
        <v>Not Started</v>
      </c>
      <c r="BZ76" s="63" t="str">
        <f t="shared" si="177"/>
        <v>Not Started</v>
      </c>
      <c r="CA76" s="63" t="str">
        <f t="shared" si="178"/>
        <v>Not Started</v>
      </c>
      <c r="CB76" s="63" t="str">
        <f t="shared" si="179"/>
        <v>Not Started</v>
      </c>
      <c r="CC76" s="44">
        <f t="shared" si="216"/>
        <v>0.99999999999999989</v>
      </c>
      <c r="CD76" s="44"/>
      <c r="CE76" s="44"/>
      <c r="CF76" s="44"/>
      <c r="CG76" s="44"/>
      <c r="CH76" s="242"/>
      <c r="CI76" s="220"/>
      <c r="CJ76" s="44"/>
      <c r="CK76" s="220"/>
      <c r="CL76" s="44"/>
      <c r="CM76" s="44"/>
      <c r="CN76" s="44"/>
      <c r="CO76" s="45">
        <f t="shared" si="181"/>
        <v>0.99999999999999989</v>
      </c>
      <c r="CP76" s="45">
        <f t="shared" si="182"/>
        <v>0</v>
      </c>
      <c r="CQ76" s="45">
        <f t="shared" si="183"/>
        <v>0</v>
      </c>
      <c r="CR76" s="45">
        <f t="shared" si="184"/>
        <v>0</v>
      </c>
      <c r="CS76" s="45">
        <f t="shared" si="185"/>
        <v>0</v>
      </c>
      <c r="CT76" s="45">
        <f t="shared" si="186"/>
        <v>0</v>
      </c>
      <c r="CU76" s="45">
        <f t="shared" si="187"/>
        <v>0</v>
      </c>
      <c r="CV76" s="45">
        <f t="shared" si="188"/>
        <v>0</v>
      </c>
      <c r="CW76" s="45">
        <f t="shared" si="189"/>
        <v>0</v>
      </c>
      <c r="CX76" s="45">
        <f t="shared" si="190"/>
        <v>0</v>
      </c>
      <c r="CY76" s="45">
        <f t="shared" ref="CY76:CY108" si="218">IF(BO76=0%, 100%, (CM76/BO76))</f>
        <v>0</v>
      </c>
      <c r="CZ76" s="45"/>
      <c r="DA76" s="45" t="str">
        <f t="shared" si="191"/>
        <v>DONE</v>
      </c>
      <c r="DB76" s="45" t="str">
        <f t="shared" si="192"/>
        <v>BS</v>
      </c>
      <c r="DC76" s="45" t="str">
        <f t="shared" si="193"/>
        <v>BS</v>
      </c>
      <c r="DD76" s="45" t="str">
        <f t="shared" si="194"/>
        <v>BS</v>
      </c>
      <c r="DE76" s="45" t="str">
        <f t="shared" si="195"/>
        <v>BS</v>
      </c>
      <c r="DF76" s="45" t="str">
        <f t="shared" si="196"/>
        <v>BS</v>
      </c>
      <c r="DG76" s="45" t="str">
        <f t="shared" si="197"/>
        <v>BS</v>
      </c>
      <c r="DH76" s="45" t="str">
        <f t="shared" si="198"/>
        <v>BS</v>
      </c>
      <c r="DI76" s="45" t="str">
        <f t="shared" si="199"/>
        <v>BS</v>
      </c>
      <c r="DJ76" s="45" t="str">
        <f t="shared" si="200"/>
        <v>BS</v>
      </c>
      <c r="DK76" s="45" t="str">
        <f t="shared" ref="DK76:DK103" si="219">IF(BO76=0%,"NS",IF(CM76=100%,"DONE",IF(CY76&gt;100%,"AS",IF(CY76&lt;75%,"BS",IF(CY76&lt;89.9%,"AR","OS")))))</f>
        <v>BS</v>
      </c>
      <c r="DL76" s="45" t="str">
        <f t="shared" si="201"/>
        <v>BS</v>
      </c>
      <c r="DM76" s="45">
        <f t="shared" si="202"/>
        <v>0.99999999999999989</v>
      </c>
      <c r="DN76" s="45">
        <f t="shared" si="203"/>
        <v>0</v>
      </c>
      <c r="DO76" s="45">
        <f t="shared" si="204"/>
        <v>0</v>
      </c>
      <c r="DP76" s="45">
        <f t="shared" si="205"/>
        <v>0</v>
      </c>
      <c r="DQ76" s="45">
        <f t="shared" si="206"/>
        <v>0</v>
      </c>
      <c r="DR76" s="45">
        <f t="shared" si="207"/>
        <v>0</v>
      </c>
      <c r="DS76" s="45">
        <f t="shared" si="208"/>
        <v>0</v>
      </c>
      <c r="DT76" s="45">
        <f t="shared" si="209"/>
        <v>0</v>
      </c>
      <c r="DU76" s="45">
        <f t="shared" si="210"/>
        <v>0</v>
      </c>
      <c r="DV76" s="45">
        <f t="shared" si="211"/>
        <v>0</v>
      </c>
      <c r="DW76" s="45">
        <f t="shared" si="212"/>
        <v>0</v>
      </c>
      <c r="DX76" s="45">
        <f t="shared" si="213"/>
        <v>0</v>
      </c>
      <c r="DY76" s="41">
        <v>1</v>
      </c>
      <c r="DZ76" s="41">
        <v>1</v>
      </c>
      <c r="EA76" s="41">
        <v>1</v>
      </c>
      <c r="EB76" s="41">
        <v>1</v>
      </c>
      <c r="EC76" s="41">
        <v>1</v>
      </c>
      <c r="ED76" s="41">
        <v>1</v>
      </c>
      <c r="EE76" s="41">
        <v>1</v>
      </c>
      <c r="EF76" s="41">
        <v>1</v>
      </c>
      <c r="EG76" s="74">
        <v>1</v>
      </c>
      <c r="EH76" s="188" t="s">
        <v>646</v>
      </c>
      <c r="EI76" s="260"/>
      <c r="EJ76" s="59">
        <f t="shared" si="214"/>
        <v>46022</v>
      </c>
      <c r="EK76" s="229"/>
      <c r="EL76" s="59"/>
      <c r="EM76" s="230"/>
      <c r="EN76" s="222"/>
      <c r="EO76" s="222"/>
      <c r="EP76" s="220"/>
      <c r="EQ76" s="222"/>
      <c r="ER76" s="223"/>
      <c r="ES76" s="220"/>
      <c r="ET76" s="222"/>
      <c r="EU76" s="222"/>
      <c r="EV76" s="220"/>
      <c r="EW76" s="220"/>
      <c r="EX76" s="220"/>
      <c r="EY76" s="220"/>
      <c r="EZ76" s="220"/>
      <c r="FA76" s="220"/>
      <c r="FB76" s="220"/>
      <c r="FC76" s="222"/>
      <c r="FD76" s="220"/>
      <c r="FE76" s="220"/>
      <c r="FF76" s="222"/>
      <c r="FG76" s="222"/>
      <c r="FH76" s="220"/>
      <c r="FI76" s="220"/>
      <c r="FJ76" s="220"/>
      <c r="FK76" s="220"/>
      <c r="FL76" s="215"/>
      <c r="FM76" s="172" t="s">
        <v>647</v>
      </c>
      <c r="FN76" s="319" t="s">
        <v>610</v>
      </c>
      <c r="FO76" s="319" t="s">
        <v>231</v>
      </c>
      <c r="FP76" s="172" t="s">
        <v>648</v>
      </c>
      <c r="FQ76" s="172" t="s">
        <v>649</v>
      </c>
      <c r="FR76" s="289" t="s">
        <v>224</v>
      </c>
      <c r="FS76" s="267"/>
      <c r="FT76" s="267"/>
      <c r="FU76" s="269"/>
    </row>
    <row r="77" spans="1:177" s="16" customFormat="1" ht="240">
      <c r="A77" s="64"/>
      <c r="B77" s="48" t="s">
        <v>468</v>
      </c>
      <c r="C77" s="64"/>
      <c r="D77" s="225"/>
      <c r="E77" s="42" t="s">
        <v>604</v>
      </c>
      <c r="F77" s="227">
        <f t="shared" si="215"/>
        <v>9</v>
      </c>
      <c r="G77" s="65" t="s">
        <v>605</v>
      </c>
      <c r="H77" s="222" t="s">
        <v>606</v>
      </c>
      <c r="I77" s="65" t="s">
        <v>650</v>
      </c>
      <c r="J77" s="48">
        <v>2026</v>
      </c>
      <c r="K77" s="48">
        <v>2027</v>
      </c>
      <c r="L77" s="48" t="s">
        <v>172</v>
      </c>
      <c r="M77" s="48" t="s">
        <v>173</v>
      </c>
      <c r="N77" s="48" t="s">
        <v>174</v>
      </c>
      <c r="O77" s="63" t="s">
        <v>472</v>
      </c>
      <c r="P77" s="63" t="s">
        <v>458</v>
      </c>
      <c r="Q77" s="214" t="s">
        <v>199</v>
      </c>
      <c r="R77" s="63" t="s">
        <v>605</v>
      </c>
      <c r="S77" s="63" t="e">
        <f t="shared" si="153"/>
        <v>#REF!</v>
      </c>
      <c r="T77" s="63" t="e">
        <f t="shared" si="145"/>
        <v>#REF!</v>
      </c>
      <c r="U77" s="63" t="str">
        <f t="shared" si="154"/>
        <v>M. Fahmi Ridwan</v>
      </c>
      <c r="V77" s="67" t="e">
        <f t="shared" si="155"/>
        <v>#REF!</v>
      </c>
      <c r="W77" s="66" t="s">
        <v>260</v>
      </c>
      <c r="X77" s="59">
        <f t="shared" si="156"/>
        <v>46477</v>
      </c>
      <c r="Y77" s="68"/>
      <c r="Z77" s="48" t="s">
        <v>179</v>
      </c>
      <c r="AA77" s="280">
        <v>46023</v>
      </c>
      <c r="AB77" s="280">
        <v>46081</v>
      </c>
      <c r="AC77" s="280">
        <v>46082</v>
      </c>
      <c r="AD77" s="280">
        <v>46112</v>
      </c>
      <c r="AE77" s="217"/>
      <c r="AF77" s="48"/>
      <c r="AG77" s="280">
        <v>46113</v>
      </c>
      <c r="AH77" s="280">
        <v>46203</v>
      </c>
      <c r="AI77" s="280">
        <v>46204</v>
      </c>
      <c r="AJ77" s="280">
        <v>46295</v>
      </c>
      <c r="AK77" s="280">
        <v>46296</v>
      </c>
      <c r="AL77" s="280">
        <v>46356</v>
      </c>
      <c r="AM77" s="280">
        <v>46357</v>
      </c>
      <c r="AN77" s="280">
        <v>46402</v>
      </c>
      <c r="AO77" s="280">
        <v>46403</v>
      </c>
      <c r="AP77" s="280">
        <v>46446</v>
      </c>
      <c r="AQ77" s="280">
        <v>46447</v>
      </c>
      <c r="AR77" s="280">
        <v>46477</v>
      </c>
      <c r="AS77" s="63" t="str">
        <f t="shared" si="157"/>
        <v>Proses RBT-RBL</v>
      </c>
      <c r="AT77" s="63" t="str">
        <f t="shared" si="158"/>
        <v>Selesai RBT-RBTD</v>
      </c>
      <c r="AU77" s="63" t="str">
        <f t="shared" si="159"/>
        <v>Selesai RPP</v>
      </c>
      <c r="AV77" s="63" t="str">
        <f t="shared" si="160"/>
        <v>Proses KAK</v>
      </c>
      <c r="AW77" s="63" t="str">
        <f t="shared" si="161"/>
        <v>Proses Pengadaan</v>
      </c>
      <c r="AX77" s="63" t="str">
        <f t="shared" si="162"/>
        <v>Selesai Pengadaan</v>
      </c>
      <c r="AY77" s="63" t="str">
        <f t="shared" si="163"/>
        <v>Proses Desain</v>
      </c>
      <c r="AZ77" s="63" t="str">
        <f t="shared" si="164"/>
        <v>Proses Desain</v>
      </c>
      <c r="BA77" s="63" t="str">
        <f t="shared" si="165"/>
        <v>Selesai Desain</v>
      </c>
      <c r="BB77" s="63" t="str">
        <f t="shared" si="166"/>
        <v>Proses Pengembangan</v>
      </c>
      <c r="BC77" s="63" t="str">
        <f t="shared" si="217"/>
        <v>Selesai Pengembangan</v>
      </c>
      <c r="BD77" s="63" t="str">
        <f t="shared" si="167"/>
        <v>Proses SIT</v>
      </c>
      <c r="BE77" s="43">
        <v>7.0000000000000007E-2</v>
      </c>
      <c r="BF77" s="43">
        <v>0.15</v>
      </c>
      <c r="BG77" s="43">
        <v>0.2</v>
      </c>
      <c r="BH77" s="43">
        <v>0.23</v>
      </c>
      <c r="BI77" s="43">
        <v>0.26</v>
      </c>
      <c r="BJ77" s="43">
        <v>0.3</v>
      </c>
      <c r="BK77" s="43">
        <v>0.35</v>
      </c>
      <c r="BL77" s="509">
        <v>0.4</v>
      </c>
      <c r="BM77" s="43">
        <v>0.45</v>
      </c>
      <c r="BN77" s="43">
        <v>0.67</v>
      </c>
      <c r="BO77" s="43">
        <v>0.8</v>
      </c>
      <c r="BP77" s="43">
        <v>0.85</v>
      </c>
      <c r="BQ77" s="63" t="e">
        <f t="shared" si="168"/>
        <v>#REF!</v>
      </c>
      <c r="BR77" s="63" t="str">
        <f t="shared" si="169"/>
        <v>Not Started</v>
      </c>
      <c r="BS77" s="63" t="str">
        <f t="shared" si="170"/>
        <v>Not Started</v>
      </c>
      <c r="BT77" s="63" t="str">
        <f t="shared" si="171"/>
        <v>Not Started</v>
      </c>
      <c r="BU77" s="63" t="str">
        <f t="shared" si="172"/>
        <v>Not Started</v>
      </c>
      <c r="BV77" s="63" t="str">
        <f t="shared" si="173"/>
        <v>Not Started</v>
      </c>
      <c r="BW77" s="63" t="str">
        <f t="shared" si="174"/>
        <v>Not Started</v>
      </c>
      <c r="BX77" s="63" t="str">
        <f t="shared" si="175"/>
        <v>Not Started</v>
      </c>
      <c r="BY77" s="63" t="str">
        <f t="shared" si="176"/>
        <v>Not Started</v>
      </c>
      <c r="BZ77" s="63" t="str">
        <f t="shared" si="177"/>
        <v>Not Started</v>
      </c>
      <c r="CA77" s="63" t="str">
        <f t="shared" si="178"/>
        <v>Not Started</v>
      </c>
      <c r="CB77" s="63" t="str">
        <f t="shared" si="179"/>
        <v>Not Started</v>
      </c>
      <c r="CC77" s="44" t="e">
        <f>(($DY77/100%)*15%)+(($DZ77/100%)*5%)+(($EA77/100%)*5%)+(($EB77/100%)*5%)+(($EC77/100%)*15%)+(($ED77/100%)*35%)+(($EE77/100%)*7.5%)+(($EF77/100%)*7.5%)+((#REF!/100%)*5%)</f>
        <v>#REF!</v>
      </c>
      <c r="CD77" s="44"/>
      <c r="CE77" s="44"/>
      <c r="CF77" s="44"/>
      <c r="CG77" s="44"/>
      <c r="CH77" s="242"/>
      <c r="CI77" s="220"/>
      <c r="CJ77" s="44"/>
      <c r="CK77" s="220"/>
      <c r="CL77" s="44"/>
      <c r="CM77" s="44"/>
      <c r="CN77" s="44"/>
      <c r="CO77" s="45" t="e">
        <f t="shared" si="181"/>
        <v>#REF!</v>
      </c>
      <c r="CP77" s="45">
        <f t="shared" si="182"/>
        <v>0</v>
      </c>
      <c r="CQ77" s="45">
        <f t="shared" si="183"/>
        <v>0</v>
      </c>
      <c r="CR77" s="45">
        <f t="shared" si="184"/>
        <v>0</v>
      </c>
      <c r="CS77" s="45">
        <f t="shared" si="185"/>
        <v>0</v>
      </c>
      <c r="CT77" s="45">
        <f t="shared" si="186"/>
        <v>0</v>
      </c>
      <c r="CU77" s="45">
        <f t="shared" si="187"/>
        <v>0</v>
      </c>
      <c r="CV77" s="45">
        <f t="shared" si="188"/>
        <v>0</v>
      </c>
      <c r="CW77" s="45">
        <f t="shared" si="189"/>
        <v>0</v>
      </c>
      <c r="CX77" s="45">
        <f t="shared" si="190"/>
        <v>0</v>
      </c>
      <c r="CY77" s="45">
        <f t="shared" si="218"/>
        <v>0</v>
      </c>
      <c r="CZ77" s="45"/>
      <c r="DA77" s="45" t="e">
        <f t="shared" si="191"/>
        <v>#REF!</v>
      </c>
      <c r="DB77" s="45" t="str">
        <f t="shared" si="192"/>
        <v>BS</v>
      </c>
      <c r="DC77" s="45" t="str">
        <f t="shared" si="193"/>
        <v>BS</v>
      </c>
      <c r="DD77" s="45" t="str">
        <f t="shared" si="194"/>
        <v>BS</v>
      </c>
      <c r="DE77" s="45" t="str">
        <f t="shared" si="195"/>
        <v>BS</v>
      </c>
      <c r="DF77" s="45" t="str">
        <f t="shared" si="196"/>
        <v>BS</v>
      </c>
      <c r="DG77" s="45" t="str">
        <f t="shared" si="197"/>
        <v>BS</v>
      </c>
      <c r="DH77" s="45" t="str">
        <f t="shared" si="198"/>
        <v>BS</v>
      </c>
      <c r="DI77" s="45" t="str">
        <f t="shared" si="199"/>
        <v>BS</v>
      </c>
      <c r="DJ77" s="45" t="str">
        <f t="shared" si="200"/>
        <v>BS</v>
      </c>
      <c r="DK77" s="45" t="str">
        <f t="shared" si="219"/>
        <v>BS</v>
      </c>
      <c r="DL77" s="45" t="str">
        <f t="shared" si="201"/>
        <v>BS</v>
      </c>
      <c r="DM77" s="45" t="e">
        <f t="shared" si="202"/>
        <v>#REF!</v>
      </c>
      <c r="DN77" s="45">
        <f t="shared" si="203"/>
        <v>0</v>
      </c>
      <c r="DO77" s="45">
        <f t="shared" si="204"/>
        <v>0</v>
      </c>
      <c r="DP77" s="45">
        <f t="shared" si="205"/>
        <v>0</v>
      </c>
      <c r="DQ77" s="45">
        <f t="shared" si="206"/>
        <v>0</v>
      </c>
      <c r="DR77" s="45">
        <f t="shared" si="207"/>
        <v>0</v>
      </c>
      <c r="DS77" s="45">
        <f t="shared" si="208"/>
        <v>0</v>
      </c>
      <c r="DT77" s="45">
        <f t="shared" si="209"/>
        <v>0</v>
      </c>
      <c r="DU77" s="45">
        <f t="shared" si="210"/>
        <v>0</v>
      </c>
      <c r="DV77" s="45">
        <f t="shared" si="211"/>
        <v>0</v>
      </c>
      <c r="DW77" s="45">
        <f t="shared" si="212"/>
        <v>0</v>
      </c>
      <c r="DX77" s="45">
        <f t="shared" si="213"/>
        <v>0</v>
      </c>
      <c r="DY77" s="41"/>
      <c r="DZ77" s="41"/>
      <c r="EA77" s="41"/>
      <c r="EB77" s="41"/>
      <c r="EC77" s="41"/>
      <c r="ED77" s="41"/>
      <c r="EE77" s="53"/>
      <c r="EF77" s="54"/>
      <c r="EG77" s="54"/>
      <c r="EH77" s="510" t="s">
        <v>1626</v>
      </c>
      <c r="EI77" s="222"/>
      <c r="EJ77" s="59">
        <f t="shared" si="214"/>
        <v>46477</v>
      </c>
      <c r="EK77" s="229"/>
      <c r="EL77" s="59"/>
      <c r="EM77" s="230"/>
      <c r="EN77" s="222"/>
      <c r="EO77" s="222"/>
      <c r="EP77" s="220"/>
      <c r="EQ77" s="222"/>
      <c r="ER77" s="223"/>
      <c r="ES77" s="220"/>
      <c r="ET77" s="222"/>
      <c r="EU77" s="222"/>
      <c r="EV77" s="220"/>
      <c r="EW77" s="220"/>
      <c r="EX77" s="220"/>
      <c r="EY77" s="220"/>
      <c r="EZ77" s="220"/>
      <c r="FA77" s="220"/>
      <c r="FB77" s="220"/>
      <c r="FC77" s="222"/>
      <c r="FD77" s="220"/>
      <c r="FE77" s="220"/>
      <c r="FF77" s="222"/>
      <c r="FG77" s="222"/>
      <c r="FH77" s="220"/>
      <c r="FI77" s="220"/>
      <c r="FJ77" s="220"/>
      <c r="FK77" s="220"/>
      <c r="FL77" s="215"/>
      <c r="FM77" s="172" t="s">
        <v>373</v>
      </c>
      <c r="FN77" s="319" t="s">
        <v>610</v>
      </c>
      <c r="FO77" s="319" t="s">
        <v>231</v>
      </c>
      <c r="FP77" s="172" t="s">
        <v>651</v>
      </c>
      <c r="FQ77" s="172" t="s">
        <v>424</v>
      </c>
      <c r="FR77" s="267" t="s">
        <v>184</v>
      </c>
      <c r="FS77" s="267" t="s">
        <v>652</v>
      </c>
      <c r="FT77" s="267" t="s">
        <v>631</v>
      </c>
      <c r="FU77" s="269"/>
    </row>
    <row r="78" spans="1:177" s="16" customFormat="1" ht="80">
      <c r="A78" s="64"/>
      <c r="B78" s="48" t="s">
        <v>468</v>
      </c>
      <c r="C78" s="64"/>
      <c r="D78" s="225"/>
      <c r="E78" s="48" t="s">
        <v>604</v>
      </c>
      <c r="F78" s="227">
        <f t="shared" si="215"/>
        <v>10</v>
      </c>
      <c r="G78" s="65" t="s">
        <v>605</v>
      </c>
      <c r="H78" s="222" t="s">
        <v>606</v>
      </c>
      <c r="I78" s="65" t="s">
        <v>653</v>
      </c>
      <c r="J78" s="48">
        <v>2026</v>
      </c>
      <c r="K78" s="48">
        <v>2027</v>
      </c>
      <c r="L78" s="48" t="s">
        <v>172</v>
      </c>
      <c r="M78" s="48" t="s">
        <v>173</v>
      </c>
      <c r="N78" s="48" t="s">
        <v>174</v>
      </c>
      <c r="O78" s="63" t="s">
        <v>634</v>
      </c>
      <c r="P78" s="63" t="s">
        <v>458</v>
      </c>
      <c r="Q78" s="48" t="s">
        <v>199</v>
      </c>
      <c r="R78" s="48" t="s">
        <v>605</v>
      </c>
      <c r="S78" s="63" t="str">
        <f t="shared" si="153"/>
        <v>Not Started</v>
      </c>
      <c r="T78" s="63" t="str">
        <f t="shared" si="145"/>
        <v>Not Started</v>
      </c>
      <c r="U78" s="63" t="str">
        <f t="shared" si="154"/>
        <v>M. Fahmi Ridwan</v>
      </c>
      <c r="V78" s="67">
        <f t="shared" si="155"/>
        <v>0</v>
      </c>
      <c r="W78" s="66" t="s">
        <v>178</v>
      </c>
      <c r="X78" s="59">
        <f t="shared" si="156"/>
        <v>46752</v>
      </c>
      <c r="Y78" s="68"/>
      <c r="Z78" s="48" t="s">
        <v>179</v>
      </c>
      <c r="AA78" s="280">
        <v>46113</v>
      </c>
      <c r="AB78" s="280">
        <v>46203</v>
      </c>
      <c r="AC78" s="280">
        <v>46204</v>
      </c>
      <c r="AD78" s="280">
        <v>46234</v>
      </c>
      <c r="AE78" s="217"/>
      <c r="AF78" s="48"/>
      <c r="AG78" s="280">
        <v>46235</v>
      </c>
      <c r="AH78" s="280">
        <v>46507</v>
      </c>
      <c r="AI78" s="280">
        <v>46508</v>
      </c>
      <c r="AJ78" s="280">
        <v>46568</v>
      </c>
      <c r="AK78" s="280">
        <v>46569</v>
      </c>
      <c r="AL78" s="280">
        <v>46660</v>
      </c>
      <c r="AM78" s="280">
        <v>46661</v>
      </c>
      <c r="AN78" s="280">
        <v>46691</v>
      </c>
      <c r="AO78" s="280">
        <v>46692</v>
      </c>
      <c r="AP78" s="280">
        <v>46721</v>
      </c>
      <c r="AQ78" s="280">
        <v>46722</v>
      </c>
      <c r="AR78" s="280">
        <v>46752</v>
      </c>
      <c r="AS78" s="280">
        <v>46724</v>
      </c>
      <c r="AT78" s="280">
        <v>46725</v>
      </c>
      <c r="AU78" s="280">
        <v>46726</v>
      </c>
      <c r="AV78" s="280">
        <v>46727</v>
      </c>
      <c r="AW78" s="280">
        <v>46728</v>
      </c>
      <c r="AX78" s="280">
        <v>46729</v>
      </c>
      <c r="AY78" s="280">
        <v>46730</v>
      </c>
      <c r="AZ78" s="280">
        <v>46731</v>
      </c>
      <c r="BA78" s="280">
        <v>46732</v>
      </c>
      <c r="BB78" s="63" t="str">
        <f t="shared" ref="BB78:BB117" si="220">IF(BN78=0%,"Not Started",IF(BN78&lt;5%,"Proses RBT-RBB",IF(BN78=5%,"Selesai RBT-RBB",IF(BN78&lt;10%,"Proses RBT-RBL",IF(BN78=10%,"Selesai RBT-RBL",IF(BN78&lt;15%,"Proses RBT-RBTD",IF(BN78=15%,"Selesai RBT-RBTD",IF(BN78&lt;20%,"Proses RPP",IF(BN78=20%,"Selesai RPP",IF(BN78&lt;25%,"Proses KAK",IF(BN78=25%,"Selesai KAK",IF(BN78&lt;30%,"Proses Pengadaan",IF(BN78=30%,"Selesai Pengadaan",IF(BN78&lt;45%,"Proses Desain",IF(BN78=45%,"Selesai Desain",IF(BN78&lt;80%,"Proses Pengembangan",IF(BN78=80%,"Selesai Pengembangan",IF(BN78&lt;87.5%,"Proses SIT",IF(BN78=87.5%,"Selesai SIT",IF(BN78&lt;95%,"Proses UAT",IF(BN78=95%,"Selesai UAT",IF(BN78&lt;100%,"Proses Implementasi","Selesai Implementasi"))))))))))))))))))))))</f>
        <v>Proses KAK</v>
      </c>
      <c r="BC78" s="63" t="str">
        <f t="shared" si="217"/>
        <v>Proses KAK</v>
      </c>
      <c r="BD78" s="63" t="str">
        <f t="shared" si="167"/>
        <v>Selesai KAK</v>
      </c>
      <c r="BE78" s="43">
        <v>0</v>
      </c>
      <c r="BF78" s="43">
        <v>0</v>
      </c>
      <c r="BG78" s="43">
        <v>0</v>
      </c>
      <c r="BH78" s="43">
        <v>0.05</v>
      </c>
      <c r="BI78" s="43">
        <v>0.1</v>
      </c>
      <c r="BJ78" s="43">
        <v>0.15</v>
      </c>
      <c r="BK78" s="43">
        <v>0.2</v>
      </c>
      <c r="BL78" s="509">
        <v>0.21</v>
      </c>
      <c r="BM78" s="43">
        <v>0.22</v>
      </c>
      <c r="BN78" s="43">
        <v>0.23</v>
      </c>
      <c r="BO78" s="43">
        <v>0.24</v>
      </c>
      <c r="BP78" s="43">
        <v>0.25</v>
      </c>
      <c r="BQ78" s="63" t="str">
        <f t="shared" si="168"/>
        <v>Not Started</v>
      </c>
      <c r="BR78" s="63" t="str">
        <f t="shared" si="169"/>
        <v>Not Started</v>
      </c>
      <c r="BS78" s="63" t="str">
        <f t="shared" si="170"/>
        <v>Not Started</v>
      </c>
      <c r="BT78" s="63" t="str">
        <f t="shared" si="171"/>
        <v>Not Started</v>
      </c>
      <c r="BU78" s="63" t="str">
        <f t="shared" si="172"/>
        <v>Not Started</v>
      </c>
      <c r="BV78" s="63" t="str">
        <f t="shared" si="173"/>
        <v>Not Started</v>
      </c>
      <c r="BW78" s="63" t="str">
        <f t="shared" si="174"/>
        <v>Not Started</v>
      </c>
      <c r="BX78" s="63" t="str">
        <f t="shared" si="175"/>
        <v>Not Started</v>
      </c>
      <c r="BY78" s="63" t="str">
        <f t="shared" si="176"/>
        <v>Not Started</v>
      </c>
      <c r="BZ78" s="63" t="str">
        <f t="shared" si="177"/>
        <v>Not Started</v>
      </c>
      <c r="CA78" s="63" t="str">
        <f t="shared" si="178"/>
        <v>Not Started</v>
      </c>
      <c r="CB78" s="63" t="str">
        <f t="shared" si="179"/>
        <v>Not Started</v>
      </c>
      <c r="CC78" s="44">
        <f>(($DY78/100%)*15%)+(($DZ78/100%)*5%)+(($EA78/100%)*5%)+(($EB78/100%)*5%)+(($EC78/100%)*15%)+(($ED78/100%)*35%)+(($EE78/100%)*7.5%)+(($EF78/100%)*7.5%)+(($EG77/100%)*5%)</f>
        <v>0</v>
      </c>
      <c r="CD78" s="44"/>
      <c r="CE78" s="44"/>
      <c r="CF78" s="44"/>
      <c r="CG78" s="44"/>
      <c r="CH78" s="242"/>
      <c r="CI78" s="220"/>
      <c r="CJ78" s="44"/>
      <c r="CK78" s="220"/>
      <c r="CL78" s="44"/>
      <c r="CM78" s="44"/>
      <c r="CN78" s="44"/>
      <c r="CO78" s="45">
        <f t="shared" si="181"/>
        <v>1</v>
      </c>
      <c r="CP78" s="45">
        <f t="shared" si="182"/>
        <v>1</v>
      </c>
      <c r="CQ78" s="45">
        <f t="shared" si="183"/>
        <v>1</v>
      </c>
      <c r="CR78" s="45">
        <f t="shared" si="184"/>
        <v>0</v>
      </c>
      <c r="CS78" s="45">
        <f t="shared" si="185"/>
        <v>0</v>
      </c>
      <c r="CT78" s="45">
        <f t="shared" si="186"/>
        <v>0</v>
      </c>
      <c r="CU78" s="45">
        <f t="shared" si="187"/>
        <v>0</v>
      </c>
      <c r="CV78" s="45">
        <f t="shared" si="188"/>
        <v>0</v>
      </c>
      <c r="CW78" s="45">
        <f t="shared" si="189"/>
        <v>0</v>
      </c>
      <c r="CX78" s="45">
        <f t="shared" si="190"/>
        <v>0</v>
      </c>
      <c r="CY78" s="45">
        <f t="shared" si="218"/>
        <v>0</v>
      </c>
      <c r="CZ78" s="45"/>
      <c r="DA78" s="45" t="str">
        <f t="shared" si="191"/>
        <v>NS</v>
      </c>
      <c r="DB78" s="45" t="str">
        <f t="shared" si="192"/>
        <v>NS</v>
      </c>
      <c r="DC78" s="45" t="str">
        <f t="shared" si="193"/>
        <v>NS</v>
      </c>
      <c r="DD78" s="45" t="str">
        <f t="shared" si="194"/>
        <v>BS</v>
      </c>
      <c r="DE78" s="45" t="str">
        <f t="shared" si="195"/>
        <v>BS</v>
      </c>
      <c r="DF78" s="45" t="str">
        <f t="shared" si="196"/>
        <v>BS</v>
      </c>
      <c r="DG78" s="45" t="str">
        <f t="shared" si="197"/>
        <v>BS</v>
      </c>
      <c r="DH78" s="45" t="str">
        <f t="shared" si="198"/>
        <v>BS</v>
      </c>
      <c r="DI78" s="45" t="str">
        <f t="shared" si="199"/>
        <v>BS</v>
      </c>
      <c r="DJ78" s="45" t="str">
        <f t="shared" si="200"/>
        <v>BS</v>
      </c>
      <c r="DK78" s="45" t="str">
        <f t="shared" si="219"/>
        <v>BS</v>
      </c>
      <c r="DL78" s="45" t="str">
        <f t="shared" si="201"/>
        <v>BS</v>
      </c>
      <c r="DM78" s="45">
        <f t="shared" si="202"/>
        <v>0</v>
      </c>
      <c r="DN78" s="45">
        <f t="shared" si="203"/>
        <v>0</v>
      </c>
      <c r="DO78" s="45">
        <f t="shared" si="204"/>
        <v>0</v>
      </c>
      <c r="DP78" s="45">
        <f t="shared" si="205"/>
        <v>0</v>
      </c>
      <c r="DQ78" s="45">
        <f t="shared" si="206"/>
        <v>0</v>
      </c>
      <c r="DR78" s="45">
        <f t="shared" si="207"/>
        <v>0</v>
      </c>
      <c r="DS78" s="45">
        <f t="shared" si="208"/>
        <v>0</v>
      </c>
      <c r="DT78" s="45">
        <f t="shared" si="209"/>
        <v>0</v>
      </c>
      <c r="DU78" s="45">
        <f t="shared" si="210"/>
        <v>0</v>
      </c>
      <c r="DV78" s="45">
        <f t="shared" si="211"/>
        <v>0</v>
      </c>
      <c r="DW78" s="45">
        <f t="shared" si="212"/>
        <v>0</v>
      </c>
      <c r="DX78" s="45">
        <f t="shared" si="213"/>
        <v>0</v>
      </c>
      <c r="DY78" s="41"/>
      <c r="DZ78" s="41"/>
      <c r="EA78" s="41"/>
      <c r="EB78" s="41"/>
      <c r="EC78" s="41"/>
      <c r="ED78" s="41"/>
      <c r="EE78" s="53"/>
      <c r="EF78" s="54"/>
      <c r="EH78" s="510"/>
      <c r="EI78" s="222"/>
      <c r="EJ78" s="59">
        <f t="shared" si="214"/>
        <v>46752</v>
      </c>
      <c r="EK78" s="229"/>
      <c r="EL78" s="59"/>
      <c r="EM78" s="230"/>
      <c r="EN78" s="222"/>
      <c r="EO78" s="222"/>
      <c r="EP78" s="220"/>
      <c r="EQ78" s="222"/>
      <c r="ER78" s="223"/>
      <c r="ES78" s="220"/>
      <c r="ET78" s="222"/>
      <c r="EU78" s="222"/>
      <c r="EV78" s="220"/>
      <c r="EW78" s="220"/>
      <c r="EX78" s="220"/>
      <c r="EY78" s="220"/>
      <c r="EZ78" s="220"/>
      <c r="FA78" s="220"/>
      <c r="FB78" s="220"/>
      <c r="FC78" s="222"/>
      <c r="FD78" s="220"/>
      <c r="FE78" s="220"/>
      <c r="FF78" s="222"/>
      <c r="FG78" s="222"/>
      <c r="FH78" s="220"/>
      <c r="FI78" s="220"/>
      <c r="FJ78" s="220"/>
      <c r="FK78" s="220"/>
      <c r="FL78" s="215"/>
      <c r="FM78" s="247"/>
      <c r="FN78" s="248" t="s">
        <v>610</v>
      </c>
      <c r="FO78" s="236" t="s">
        <v>231</v>
      </c>
      <c r="FP78" s="247"/>
      <c r="FQ78" s="247"/>
      <c r="FR78" s="267" t="s">
        <v>184</v>
      </c>
      <c r="FS78" s="267" t="s">
        <v>652</v>
      </c>
      <c r="FT78" s="267"/>
      <c r="FU78" s="269"/>
    </row>
    <row r="79" spans="1:177" s="16" customFormat="1" ht="409.5">
      <c r="A79" s="64" t="s">
        <v>654</v>
      </c>
      <c r="B79" s="48" t="s">
        <v>538</v>
      </c>
      <c r="C79" s="64" t="s">
        <v>206</v>
      </c>
      <c r="D79" s="225" t="s">
        <v>207</v>
      </c>
      <c r="E79" s="487" t="s">
        <v>655</v>
      </c>
      <c r="F79" s="249">
        <v>1</v>
      </c>
      <c r="G79" s="213" t="s">
        <v>656</v>
      </c>
      <c r="H79" s="222" t="s">
        <v>657</v>
      </c>
      <c r="I79" s="65" t="s">
        <v>658</v>
      </c>
      <c r="J79" s="48">
        <v>2024</v>
      </c>
      <c r="K79" s="48">
        <v>2025</v>
      </c>
      <c r="L79" s="48" t="s">
        <v>288</v>
      </c>
      <c r="M79" s="48" t="s">
        <v>173</v>
      </c>
      <c r="N79" s="48" t="s">
        <v>174</v>
      </c>
      <c r="O79" s="63" t="s">
        <v>542</v>
      </c>
      <c r="P79" s="63" t="s">
        <v>212</v>
      </c>
      <c r="Q79" s="63" t="s">
        <v>189</v>
      </c>
      <c r="R79" s="63" t="s">
        <v>656</v>
      </c>
      <c r="S79" s="63" t="str">
        <f t="shared" si="153"/>
        <v>Selesai Implementasi</v>
      </c>
      <c r="T79" s="63" t="str">
        <f t="shared" si="145"/>
        <v>DONE</v>
      </c>
      <c r="U79" s="63" t="str">
        <f t="shared" si="154"/>
        <v>Aldo Fernanda</v>
      </c>
      <c r="V79" s="67">
        <f t="shared" si="155"/>
        <v>0.99999999999999989</v>
      </c>
      <c r="W79" s="66" t="s">
        <v>380</v>
      </c>
      <c r="X79" s="59">
        <f t="shared" si="156"/>
        <v>45961</v>
      </c>
      <c r="Y79" s="68">
        <v>0</v>
      </c>
      <c r="Z79" s="48"/>
      <c r="AA79" s="62">
        <v>44896</v>
      </c>
      <c r="AB79" s="42">
        <v>45138</v>
      </c>
      <c r="AC79" s="42">
        <v>44896</v>
      </c>
      <c r="AD79" s="42">
        <v>45138</v>
      </c>
      <c r="AE79" s="42">
        <v>45322</v>
      </c>
      <c r="AF79" s="42">
        <v>45378</v>
      </c>
      <c r="AG79" s="42">
        <v>45379</v>
      </c>
      <c r="AH79" s="42">
        <v>45474</v>
      </c>
      <c r="AI79" s="42">
        <v>45509</v>
      </c>
      <c r="AJ79" s="42">
        <v>45541</v>
      </c>
      <c r="AK79" s="42">
        <v>45544</v>
      </c>
      <c r="AL79" s="42">
        <v>45709</v>
      </c>
      <c r="AM79" s="42">
        <v>45712</v>
      </c>
      <c r="AN79" s="42">
        <v>45899</v>
      </c>
      <c r="AO79" s="42">
        <v>45740</v>
      </c>
      <c r="AP79" s="218">
        <v>45930</v>
      </c>
      <c r="AQ79" s="218">
        <v>45931</v>
      </c>
      <c r="AR79" s="218">
        <v>45961</v>
      </c>
      <c r="AS79" s="63" t="str">
        <f t="shared" ref="AS79:AS116" si="221">IF(BE79=0%,"Not Started",IF(BE79&lt;5%,"Proses RBT-RBB",IF(BE79=5%,"Selesai RBT-RBB",IF(BE79&lt;10%,"Proses RBT-RBL",IF(BE79=10%,"Selesai RBT-RBL",IF(BE79&lt;15%,"Proses RBT-RBTD",IF(BE79=15%,"Selesai RBT-RBTD",IF(BE79&lt;20%,"Proses RPP",IF(BE79=20%,"Selesai RPP",IF(BE79&lt;25%,"Proses KAK",IF(BE79=25%,"Selesai KAK",IF(BE79&lt;30%,"Proses Pengadaan",IF(BE79=30%,"Selesai Pengadaan",IF(BE79&lt;45%,"Proses Desain",IF(BE79=45%,"Selesai Desain",IF(BE79&lt;80%,"Proses Pengembangan",IF(BE79=80%,"Selesai Pengembangan",IF(BE79&lt;87.5%,"Proses SIT",IF(BE79=87.5%,"Selesai SIT",IF(BE79&lt;95%,"Proses UAT",IF(BE79=95%,"Selesai UAT",IF(BE79&lt;100%,"Proses Implementasi","Selesai Implementasi"))))))))))))))))))))))</f>
        <v>Selesai Implementasi</v>
      </c>
      <c r="AT79" s="63" t="str">
        <f t="shared" ref="AT79:AT116" si="222">IF(BF79=0%,"Not Started",IF(BF79&lt;5%,"Proses RBT-RBB",IF(BF79=5%,"Selesai RBT-RBB",IF(BF79&lt;10%,"Proses RBT-RBL",IF(BF79=10%,"Selesai RBT-RBL",IF(BF79&lt;15%,"Proses RBT-RBTD",IF(BF79=15%,"Selesai RBT-RBTD",IF(BF79&lt;20%,"Proses RPP",IF(BF79=20%,"Selesai RPP",IF(BF79&lt;25%,"Proses KAK",IF(BF79=25%,"Selesai KAK",IF(BF79&lt;30%,"Proses Pengadaan",IF(BF79=30%,"Selesai Pengadaan",IF(BF79&lt;45%,"Proses Desain",IF(BF79=45%,"Selesai Desain",IF(BF79&lt;80%,"Proses Pengembangan",IF(BF79=80%,"Selesai Pengembangan",IF(BF79&lt;87.5%,"Proses SIT",IF(BF79=87.5%,"Selesai SIT",IF(BF79&lt;95%,"Proses UAT",IF(BF79=95%,"Selesai UAT",IF(BF79&lt;100%,"Proses Implementasi","Selesai Implementasi"))))))))))))))))))))))</f>
        <v>Selesai Implementasi</v>
      </c>
      <c r="AU79" s="63" t="str">
        <f t="shared" ref="AU79:AU116" si="223">IF(BG79=0%,"Not Started",IF(BG79&lt;5%,"Proses RBT-RBB",IF(BG79=5%,"Selesai RBT-RBB",IF(BG79&lt;10%,"Proses RBT-RBL",IF(BG79=10%,"Selesai RBT-RBL",IF(BG79&lt;15%,"Proses RBT-RBTD",IF(BG79=15%,"Selesai RBT-RBTD",IF(BG79&lt;20%,"Proses RPP",IF(BG79=20%,"Selesai RPP",IF(BG79&lt;25%,"Proses KAK",IF(BG79=25%,"Selesai KAK",IF(BG79&lt;30%,"Proses Pengadaan",IF(BG79=30%,"Selesai Pengadaan",IF(BG79&lt;45%,"Proses Desain",IF(BG79=45%,"Selesai Desain",IF(BG79&lt;80%,"Proses Pengembangan",IF(BG79=80%,"Selesai Pengembangan",IF(BG79&lt;87.5%,"Proses SIT",IF(BG79=87.5%,"Selesai SIT",IF(BG79&lt;95%,"Proses UAT",IF(BG79=95%,"Selesai UAT",IF(BG79&lt;100%,"Proses Implementasi","Selesai Implementasi"))))))))))))))))))))))</f>
        <v>Selesai Implementasi</v>
      </c>
      <c r="AV79" s="63" t="str">
        <f t="shared" ref="AV79:AV116" si="224">IF(BH79=0%,"Not Started",IF(BH79&lt;5%,"Proses RBT-RBB",IF(BH79=5%,"Selesai RBT-RBB",IF(BH79&lt;10%,"Proses RBT-RBL",IF(BH79=10%,"Selesai RBT-RBL",IF(BH79&lt;15%,"Proses RBT-RBTD",IF(BH79=15%,"Selesai RBT-RBTD",IF(BH79&lt;20%,"Proses RPP",IF(BH79=20%,"Selesai RPP",IF(BH79&lt;25%,"Proses KAK",IF(BH79=25%,"Selesai KAK",IF(BH79&lt;30%,"Proses Pengadaan",IF(BH79=30%,"Selesai Pengadaan",IF(BH79&lt;45%,"Proses Desain",IF(BH79=45%,"Selesai Desain",IF(BH79&lt;80%,"Proses Pengembangan",IF(BH79=80%,"Selesai Pengembangan",IF(BH79&lt;87.5%,"Proses SIT",IF(BH79=87.5%,"Selesai SIT",IF(BH79&lt;95%,"Proses UAT",IF(BH79=95%,"Selesai UAT",IF(BH79&lt;100%,"Proses Implementasi","Selesai Implementasi"))))))))))))))))))))))</f>
        <v>Selesai Implementasi</v>
      </c>
      <c r="AW79" s="63" t="str">
        <f t="shared" ref="AW79:AW116" si="225">IF(BI79=0%,"Not Started",IF(BI79&lt;5%,"Proses RBT-RBB",IF(BI79=5%,"Selesai RBT-RBB",IF(BI79&lt;10%,"Proses RBT-RBL",IF(BI79=10%,"Selesai RBT-RBL",IF(BI79&lt;15%,"Proses RBT-RBTD",IF(BI79=15%,"Selesai RBT-RBTD",IF(BI79&lt;20%,"Proses RPP",IF(BI79=20%,"Selesai RPP",IF(BI79&lt;25%,"Proses KAK",IF(BI79=25%,"Selesai KAK",IF(BI79&lt;30%,"Proses Pengadaan",IF(BI79=30%,"Selesai Pengadaan",IF(BI79&lt;45%,"Proses Desain",IF(BI79=45%,"Selesai Desain",IF(BI79&lt;80%,"Proses Pengembangan",IF(BI79=80%,"Selesai Pengembangan",IF(BI79&lt;87.5%,"Proses SIT",IF(BI79=87.5%,"Selesai SIT",IF(BI79&lt;95%,"Proses UAT",IF(BI79=95%,"Selesai UAT",IF(BI79&lt;100%,"Proses Implementasi","Selesai Implementasi"))))))))))))))))))))))</f>
        <v>Selesai Implementasi</v>
      </c>
      <c r="AX79" s="63" t="str">
        <f t="shared" ref="AX79:AX116" si="226">IF(BJ79=0%,"Not Started",IF(BJ79&lt;5%,"Proses RBT-RBB",IF(BJ79=5%,"Selesai RBT-RBB",IF(BJ79&lt;10%,"Proses RBT-RBL",IF(BJ79=10%,"Selesai RBT-RBL",IF(BJ79&lt;15%,"Proses RBT-RBTD",IF(BJ79=15%,"Selesai RBT-RBTD",IF(BJ79&lt;20%,"Proses RPP",IF(BJ79=20%,"Selesai RPP",IF(BJ79&lt;25%,"Proses KAK",IF(BJ79=25%,"Selesai KAK",IF(BJ79&lt;30%,"Proses Pengadaan",IF(BJ79=30%,"Selesai Pengadaan",IF(BJ79&lt;45%,"Proses Desain",IF(BJ79=45%,"Selesai Desain",IF(BJ79&lt;80%,"Proses Pengembangan",IF(BJ79=80%,"Selesai Pengembangan",IF(BJ79&lt;87.5%,"Proses SIT",IF(BJ79=87.5%,"Selesai SIT",IF(BJ79&lt;95%,"Proses UAT",IF(BJ79=95%,"Selesai UAT",IF(BJ79&lt;100%,"Proses Implementasi","Selesai Implementasi"))))))))))))))))))))))</f>
        <v>Selesai Implementasi</v>
      </c>
      <c r="AY79" s="63" t="str">
        <f t="shared" ref="AY79:AY116" si="227">IF(BK79=0%,"Not Started",IF(BK79&lt;5%,"Proses RBT-RBB",IF(BK79=5%,"Selesai RBT-RBB",IF(BK79&lt;10%,"Proses RBT-RBL",IF(BK79=10%,"Selesai RBT-RBL",IF(BK79&lt;15%,"Proses RBT-RBTD",IF(BK79=15%,"Selesai RBT-RBTD",IF(BK79&lt;20%,"Proses RPP",IF(BK79=20%,"Selesai RPP",IF(BK79&lt;25%,"Proses KAK",IF(BK79=25%,"Selesai KAK",IF(BK79&lt;30%,"Proses Pengadaan",IF(BK79=30%,"Selesai Pengadaan",IF(BK79&lt;45%,"Proses Desain",IF(BK79=45%,"Selesai Desain",IF(BK79&lt;80%,"Proses Pengembangan",IF(BK79=80%,"Selesai Pengembangan",IF(BK79&lt;87.5%,"Proses SIT",IF(BK79=87.5%,"Selesai SIT",IF(BK79&lt;95%,"Proses UAT",IF(BK79=95%,"Selesai UAT",IF(BK79&lt;100%,"Proses Implementasi","Selesai Implementasi"))))))))))))))))))))))</f>
        <v>Selesai Implementasi</v>
      </c>
      <c r="AZ79" s="63" t="str">
        <f t="shared" ref="AZ79:AZ116" si="228">IF(BL79=0%,"Not Started",IF(BL79&lt;5%,"Proses RBT-RBB",IF(BL79=5%,"Selesai RBT-RBB",IF(BL79&lt;10%,"Proses RBT-RBL",IF(BL79=10%,"Selesai RBT-RBL",IF(BL79&lt;15%,"Proses RBT-RBTD",IF(BL79=15%,"Selesai RBT-RBTD",IF(BL79&lt;20%,"Proses RPP",IF(BL79=20%,"Selesai RPP",IF(BL79&lt;25%,"Proses KAK",IF(BL79=25%,"Selesai KAK",IF(BL79&lt;30%,"Proses Pengadaan",IF(BL79=30%,"Selesai Pengadaan",IF(BL79&lt;45%,"Proses Desain",IF(BL79=45%,"Selesai Desain",IF(BL79&lt;80%,"Proses Pengembangan",IF(BL79=80%,"Selesai Pengembangan",IF(BL79&lt;87.5%,"Proses SIT",IF(BL79=87.5%,"Selesai SIT",IF(BL79&lt;95%,"Proses UAT",IF(BL79=95%,"Selesai UAT",IF(BL79&lt;100%,"Proses Implementasi","Selesai Implementasi"))))))))))))))))))))))</f>
        <v>Selesai Implementasi</v>
      </c>
      <c r="BA79" s="63" t="str">
        <f t="shared" ref="BA79:BA116" si="229">IF(BM79=0%,"Not Started",IF(BM79&lt;5%,"Proses RBT-RBB",IF(BM79=5%,"Selesai RBT-RBB",IF(BM79&lt;10%,"Proses RBT-RBL",IF(BM79=10%,"Selesai RBT-RBL",IF(BM79&lt;15%,"Proses RBT-RBTD",IF(BM79=15%,"Selesai RBT-RBTD",IF(BM79&lt;20%,"Proses RPP",IF(BM79=20%,"Selesai RPP",IF(BM79&lt;25%,"Proses KAK",IF(BM79=25%,"Selesai KAK",IF(BM79&lt;30%,"Proses Pengadaan",IF(BM79=30%,"Selesai Pengadaan",IF(BM79&lt;45%,"Proses Desain",IF(BM79=45%,"Selesai Desain",IF(BM79&lt;80%,"Proses Pengembangan",IF(BM79=80%,"Selesai Pengembangan",IF(BM79&lt;87.5%,"Proses SIT",IF(BM79=87.5%,"Selesai SIT",IF(BM79&lt;95%,"Proses UAT",IF(BM79=95%,"Selesai UAT",IF(BM79&lt;100%,"Proses Implementasi","Selesai Implementasi"))))))))))))))))))))))</f>
        <v>Selesai Implementasi</v>
      </c>
      <c r="BB79" s="63" t="str">
        <f t="shared" si="220"/>
        <v>Selesai Implementasi</v>
      </c>
      <c r="BC79" s="63" t="str">
        <f t="shared" si="217"/>
        <v>Selesai Implementasi</v>
      </c>
      <c r="BD79" s="63" t="str">
        <f t="shared" si="167"/>
        <v>Selesai Implementasi</v>
      </c>
      <c r="BE79" s="43">
        <v>1</v>
      </c>
      <c r="BF79" s="43">
        <v>1</v>
      </c>
      <c r="BG79" s="43">
        <v>1</v>
      </c>
      <c r="BH79" s="43">
        <v>1</v>
      </c>
      <c r="BI79" s="43">
        <v>1</v>
      </c>
      <c r="BJ79" s="43">
        <v>1</v>
      </c>
      <c r="BK79" s="43">
        <v>1</v>
      </c>
      <c r="BL79" s="43">
        <v>1</v>
      </c>
      <c r="BM79" s="43">
        <v>1</v>
      </c>
      <c r="BN79" s="43">
        <v>1</v>
      </c>
      <c r="BO79" s="43">
        <v>1</v>
      </c>
      <c r="BP79" s="43">
        <v>1</v>
      </c>
      <c r="BQ79" s="63" t="str">
        <f t="shared" si="168"/>
        <v>Selesai Implementasi</v>
      </c>
      <c r="BR79" s="63" t="str">
        <f t="shared" si="169"/>
        <v>Not Started</v>
      </c>
      <c r="BS79" s="63" t="str">
        <f t="shared" si="170"/>
        <v>Not Started</v>
      </c>
      <c r="BT79" s="63" t="str">
        <f t="shared" si="171"/>
        <v>Not Started</v>
      </c>
      <c r="BU79" s="63" t="str">
        <f t="shared" si="172"/>
        <v>Not Started</v>
      </c>
      <c r="BV79" s="63" t="str">
        <f t="shared" si="173"/>
        <v>Not Started</v>
      </c>
      <c r="BW79" s="63" t="str">
        <f t="shared" si="174"/>
        <v>Not Started</v>
      </c>
      <c r="BX79" s="63" t="str">
        <f t="shared" si="175"/>
        <v>Not Started</v>
      </c>
      <c r="BY79" s="63" t="str">
        <f t="shared" si="176"/>
        <v>Not Started</v>
      </c>
      <c r="BZ79" s="63" t="str">
        <f t="shared" si="177"/>
        <v>Not Started</v>
      </c>
      <c r="CA79" s="63" t="str">
        <f t="shared" si="178"/>
        <v>Not Started</v>
      </c>
      <c r="CB79" s="63" t="str">
        <f t="shared" si="179"/>
        <v>Not Started</v>
      </c>
      <c r="CC79" s="44">
        <f t="shared" si="216"/>
        <v>0.99999999999999989</v>
      </c>
      <c r="CD79" s="44"/>
      <c r="CE79" s="44"/>
      <c r="CF79" s="44"/>
      <c r="CG79" s="44"/>
      <c r="CH79" s="44"/>
      <c r="CI79" s="44"/>
      <c r="CJ79" s="44"/>
      <c r="CK79" s="44"/>
      <c r="CL79" s="44"/>
      <c r="CM79" s="44"/>
      <c r="CN79" s="44"/>
      <c r="CO79" s="45">
        <f t="shared" si="181"/>
        <v>0.99999999999999989</v>
      </c>
      <c r="CP79" s="45">
        <f t="shared" si="182"/>
        <v>0</v>
      </c>
      <c r="CQ79" s="45">
        <f t="shared" si="183"/>
        <v>0</v>
      </c>
      <c r="CR79" s="45">
        <f t="shared" si="184"/>
        <v>0</v>
      </c>
      <c r="CS79" s="45">
        <f t="shared" si="185"/>
        <v>0</v>
      </c>
      <c r="CT79" s="45">
        <f t="shared" si="186"/>
        <v>0</v>
      </c>
      <c r="CU79" s="45">
        <f t="shared" si="187"/>
        <v>0</v>
      </c>
      <c r="CV79" s="45">
        <f t="shared" si="188"/>
        <v>0</v>
      </c>
      <c r="CW79" s="45">
        <f t="shared" si="189"/>
        <v>0</v>
      </c>
      <c r="CX79" s="45">
        <f t="shared" si="190"/>
        <v>0</v>
      </c>
      <c r="CY79" s="45">
        <f t="shared" si="218"/>
        <v>0</v>
      </c>
      <c r="CZ79" s="45"/>
      <c r="DA79" s="45" t="str">
        <f t="shared" si="191"/>
        <v>DONE</v>
      </c>
      <c r="DB79" s="45" t="str">
        <f t="shared" si="192"/>
        <v>BS</v>
      </c>
      <c r="DC79" s="45" t="str">
        <f t="shared" si="193"/>
        <v>BS</v>
      </c>
      <c r="DD79" s="45" t="str">
        <f t="shared" si="194"/>
        <v>BS</v>
      </c>
      <c r="DE79" s="45" t="str">
        <f t="shared" si="195"/>
        <v>BS</v>
      </c>
      <c r="DF79" s="45" t="str">
        <f t="shared" si="196"/>
        <v>BS</v>
      </c>
      <c r="DG79" s="45" t="str">
        <f t="shared" si="197"/>
        <v>BS</v>
      </c>
      <c r="DH79" s="45" t="str">
        <f t="shared" si="198"/>
        <v>BS</v>
      </c>
      <c r="DI79" s="45" t="str">
        <f t="shared" si="199"/>
        <v>BS</v>
      </c>
      <c r="DJ79" s="45" t="str">
        <f t="shared" si="200"/>
        <v>BS</v>
      </c>
      <c r="DK79" s="45" t="str">
        <f t="shared" si="219"/>
        <v>BS</v>
      </c>
      <c r="DL79" s="45" t="str">
        <f t="shared" si="201"/>
        <v>BS</v>
      </c>
      <c r="DM79" s="45">
        <f t="shared" si="202"/>
        <v>0.99999999999999989</v>
      </c>
      <c r="DN79" s="45">
        <f t="shared" si="203"/>
        <v>0</v>
      </c>
      <c r="DO79" s="45">
        <f t="shared" si="204"/>
        <v>0</v>
      </c>
      <c r="DP79" s="45">
        <f t="shared" si="205"/>
        <v>0</v>
      </c>
      <c r="DQ79" s="45">
        <f t="shared" si="206"/>
        <v>0</v>
      </c>
      <c r="DR79" s="45">
        <f t="shared" si="207"/>
        <v>0</v>
      </c>
      <c r="DS79" s="45">
        <f t="shared" si="208"/>
        <v>0</v>
      </c>
      <c r="DT79" s="45">
        <f t="shared" si="209"/>
        <v>0</v>
      </c>
      <c r="DU79" s="45">
        <f t="shared" si="210"/>
        <v>0</v>
      </c>
      <c r="DV79" s="45">
        <f t="shared" si="211"/>
        <v>0</v>
      </c>
      <c r="DW79" s="45">
        <f t="shared" si="212"/>
        <v>0</v>
      </c>
      <c r="DX79" s="45">
        <f t="shared" si="213"/>
        <v>0</v>
      </c>
      <c r="DY79" s="46">
        <v>1</v>
      </c>
      <c r="DZ79" s="46">
        <v>1</v>
      </c>
      <c r="EA79" s="46">
        <v>1</v>
      </c>
      <c r="EB79" s="46">
        <v>1</v>
      </c>
      <c r="EC79" s="46">
        <v>1</v>
      </c>
      <c r="ED79" s="46">
        <v>1</v>
      </c>
      <c r="EE79" s="46">
        <v>1</v>
      </c>
      <c r="EF79" s="46">
        <v>1</v>
      </c>
      <c r="EG79" s="41">
        <v>1</v>
      </c>
      <c r="EH79" s="205" t="s">
        <v>659</v>
      </c>
      <c r="EI79" s="222"/>
      <c r="EJ79" s="59">
        <f t="shared" si="214"/>
        <v>45961</v>
      </c>
      <c r="EK79" s="229"/>
      <c r="EL79" s="59">
        <v>45452</v>
      </c>
      <c r="EM79" s="229"/>
      <c r="EN79" s="222" t="s">
        <v>660</v>
      </c>
      <c r="EO79" s="222" t="s">
        <v>661</v>
      </c>
      <c r="EP79" s="222"/>
      <c r="EQ79" s="231"/>
      <c r="ER79" s="213" t="s">
        <v>662</v>
      </c>
      <c r="ES79" s="220" t="s">
        <v>663</v>
      </c>
      <c r="ET79" s="220" t="s">
        <v>664</v>
      </c>
      <c r="EU79" s="220" t="s">
        <v>665</v>
      </c>
      <c r="EV79" s="220"/>
      <c r="EW79" s="220"/>
      <c r="EX79" s="220"/>
      <c r="EY79" s="220"/>
      <c r="EZ79" s="220"/>
      <c r="FA79" s="222" t="s">
        <v>666</v>
      </c>
      <c r="FB79" s="222"/>
      <c r="FC79" s="222"/>
      <c r="FD79" s="222"/>
      <c r="FE79" s="220"/>
      <c r="FF79" s="220"/>
      <c r="FG79" s="222"/>
      <c r="FH79" s="220"/>
      <c r="FI79" s="220"/>
      <c r="FJ79" s="220"/>
      <c r="FK79" s="220"/>
      <c r="FL79" s="215"/>
      <c r="FM79" s="172" t="s">
        <v>547</v>
      </c>
      <c r="FN79" s="172" t="s">
        <v>180</v>
      </c>
      <c r="FO79" s="172" t="s">
        <v>181</v>
      </c>
      <c r="FP79" s="172" t="s">
        <v>548</v>
      </c>
      <c r="FQ79" s="172" t="s">
        <v>290</v>
      </c>
      <c r="FR79" s="289" t="s">
        <v>184</v>
      </c>
      <c r="FS79" s="267" t="s">
        <v>550</v>
      </c>
      <c r="FT79" s="267"/>
      <c r="FU79" s="48">
        <v>10</v>
      </c>
    </row>
    <row r="80" spans="1:177" s="16" customFormat="1" ht="409.5">
      <c r="A80" s="63" t="s">
        <v>667</v>
      </c>
      <c r="B80" s="48" t="s">
        <v>468</v>
      </c>
      <c r="C80" s="64" t="s">
        <v>206</v>
      </c>
      <c r="D80" s="225" t="s">
        <v>207</v>
      </c>
      <c r="E80" s="63" t="s">
        <v>668</v>
      </c>
      <c r="F80" s="227">
        <v>1</v>
      </c>
      <c r="G80" s="65" t="s">
        <v>669</v>
      </c>
      <c r="H80" s="222" t="s">
        <v>670</v>
      </c>
      <c r="I80" s="65" t="s">
        <v>671</v>
      </c>
      <c r="J80" s="48">
        <v>2024</v>
      </c>
      <c r="K80" s="48">
        <v>2025</v>
      </c>
      <c r="L80" s="48" t="s">
        <v>172</v>
      </c>
      <c r="M80" s="48" t="s">
        <v>173</v>
      </c>
      <c r="N80" s="48" t="s">
        <v>174</v>
      </c>
      <c r="O80" s="63" t="s">
        <v>672</v>
      </c>
      <c r="P80" s="63" t="s">
        <v>458</v>
      </c>
      <c r="Q80" s="63" t="s">
        <v>673</v>
      </c>
      <c r="R80" s="63" t="s">
        <v>669</v>
      </c>
      <c r="S80" s="63" t="str">
        <f t="shared" si="153"/>
        <v>Selesai Implementasi</v>
      </c>
      <c r="T80" s="63" t="str">
        <f t="shared" si="145"/>
        <v>DONE</v>
      </c>
      <c r="U80" s="63" t="str">
        <f t="shared" si="154"/>
        <v>Rangga Dhaniarto</v>
      </c>
      <c r="V80" s="67">
        <f t="shared" si="155"/>
        <v>0.99999999999999989</v>
      </c>
      <c r="W80" s="66" t="s">
        <v>380</v>
      </c>
      <c r="X80" s="59">
        <f t="shared" si="156"/>
        <v>45743</v>
      </c>
      <c r="Y80" s="68">
        <v>0</v>
      </c>
      <c r="Z80" s="48"/>
      <c r="AA80" s="271"/>
      <c r="AB80" s="235"/>
      <c r="AC80" s="42"/>
      <c r="AD80" s="42"/>
      <c r="AE80" s="42"/>
      <c r="AF80" s="42"/>
      <c r="AG80" s="42"/>
      <c r="AH80" s="42"/>
      <c r="AI80" s="42">
        <v>45726</v>
      </c>
      <c r="AJ80" s="42">
        <v>45727</v>
      </c>
      <c r="AK80" s="42">
        <v>45728</v>
      </c>
      <c r="AL80" s="42">
        <v>45730</v>
      </c>
      <c r="AM80" s="42"/>
      <c r="AN80" s="42"/>
      <c r="AO80" s="42">
        <v>45733</v>
      </c>
      <c r="AP80" s="42">
        <v>45741</v>
      </c>
      <c r="AQ80" s="42">
        <v>45742</v>
      </c>
      <c r="AR80" s="339">
        <v>45743</v>
      </c>
      <c r="AS80" s="63" t="str">
        <f t="shared" si="221"/>
        <v>Selesai Implementasi</v>
      </c>
      <c r="AT80" s="63" t="str">
        <f t="shared" si="222"/>
        <v>Selesai Implementasi</v>
      </c>
      <c r="AU80" s="63" t="str">
        <f t="shared" si="223"/>
        <v>Selesai Implementasi</v>
      </c>
      <c r="AV80" s="63" t="str">
        <f t="shared" si="224"/>
        <v>Selesai Implementasi</v>
      </c>
      <c r="AW80" s="63" t="str">
        <f t="shared" si="225"/>
        <v>Selesai Implementasi</v>
      </c>
      <c r="AX80" s="63" t="str">
        <f t="shared" si="226"/>
        <v>Selesai Implementasi</v>
      </c>
      <c r="AY80" s="63" t="str">
        <f t="shared" si="227"/>
        <v>Selesai Implementasi</v>
      </c>
      <c r="AZ80" s="63" t="str">
        <f t="shared" si="228"/>
        <v>Selesai Implementasi</v>
      </c>
      <c r="BA80" s="63" t="str">
        <f t="shared" si="229"/>
        <v>Selesai Implementasi</v>
      </c>
      <c r="BB80" s="63" t="str">
        <f t="shared" si="220"/>
        <v>Selesai Implementasi</v>
      </c>
      <c r="BC80" s="63" t="str">
        <f t="shared" si="217"/>
        <v>Selesai Implementasi</v>
      </c>
      <c r="BD80" s="63" t="str">
        <f t="shared" si="167"/>
        <v>Selesai Implementasi</v>
      </c>
      <c r="BE80" s="43">
        <v>1</v>
      </c>
      <c r="BF80" s="43">
        <v>1</v>
      </c>
      <c r="BG80" s="43">
        <v>1</v>
      </c>
      <c r="BH80" s="43">
        <v>1</v>
      </c>
      <c r="BI80" s="43">
        <v>1</v>
      </c>
      <c r="BJ80" s="43">
        <v>1</v>
      </c>
      <c r="BK80" s="43">
        <v>1</v>
      </c>
      <c r="BL80" s="43">
        <v>1</v>
      </c>
      <c r="BM80" s="43">
        <v>1</v>
      </c>
      <c r="BN80" s="43">
        <v>1</v>
      </c>
      <c r="BO80" s="43">
        <v>1</v>
      </c>
      <c r="BP80" s="43">
        <v>1</v>
      </c>
      <c r="BQ80" s="63" t="str">
        <f t="shared" si="168"/>
        <v>Selesai Implementasi</v>
      </c>
      <c r="BR80" s="63" t="str">
        <f t="shared" si="169"/>
        <v>Not Started</v>
      </c>
      <c r="BS80" s="63" t="str">
        <f t="shared" si="170"/>
        <v>Not Started</v>
      </c>
      <c r="BT80" s="63" t="str">
        <f t="shared" si="171"/>
        <v>Not Started</v>
      </c>
      <c r="BU80" s="63" t="str">
        <f t="shared" si="172"/>
        <v>Not Started</v>
      </c>
      <c r="BV80" s="63" t="str">
        <f t="shared" si="173"/>
        <v>Not Started</v>
      </c>
      <c r="BW80" s="63" t="str">
        <f t="shared" si="174"/>
        <v>Not Started</v>
      </c>
      <c r="BX80" s="63" t="str">
        <f t="shared" si="175"/>
        <v>Not Started</v>
      </c>
      <c r="BY80" s="63" t="str">
        <f t="shared" si="176"/>
        <v>Not Started</v>
      </c>
      <c r="BZ80" s="63" t="str">
        <f t="shared" si="177"/>
        <v>Not Started</v>
      </c>
      <c r="CA80" s="63" t="str">
        <f t="shared" si="178"/>
        <v>Not Started</v>
      </c>
      <c r="CB80" s="63" t="str">
        <f t="shared" si="179"/>
        <v>Not Started</v>
      </c>
      <c r="CC80" s="44">
        <f t="shared" si="216"/>
        <v>0.99999999999999989</v>
      </c>
      <c r="CD80" s="44"/>
      <c r="CE80" s="44"/>
      <c r="CF80" s="44"/>
      <c r="CG80" s="44"/>
      <c r="CH80" s="44"/>
      <c r="CI80" s="44"/>
      <c r="CJ80" s="44"/>
      <c r="CK80" s="44"/>
      <c r="CL80" s="44"/>
      <c r="CM80" s="44"/>
      <c r="CN80" s="44"/>
      <c r="CO80" s="45">
        <f t="shared" si="181"/>
        <v>0.99999999999999989</v>
      </c>
      <c r="CP80" s="45">
        <f t="shared" si="182"/>
        <v>0</v>
      </c>
      <c r="CQ80" s="45">
        <f t="shared" si="183"/>
        <v>0</v>
      </c>
      <c r="CR80" s="45">
        <f t="shared" si="184"/>
        <v>0</v>
      </c>
      <c r="CS80" s="45">
        <f t="shared" si="185"/>
        <v>0</v>
      </c>
      <c r="CT80" s="45">
        <f t="shared" si="186"/>
        <v>0</v>
      </c>
      <c r="CU80" s="45">
        <f t="shared" si="187"/>
        <v>0</v>
      </c>
      <c r="CV80" s="45">
        <f t="shared" si="188"/>
        <v>0</v>
      </c>
      <c r="CW80" s="45">
        <f t="shared" si="189"/>
        <v>0</v>
      </c>
      <c r="CX80" s="45">
        <f t="shared" si="190"/>
        <v>0</v>
      </c>
      <c r="CY80" s="45">
        <f t="shared" si="218"/>
        <v>0</v>
      </c>
      <c r="CZ80" s="45"/>
      <c r="DA80" s="45" t="str">
        <f t="shared" si="191"/>
        <v>DONE</v>
      </c>
      <c r="DB80" s="45" t="str">
        <f t="shared" si="192"/>
        <v>BS</v>
      </c>
      <c r="DC80" s="45" t="str">
        <f t="shared" si="193"/>
        <v>BS</v>
      </c>
      <c r="DD80" s="45" t="str">
        <f t="shared" si="194"/>
        <v>BS</v>
      </c>
      <c r="DE80" s="45" t="str">
        <f t="shared" si="195"/>
        <v>BS</v>
      </c>
      <c r="DF80" s="45" t="str">
        <f t="shared" si="196"/>
        <v>BS</v>
      </c>
      <c r="DG80" s="45" t="str">
        <f t="shared" si="197"/>
        <v>BS</v>
      </c>
      <c r="DH80" s="45" t="str">
        <f t="shared" si="198"/>
        <v>BS</v>
      </c>
      <c r="DI80" s="45" t="str">
        <f t="shared" si="199"/>
        <v>BS</v>
      </c>
      <c r="DJ80" s="45" t="str">
        <f t="shared" si="200"/>
        <v>BS</v>
      </c>
      <c r="DK80" s="45" t="str">
        <f t="shared" si="219"/>
        <v>BS</v>
      </c>
      <c r="DL80" s="45" t="str">
        <f t="shared" si="201"/>
        <v>BS</v>
      </c>
      <c r="DM80" s="45">
        <f t="shared" si="202"/>
        <v>0.99999999999999989</v>
      </c>
      <c r="DN80" s="45">
        <f t="shared" si="203"/>
        <v>0</v>
      </c>
      <c r="DO80" s="45">
        <f t="shared" si="204"/>
        <v>0</v>
      </c>
      <c r="DP80" s="45">
        <f t="shared" si="205"/>
        <v>0</v>
      </c>
      <c r="DQ80" s="45">
        <f t="shared" si="206"/>
        <v>0</v>
      </c>
      <c r="DR80" s="45">
        <f t="shared" si="207"/>
        <v>0</v>
      </c>
      <c r="DS80" s="45">
        <f t="shared" si="208"/>
        <v>0</v>
      </c>
      <c r="DT80" s="45">
        <f t="shared" si="209"/>
        <v>0</v>
      </c>
      <c r="DU80" s="45">
        <f t="shared" si="210"/>
        <v>0</v>
      </c>
      <c r="DV80" s="45">
        <f t="shared" si="211"/>
        <v>0</v>
      </c>
      <c r="DW80" s="45">
        <f t="shared" si="212"/>
        <v>0</v>
      </c>
      <c r="DX80" s="45">
        <f t="shared" si="213"/>
        <v>0</v>
      </c>
      <c r="DY80" s="46">
        <v>1</v>
      </c>
      <c r="DZ80" s="46">
        <v>1</v>
      </c>
      <c r="EA80" s="41">
        <v>1</v>
      </c>
      <c r="EB80" s="41">
        <v>1</v>
      </c>
      <c r="EC80" s="46">
        <v>1</v>
      </c>
      <c r="ED80" s="41">
        <v>1</v>
      </c>
      <c r="EE80" s="41">
        <v>1</v>
      </c>
      <c r="EF80" s="46">
        <v>1</v>
      </c>
      <c r="EG80" s="46">
        <v>1</v>
      </c>
      <c r="EH80" s="75" t="s">
        <v>674</v>
      </c>
      <c r="EI80" s="42">
        <v>45742</v>
      </c>
      <c r="EJ80" s="59">
        <f t="shared" si="214"/>
        <v>45743</v>
      </c>
      <c r="EK80" s="229"/>
      <c r="EL80" s="230"/>
      <c r="EM80" s="229"/>
      <c r="EN80" s="222" t="s">
        <v>675</v>
      </c>
      <c r="EO80" s="222" t="s">
        <v>676</v>
      </c>
      <c r="EP80" s="222"/>
      <c r="EQ80" s="231"/>
      <c r="ER80" s="213"/>
      <c r="ES80" s="220"/>
      <c r="ET80" s="220"/>
      <c r="EU80" s="220"/>
      <c r="EV80" s="220"/>
      <c r="EW80" s="220"/>
      <c r="EX80" s="220"/>
      <c r="EY80" s="220"/>
      <c r="EZ80" s="220"/>
      <c r="FA80" s="220"/>
      <c r="FB80" s="222"/>
      <c r="FC80" s="222"/>
      <c r="FD80" s="222"/>
      <c r="FE80" s="220"/>
      <c r="FF80" s="220"/>
      <c r="FG80" s="222"/>
      <c r="FH80" s="220"/>
      <c r="FI80" s="220"/>
      <c r="FJ80" s="220"/>
      <c r="FK80" s="220"/>
      <c r="FL80" s="215"/>
      <c r="FM80" s="172" t="s">
        <v>749</v>
      </c>
      <c r="FN80" s="340" t="s">
        <v>563</v>
      </c>
      <c r="FO80" s="172"/>
      <c r="FP80" s="172" t="s">
        <v>686</v>
      </c>
      <c r="FQ80" s="172"/>
      <c r="FR80" s="289" t="s">
        <v>184</v>
      </c>
      <c r="FS80" s="267" t="s">
        <v>677</v>
      </c>
      <c r="FT80" s="267" t="s">
        <v>1505</v>
      </c>
      <c r="FU80" s="48">
        <v>5</v>
      </c>
    </row>
    <row r="81" spans="1:177" s="16" customFormat="1" ht="112">
      <c r="A81" s="63" t="s">
        <v>679</v>
      </c>
      <c r="B81" s="48" t="s">
        <v>468</v>
      </c>
      <c r="C81" s="64" t="s">
        <v>206</v>
      </c>
      <c r="D81" s="225" t="s">
        <v>207</v>
      </c>
      <c r="E81" s="63" t="s">
        <v>668</v>
      </c>
      <c r="F81" s="227">
        <f t="shared" ref="F81:F89" si="230">F80+1</f>
        <v>2</v>
      </c>
      <c r="G81" s="65" t="s">
        <v>669</v>
      </c>
      <c r="H81" s="222" t="s">
        <v>670</v>
      </c>
      <c r="I81" s="322" t="s">
        <v>680</v>
      </c>
      <c r="J81" s="48">
        <v>2024</v>
      </c>
      <c r="K81" s="48">
        <v>2025</v>
      </c>
      <c r="L81" s="48" t="s">
        <v>172</v>
      </c>
      <c r="M81" s="48" t="s">
        <v>173</v>
      </c>
      <c r="N81" s="48" t="s">
        <v>174</v>
      </c>
      <c r="O81" s="63" t="s">
        <v>672</v>
      </c>
      <c r="P81" s="63" t="s">
        <v>458</v>
      </c>
      <c r="Q81" s="63" t="s">
        <v>673</v>
      </c>
      <c r="R81" s="63" t="s">
        <v>669</v>
      </c>
      <c r="S81" s="63" t="str">
        <f t="shared" si="153"/>
        <v>Selesai Implementasi</v>
      </c>
      <c r="T81" s="63" t="str">
        <f t="shared" si="145"/>
        <v>DONE</v>
      </c>
      <c r="U81" s="63" t="str">
        <f t="shared" si="154"/>
        <v>Rangga Dhaniarto</v>
      </c>
      <c r="V81" s="67">
        <f t="shared" si="155"/>
        <v>0.99999999999999989</v>
      </c>
      <c r="W81" s="66" t="s">
        <v>380</v>
      </c>
      <c r="X81" s="59">
        <f t="shared" si="156"/>
        <v>45743</v>
      </c>
      <c r="Y81" s="68">
        <v>0</v>
      </c>
      <c r="Z81" s="48"/>
      <c r="AA81" s="271"/>
      <c r="AB81" s="235"/>
      <c r="AC81" s="42"/>
      <c r="AD81" s="42"/>
      <c r="AE81" s="42"/>
      <c r="AF81" s="42"/>
      <c r="AG81" s="42"/>
      <c r="AH81" s="42"/>
      <c r="AI81" s="42">
        <v>45729</v>
      </c>
      <c r="AJ81" s="42">
        <v>45730</v>
      </c>
      <c r="AK81" s="42">
        <v>45733</v>
      </c>
      <c r="AL81" s="42">
        <v>45736</v>
      </c>
      <c r="AM81" s="42"/>
      <c r="AN81" s="42"/>
      <c r="AO81" s="42">
        <v>45737</v>
      </c>
      <c r="AP81" s="42">
        <v>45741</v>
      </c>
      <c r="AQ81" s="42">
        <v>45742</v>
      </c>
      <c r="AR81" s="339">
        <v>45743</v>
      </c>
      <c r="AS81" s="63" t="str">
        <f t="shared" si="221"/>
        <v>Selesai Implementasi</v>
      </c>
      <c r="AT81" s="63" t="str">
        <f t="shared" si="222"/>
        <v>Selesai Implementasi</v>
      </c>
      <c r="AU81" s="63" t="str">
        <f t="shared" si="223"/>
        <v>Selesai Implementasi</v>
      </c>
      <c r="AV81" s="63" t="str">
        <f t="shared" si="224"/>
        <v>Selesai Implementasi</v>
      </c>
      <c r="AW81" s="63" t="str">
        <f t="shared" si="225"/>
        <v>Selesai Implementasi</v>
      </c>
      <c r="AX81" s="63" t="str">
        <f t="shared" si="226"/>
        <v>Selesai Implementasi</v>
      </c>
      <c r="AY81" s="63" t="str">
        <f t="shared" si="227"/>
        <v>Selesai Implementasi</v>
      </c>
      <c r="AZ81" s="63" t="str">
        <f t="shared" si="228"/>
        <v>Selesai Implementasi</v>
      </c>
      <c r="BA81" s="63" t="str">
        <f t="shared" si="229"/>
        <v>Selesai Implementasi</v>
      </c>
      <c r="BB81" s="63" t="str">
        <f t="shared" si="220"/>
        <v>Selesai Implementasi</v>
      </c>
      <c r="BC81" s="63" t="str">
        <f t="shared" si="217"/>
        <v>Selesai Implementasi</v>
      </c>
      <c r="BD81" s="63" t="str">
        <f t="shared" si="167"/>
        <v>Selesai Implementasi</v>
      </c>
      <c r="BE81" s="43">
        <v>1</v>
      </c>
      <c r="BF81" s="43">
        <v>1</v>
      </c>
      <c r="BG81" s="43">
        <v>1</v>
      </c>
      <c r="BH81" s="43">
        <v>1</v>
      </c>
      <c r="BI81" s="43">
        <v>1</v>
      </c>
      <c r="BJ81" s="43">
        <v>1</v>
      </c>
      <c r="BK81" s="43">
        <v>1</v>
      </c>
      <c r="BL81" s="43">
        <v>1</v>
      </c>
      <c r="BM81" s="43">
        <v>1</v>
      </c>
      <c r="BN81" s="43">
        <v>1</v>
      </c>
      <c r="BO81" s="43">
        <v>1</v>
      </c>
      <c r="BP81" s="43">
        <v>1</v>
      </c>
      <c r="BQ81" s="63" t="str">
        <f t="shared" si="168"/>
        <v>Selesai Implementasi</v>
      </c>
      <c r="BR81" s="63" t="str">
        <f t="shared" si="169"/>
        <v>Not Started</v>
      </c>
      <c r="BS81" s="63" t="str">
        <f t="shared" si="170"/>
        <v>Not Started</v>
      </c>
      <c r="BT81" s="63" t="str">
        <f t="shared" si="171"/>
        <v>Not Started</v>
      </c>
      <c r="BU81" s="63" t="str">
        <f t="shared" si="172"/>
        <v>Not Started</v>
      </c>
      <c r="BV81" s="63" t="str">
        <f t="shared" si="173"/>
        <v>Not Started</v>
      </c>
      <c r="BW81" s="63" t="str">
        <f t="shared" si="174"/>
        <v>Not Started</v>
      </c>
      <c r="BX81" s="63" t="str">
        <f t="shared" si="175"/>
        <v>Not Started</v>
      </c>
      <c r="BY81" s="63" t="str">
        <f t="shared" si="176"/>
        <v>Not Started</v>
      </c>
      <c r="BZ81" s="63" t="str">
        <f t="shared" si="177"/>
        <v>Not Started</v>
      </c>
      <c r="CA81" s="63" t="str">
        <f t="shared" si="178"/>
        <v>Not Started</v>
      </c>
      <c r="CB81" s="63" t="str">
        <f t="shared" si="179"/>
        <v>Not Started</v>
      </c>
      <c r="CC81" s="44">
        <f>(($DY81/100%)*15%)+(($DZ81/100%)*5%)+(($EA81/100%)*5%)+(($EB81/100%)*5%)+(($EC81/100%)*15%)+(($ED81/100%)*35%)+(($EE81/100%)*7.5%)+(($EF81/100%)*7.5%)+(($EG81/100%)*5%)</f>
        <v>0.99999999999999989</v>
      </c>
      <c r="CD81" s="44"/>
      <c r="CE81" s="44"/>
      <c r="CF81" s="44"/>
      <c r="CG81" s="44"/>
      <c r="CH81" s="44"/>
      <c r="CI81" s="44"/>
      <c r="CJ81" s="44"/>
      <c r="CK81" s="44"/>
      <c r="CL81" s="44"/>
      <c r="CM81" s="44"/>
      <c r="CN81" s="44"/>
      <c r="CO81" s="45">
        <f t="shared" si="181"/>
        <v>0.99999999999999989</v>
      </c>
      <c r="CP81" s="45">
        <f t="shared" si="182"/>
        <v>0</v>
      </c>
      <c r="CQ81" s="45">
        <f t="shared" si="183"/>
        <v>0</v>
      </c>
      <c r="CR81" s="45">
        <f t="shared" si="184"/>
        <v>0</v>
      </c>
      <c r="CS81" s="45">
        <f t="shared" si="185"/>
        <v>0</v>
      </c>
      <c r="CT81" s="45">
        <f t="shared" si="186"/>
        <v>0</v>
      </c>
      <c r="CU81" s="45">
        <f t="shared" si="187"/>
        <v>0</v>
      </c>
      <c r="CV81" s="45">
        <f t="shared" si="188"/>
        <v>0</v>
      </c>
      <c r="CW81" s="45">
        <f t="shared" si="189"/>
        <v>0</v>
      </c>
      <c r="CX81" s="45">
        <f t="shared" si="190"/>
        <v>0</v>
      </c>
      <c r="CY81" s="45">
        <f t="shared" si="218"/>
        <v>0</v>
      </c>
      <c r="CZ81" s="45"/>
      <c r="DA81" s="45" t="str">
        <f t="shared" si="191"/>
        <v>DONE</v>
      </c>
      <c r="DB81" s="45" t="str">
        <f t="shared" si="192"/>
        <v>BS</v>
      </c>
      <c r="DC81" s="45" t="str">
        <f t="shared" si="193"/>
        <v>BS</v>
      </c>
      <c r="DD81" s="45" t="str">
        <f t="shared" si="194"/>
        <v>BS</v>
      </c>
      <c r="DE81" s="45" t="str">
        <f t="shared" si="195"/>
        <v>BS</v>
      </c>
      <c r="DF81" s="45" t="str">
        <f t="shared" si="196"/>
        <v>BS</v>
      </c>
      <c r="DG81" s="45" t="str">
        <f t="shared" si="197"/>
        <v>BS</v>
      </c>
      <c r="DH81" s="45" t="str">
        <f t="shared" si="198"/>
        <v>BS</v>
      </c>
      <c r="DI81" s="45" t="str">
        <f t="shared" si="199"/>
        <v>BS</v>
      </c>
      <c r="DJ81" s="45" t="str">
        <f t="shared" si="200"/>
        <v>BS</v>
      </c>
      <c r="DK81" s="45" t="str">
        <f t="shared" si="219"/>
        <v>BS</v>
      </c>
      <c r="DL81" s="45" t="str">
        <f t="shared" si="201"/>
        <v>BS</v>
      </c>
      <c r="DM81" s="45">
        <f t="shared" si="202"/>
        <v>0.99999999999999989</v>
      </c>
      <c r="DN81" s="45">
        <f t="shared" si="203"/>
        <v>0</v>
      </c>
      <c r="DO81" s="45">
        <f t="shared" si="204"/>
        <v>0</v>
      </c>
      <c r="DP81" s="45">
        <f t="shared" si="205"/>
        <v>0</v>
      </c>
      <c r="DQ81" s="45">
        <f t="shared" si="206"/>
        <v>0</v>
      </c>
      <c r="DR81" s="45">
        <f t="shared" si="207"/>
        <v>0</v>
      </c>
      <c r="DS81" s="45">
        <f t="shared" si="208"/>
        <v>0</v>
      </c>
      <c r="DT81" s="45">
        <f t="shared" si="209"/>
        <v>0</v>
      </c>
      <c r="DU81" s="45">
        <f t="shared" si="210"/>
        <v>0</v>
      </c>
      <c r="DV81" s="45">
        <f t="shared" si="211"/>
        <v>0</v>
      </c>
      <c r="DW81" s="45">
        <f t="shared" si="212"/>
        <v>0</v>
      </c>
      <c r="DX81" s="45">
        <f t="shared" si="213"/>
        <v>0</v>
      </c>
      <c r="DY81" s="41">
        <v>1</v>
      </c>
      <c r="DZ81" s="41">
        <v>1</v>
      </c>
      <c r="EA81" s="41">
        <v>1</v>
      </c>
      <c r="EB81" s="41">
        <v>1</v>
      </c>
      <c r="EC81" s="41">
        <v>1</v>
      </c>
      <c r="ED81" s="41">
        <v>1</v>
      </c>
      <c r="EE81" s="41">
        <v>1</v>
      </c>
      <c r="EF81" s="41">
        <v>1</v>
      </c>
      <c r="EG81" s="41">
        <v>1</v>
      </c>
      <c r="EH81" s="75" t="s">
        <v>681</v>
      </c>
      <c r="EI81" s="42">
        <v>45741</v>
      </c>
      <c r="EJ81" s="59">
        <f t="shared" si="214"/>
        <v>45743</v>
      </c>
      <c r="EK81" s="229"/>
      <c r="EL81" s="230"/>
      <c r="EM81" s="229"/>
      <c r="EN81" s="222"/>
      <c r="EO81" s="222" t="s">
        <v>682</v>
      </c>
      <c r="EP81" s="222"/>
      <c r="EQ81" s="231"/>
      <c r="ER81" s="213"/>
      <c r="ES81" s="220"/>
      <c r="ET81" s="220"/>
      <c r="EU81" s="220"/>
      <c r="EV81" s="220"/>
      <c r="EW81" s="220"/>
      <c r="EX81" s="220"/>
      <c r="EY81" s="220"/>
      <c r="EZ81" s="220"/>
      <c r="FA81" s="220"/>
      <c r="FB81" s="222"/>
      <c r="FC81" s="222"/>
      <c r="FD81" s="222"/>
      <c r="FE81" s="220"/>
      <c r="FF81" s="220"/>
      <c r="FG81" s="222"/>
      <c r="FH81" s="220"/>
      <c r="FI81" s="220"/>
      <c r="FJ81" s="220"/>
      <c r="FK81" s="220"/>
      <c r="FL81" s="215"/>
      <c r="FM81" s="172" t="s">
        <v>749</v>
      </c>
      <c r="FN81" s="340" t="s">
        <v>563</v>
      </c>
      <c r="FO81" s="172"/>
      <c r="FP81" s="172" t="s">
        <v>1504</v>
      </c>
      <c r="FQ81" s="172"/>
      <c r="FR81" s="289" t="s">
        <v>184</v>
      </c>
      <c r="FS81" s="267" t="s">
        <v>677</v>
      </c>
      <c r="FT81" s="267" t="s">
        <v>1505</v>
      </c>
      <c r="FU81" s="48">
        <v>5</v>
      </c>
    </row>
    <row r="82" spans="1:177" s="16" customFormat="1" ht="112">
      <c r="A82" s="63" t="s">
        <v>683</v>
      </c>
      <c r="B82" s="48" t="s">
        <v>468</v>
      </c>
      <c r="C82" s="64" t="s">
        <v>206</v>
      </c>
      <c r="D82" s="225" t="s">
        <v>207</v>
      </c>
      <c r="E82" s="63" t="s">
        <v>668</v>
      </c>
      <c r="F82" s="227">
        <f t="shared" si="230"/>
        <v>3</v>
      </c>
      <c r="G82" s="65" t="s">
        <v>669</v>
      </c>
      <c r="H82" s="222" t="s">
        <v>670</v>
      </c>
      <c r="I82" s="65" t="s">
        <v>684</v>
      </c>
      <c r="J82" s="48">
        <v>2025</v>
      </c>
      <c r="K82" s="48">
        <v>2026</v>
      </c>
      <c r="L82" s="48" t="s">
        <v>172</v>
      </c>
      <c r="M82" s="48" t="s">
        <v>173</v>
      </c>
      <c r="N82" s="48" t="s">
        <v>174</v>
      </c>
      <c r="O82" s="63" t="s">
        <v>672</v>
      </c>
      <c r="P82" s="63" t="s">
        <v>458</v>
      </c>
      <c r="Q82" s="63" t="s">
        <v>673</v>
      </c>
      <c r="R82" s="63" t="s">
        <v>669</v>
      </c>
      <c r="S82" s="63" t="str">
        <f t="shared" si="153"/>
        <v>Proses RBT-RBTD</v>
      </c>
      <c r="T82" s="63" t="str">
        <f t="shared" si="145"/>
        <v>On Progress</v>
      </c>
      <c r="U82" s="63" t="str">
        <f t="shared" si="154"/>
        <v>Rangga Dhaniarto</v>
      </c>
      <c r="V82" s="67">
        <f t="shared" si="155"/>
        <v>0.115</v>
      </c>
      <c r="W82" s="66" t="s">
        <v>380</v>
      </c>
      <c r="X82" s="59">
        <f t="shared" si="156"/>
        <v>46203</v>
      </c>
      <c r="Y82" s="68">
        <v>0</v>
      </c>
      <c r="Z82" s="48"/>
      <c r="AA82" s="271"/>
      <c r="AB82" s="235" t="s">
        <v>560</v>
      </c>
      <c r="AC82" s="42"/>
      <c r="AD82" s="42"/>
      <c r="AE82" s="42"/>
      <c r="AF82" s="42"/>
      <c r="AG82" s="42"/>
      <c r="AH82" s="42"/>
      <c r="AI82" s="42">
        <v>46113</v>
      </c>
      <c r="AJ82" s="42">
        <v>46127</v>
      </c>
      <c r="AK82" s="42">
        <v>46128</v>
      </c>
      <c r="AL82" s="42">
        <v>46157</v>
      </c>
      <c r="AM82" s="42">
        <v>46158</v>
      </c>
      <c r="AN82" s="42">
        <v>46173</v>
      </c>
      <c r="AO82" s="42">
        <v>46174</v>
      </c>
      <c r="AP82" s="42">
        <v>46188</v>
      </c>
      <c r="AQ82" s="42">
        <v>46189</v>
      </c>
      <c r="AR82" s="42">
        <v>46203</v>
      </c>
      <c r="AS82" s="63" t="str">
        <f t="shared" si="221"/>
        <v>Proses RBT-RBTD</v>
      </c>
      <c r="AT82" s="63" t="str">
        <f t="shared" si="222"/>
        <v>Selesai RBT-RBTD</v>
      </c>
      <c r="AU82" s="63" t="str">
        <f t="shared" si="223"/>
        <v>Selesai RPP</v>
      </c>
      <c r="AV82" s="63" t="str">
        <f t="shared" si="224"/>
        <v>Selesai Desain</v>
      </c>
      <c r="AW82" s="63" t="str">
        <f t="shared" si="225"/>
        <v>Proses SIT</v>
      </c>
      <c r="AX82" s="63" t="str">
        <f t="shared" si="226"/>
        <v>Selesai Implementasi</v>
      </c>
      <c r="AY82" s="63" t="str">
        <f t="shared" si="227"/>
        <v>Selesai Implementasi</v>
      </c>
      <c r="AZ82" s="63" t="str">
        <f t="shared" si="228"/>
        <v>Selesai Implementasi</v>
      </c>
      <c r="BA82" s="63" t="str">
        <f t="shared" si="229"/>
        <v>Selesai Implementasi</v>
      </c>
      <c r="BB82" s="63" t="str">
        <f t="shared" si="220"/>
        <v>Selesai Implementasi</v>
      </c>
      <c r="BC82" s="63" t="str">
        <f t="shared" si="217"/>
        <v>Selesai Implementasi</v>
      </c>
      <c r="BD82" s="63" t="str">
        <f t="shared" si="167"/>
        <v>Selesai Implementasi</v>
      </c>
      <c r="BE82" s="43">
        <v>0.12</v>
      </c>
      <c r="BF82" s="43">
        <v>0.15</v>
      </c>
      <c r="BG82" s="43">
        <v>0.2</v>
      </c>
      <c r="BH82" s="43">
        <v>0.45</v>
      </c>
      <c r="BI82" s="43">
        <v>0.87</v>
      </c>
      <c r="BJ82" s="43">
        <v>1</v>
      </c>
      <c r="BK82" s="43">
        <v>1</v>
      </c>
      <c r="BL82" s="43">
        <v>1</v>
      </c>
      <c r="BM82" s="43">
        <v>1</v>
      </c>
      <c r="BN82" s="43">
        <v>1</v>
      </c>
      <c r="BO82" s="43">
        <v>1</v>
      </c>
      <c r="BP82" s="43">
        <v>1</v>
      </c>
      <c r="BQ82" s="63" t="str">
        <f t="shared" si="168"/>
        <v>Proses RBT-RBTD</v>
      </c>
      <c r="BR82" s="63" t="str">
        <f t="shared" si="169"/>
        <v>Not Started</v>
      </c>
      <c r="BS82" s="63" t="str">
        <f t="shared" si="170"/>
        <v>Not Started</v>
      </c>
      <c r="BT82" s="63" t="str">
        <f t="shared" si="171"/>
        <v>Not Started</v>
      </c>
      <c r="BU82" s="63" t="str">
        <f t="shared" si="172"/>
        <v>Not Started</v>
      </c>
      <c r="BV82" s="63" t="str">
        <f t="shared" si="173"/>
        <v>Not Started</v>
      </c>
      <c r="BW82" s="63" t="str">
        <f t="shared" si="174"/>
        <v>Not Started</v>
      </c>
      <c r="BX82" s="63" t="str">
        <f t="shared" si="175"/>
        <v>Not Started</v>
      </c>
      <c r="BY82" s="63" t="str">
        <f t="shared" si="176"/>
        <v>Not Started</v>
      </c>
      <c r="BZ82" s="63" t="str">
        <f t="shared" si="177"/>
        <v>Not Started</v>
      </c>
      <c r="CA82" s="63" t="str">
        <f t="shared" si="178"/>
        <v>Not Started</v>
      </c>
      <c r="CB82" s="63" t="str">
        <f t="shared" si="179"/>
        <v>Not Started</v>
      </c>
      <c r="CC82" s="44">
        <f t="shared" si="216"/>
        <v>0.115</v>
      </c>
      <c r="CD82" s="44"/>
      <c r="CE82" s="44"/>
      <c r="CF82" s="44"/>
      <c r="CG82" s="44"/>
      <c r="CH82" s="44"/>
      <c r="CI82" s="44"/>
      <c r="CJ82" s="44"/>
      <c r="CK82" s="44"/>
      <c r="CL82" s="44"/>
      <c r="CM82" s="44"/>
      <c r="CN82" s="44"/>
      <c r="CO82" s="45">
        <f t="shared" si="181"/>
        <v>0.95833333333333337</v>
      </c>
      <c r="CP82" s="45">
        <f t="shared" si="182"/>
        <v>0</v>
      </c>
      <c r="CQ82" s="45">
        <f t="shared" si="183"/>
        <v>0</v>
      </c>
      <c r="CR82" s="45">
        <f t="shared" si="184"/>
        <v>0</v>
      </c>
      <c r="CS82" s="45">
        <f t="shared" si="185"/>
        <v>0</v>
      </c>
      <c r="CT82" s="45">
        <f t="shared" si="186"/>
        <v>0</v>
      </c>
      <c r="CU82" s="45">
        <f t="shared" si="187"/>
        <v>0</v>
      </c>
      <c r="CV82" s="45">
        <f t="shared" si="188"/>
        <v>0</v>
      </c>
      <c r="CW82" s="45">
        <f t="shared" si="189"/>
        <v>0</v>
      </c>
      <c r="CX82" s="45">
        <f t="shared" si="190"/>
        <v>0</v>
      </c>
      <c r="CY82" s="45">
        <f t="shared" si="218"/>
        <v>0</v>
      </c>
      <c r="CZ82" s="45"/>
      <c r="DA82" s="45" t="str">
        <f t="shared" si="191"/>
        <v>OS</v>
      </c>
      <c r="DB82" s="45" t="str">
        <f t="shared" si="192"/>
        <v>BS</v>
      </c>
      <c r="DC82" s="45" t="str">
        <f t="shared" si="193"/>
        <v>BS</v>
      </c>
      <c r="DD82" s="45" t="str">
        <f t="shared" si="194"/>
        <v>BS</v>
      </c>
      <c r="DE82" s="45" t="str">
        <f t="shared" si="195"/>
        <v>BS</v>
      </c>
      <c r="DF82" s="45" t="str">
        <f t="shared" si="196"/>
        <v>BS</v>
      </c>
      <c r="DG82" s="45" t="str">
        <f t="shared" si="197"/>
        <v>BS</v>
      </c>
      <c r="DH82" s="45" t="str">
        <f t="shared" si="198"/>
        <v>BS</v>
      </c>
      <c r="DI82" s="45" t="str">
        <f t="shared" si="199"/>
        <v>BS</v>
      </c>
      <c r="DJ82" s="45" t="str">
        <f t="shared" si="200"/>
        <v>BS</v>
      </c>
      <c r="DK82" s="45" t="str">
        <f t="shared" si="219"/>
        <v>BS</v>
      </c>
      <c r="DL82" s="45" t="str">
        <f t="shared" si="201"/>
        <v>BS</v>
      </c>
      <c r="DM82" s="45">
        <f t="shared" si="202"/>
        <v>0.115</v>
      </c>
      <c r="DN82" s="45">
        <f t="shared" si="203"/>
        <v>0</v>
      </c>
      <c r="DO82" s="45">
        <f t="shared" si="204"/>
        <v>0</v>
      </c>
      <c r="DP82" s="45">
        <f t="shared" si="205"/>
        <v>0</v>
      </c>
      <c r="DQ82" s="45">
        <f t="shared" si="206"/>
        <v>0</v>
      </c>
      <c r="DR82" s="45">
        <f t="shared" si="207"/>
        <v>0</v>
      </c>
      <c r="DS82" s="45">
        <f t="shared" si="208"/>
        <v>0</v>
      </c>
      <c r="DT82" s="45">
        <f t="shared" si="209"/>
        <v>0</v>
      </c>
      <c r="DU82" s="45">
        <f t="shared" si="210"/>
        <v>0</v>
      </c>
      <c r="DV82" s="45">
        <f t="shared" si="211"/>
        <v>0</v>
      </c>
      <c r="DW82" s="45">
        <f t="shared" si="212"/>
        <v>0</v>
      </c>
      <c r="DX82" s="45">
        <f t="shared" si="213"/>
        <v>0</v>
      </c>
      <c r="DY82" s="41">
        <v>0.5</v>
      </c>
      <c r="DZ82" s="41"/>
      <c r="EA82" s="41">
        <v>0.8</v>
      </c>
      <c r="EB82" s="41"/>
      <c r="EC82" s="41"/>
      <c r="ED82" s="41"/>
      <c r="EE82" s="41"/>
      <c r="EF82" s="41"/>
      <c r="EG82" s="41"/>
      <c r="EH82" s="47" t="s">
        <v>1591</v>
      </c>
      <c r="EI82" s="222"/>
      <c r="EJ82" s="59">
        <f t="shared" si="214"/>
        <v>46203</v>
      </c>
      <c r="EK82" s="229"/>
      <c r="EL82" s="230"/>
      <c r="EM82" s="229"/>
      <c r="EN82" s="222"/>
      <c r="EO82" s="222"/>
      <c r="EP82" s="222"/>
      <c r="EQ82" s="231"/>
      <c r="ER82" s="213"/>
      <c r="ES82" s="220"/>
      <c r="ET82" s="220"/>
      <c r="EU82" s="220"/>
      <c r="EV82" s="220"/>
      <c r="EW82" s="220"/>
      <c r="EX82" s="220"/>
      <c r="EY82" s="220"/>
      <c r="EZ82" s="220"/>
      <c r="FA82" s="220"/>
      <c r="FB82" s="222"/>
      <c r="FC82" s="222"/>
      <c r="FD82" s="222"/>
      <c r="FE82" s="220"/>
      <c r="FF82" s="220"/>
      <c r="FG82" s="222"/>
      <c r="FH82" s="220"/>
      <c r="FI82" s="220"/>
      <c r="FJ82" s="220"/>
      <c r="FK82" s="220"/>
      <c r="FL82" s="215"/>
      <c r="FM82" s="172" t="s">
        <v>685</v>
      </c>
      <c r="FN82" s="172" t="s">
        <v>563</v>
      </c>
      <c r="FO82" s="172" t="s">
        <v>221</v>
      </c>
      <c r="FP82" s="172" t="s">
        <v>686</v>
      </c>
      <c r="FQ82" s="172" t="s">
        <v>399</v>
      </c>
      <c r="FR82" s="289" t="s">
        <v>184</v>
      </c>
      <c r="FS82" s="267" t="s">
        <v>677</v>
      </c>
      <c r="FT82" s="267" t="s">
        <v>1505</v>
      </c>
      <c r="FU82" s="48">
        <v>5</v>
      </c>
    </row>
    <row r="83" spans="1:177" s="16" customFormat="1" ht="272">
      <c r="A83" s="63" t="s">
        <v>687</v>
      </c>
      <c r="B83" s="48" t="s">
        <v>468</v>
      </c>
      <c r="C83" s="64" t="s">
        <v>206</v>
      </c>
      <c r="D83" s="225" t="s">
        <v>207</v>
      </c>
      <c r="E83" s="63" t="s">
        <v>668</v>
      </c>
      <c r="F83" s="227">
        <f t="shared" si="230"/>
        <v>4</v>
      </c>
      <c r="G83" s="65" t="s">
        <v>669</v>
      </c>
      <c r="H83" s="222" t="s">
        <v>670</v>
      </c>
      <c r="I83" s="65" t="s">
        <v>688</v>
      </c>
      <c r="J83" s="48">
        <v>2025</v>
      </c>
      <c r="K83" s="48">
        <v>2026</v>
      </c>
      <c r="L83" s="48" t="s">
        <v>172</v>
      </c>
      <c r="M83" s="48" t="s">
        <v>173</v>
      </c>
      <c r="N83" s="48" t="s">
        <v>174</v>
      </c>
      <c r="O83" s="63" t="s">
        <v>689</v>
      </c>
      <c r="P83" s="63" t="s">
        <v>458</v>
      </c>
      <c r="Q83" s="63" t="s">
        <v>673</v>
      </c>
      <c r="R83" s="63" t="s">
        <v>669</v>
      </c>
      <c r="S83" s="63" t="str">
        <f t="shared" si="153"/>
        <v>Proses Implementasi</v>
      </c>
      <c r="T83" s="63" t="str">
        <f t="shared" si="145"/>
        <v>On Progress</v>
      </c>
      <c r="U83" s="63" t="str">
        <f t="shared" si="154"/>
        <v>Rangga Dhaniarto</v>
      </c>
      <c r="V83" s="67">
        <f t="shared" si="155"/>
        <v>0.99499999999999988</v>
      </c>
      <c r="W83" s="66" t="s">
        <v>215</v>
      </c>
      <c r="X83" s="59">
        <f t="shared" si="156"/>
        <v>46081</v>
      </c>
      <c r="Y83" s="68">
        <v>0</v>
      </c>
      <c r="Z83" s="48"/>
      <c r="AA83" s="62">
        <v>45658</v>
      </c>
      <c r="AB83" s="42">
        <v>45731</v>
      </c>
      <c r="AC83" s="42">
        <v>45732</v>
      </c>
      <c r="AD83" s="42">
        <v>45747</v>
      </c>
      <c r="AE83" s="42">
        <v>45848</v>
      </c>
      <c r="AF83" s="42">
        <v>45900</v>
      </c>
      <c r="AG83" s="42">
        <v>45748</v>
      </c>
      <c r="AH83" s="42">
        <v>45808</v>
      </c>
      <c r="AI83" s="42">
        <v>45823</v>
      </c>
      <c r="AJ83" s="42">
        <v>45828</v>
      </c>
      <c r="AK83" s="42">
        <v>45831</v>
      </c>
      <c r="AL83" s="42">
        <v>45859</v>
      </c>
      <c r="AM83" s="42">
        <v>45860</v>
      </c>
      <c r="AN83" s="42">
        <v>45869</v>
      </c>
      <c r="AO83" s="42">
        <v>45873</v>
      </c>
      <c r="AP83" s="42">
        <v>45891</v>
      </c>
      <c r="AQ83" s="42">
        <v>45894</v>
      </c>
      <c r="AR83" s="339">
        <v>46081</v>
      </c>
      <c r="AS83" s="63" t="str">
        <f t="shared" si="221"/>
        <v>Selesai Implementasi</v>
      </c>
      <c r="AT83" s="63" t="str">
        <f t="shared" si="222"/>
        <v>Selesai Implementasi</v>
      </c>
      <c r="AU83" s="63" t="str">
        <f t="shared" si="223"/>
        <v>Selesai Implementasi</v>
      </c>
      <c r="AV83" s="63" t="str">
        <f t="shared" si="224"/>
        <v>Selesai Implementasi</v>
      </c>
      <c r="AW83" s="63" t="str">
        <f t="shared" si="225"/>
        <v>Selesai Implementasi</v>
      </c>
      <c r="AX83" s="63" t="str">
        <f t="shared" si="226"/>
        <v>Selesai Implementasi</v>
      </c>
      <c r="AY83" s="63" t="str">
        <f t="shared" si="227"/>
        <v>Selesai Implementasi</v>
      </c>
      <c r="AZ83" s="63" t="str">
        <f t="shared" si="228"/>
        <v>Selesai Implementasi</v>
      </c>
      <c r="BA83" s="63" t="str">
        <f t="shared" si="229"/>
        <v>Selesai Implementasi</v>
      </c>
      <c r="BB83" s="63" t="str">
        <f t="shared" si="220"/>
        <v>Selesai Implementasi</v>
      </c>
      <c r="BC83" s="63" t="str">
        <f t="shared" si="217"/>
        <v>Selesai Implementasi</v>
      </c>
      <c r="BD83" s="63" t="str">
        <f t="shared" si="167"/>
        <v>Selesai Implementasi</v>
      </c>
      <c r="BE83" s="43">
        <v>1</v>
      </c>
      <c r="BF83" s="43">
        <v>1</v>
      </c>
      <c r="BG83" s="43">
        <v>1</v>
      </c>
      <c r="BH83" s="43">
        <v>1</v>
      </c>
      <c r="BI83" s="43">
        <v>1</v>
      </c>
      <c r="BJ83" s="43">
        <v>1</v>
      </c>
      <c r="BK83" s="43">
        <v>1</v>
      </c>
      <c r="BL83" s="43">
        <v>1</v>
      </c>
      <c r="BM83" s="43">
        <v>1</v>
      </c>
      <c r="BN83" s="43">
        <v>1</v>
      </c>
      <c r="BO83" s="43">
        <v>1</v>
      </c>
      <c r="BP83" s="43">
        <v>1</v>
      </c>
      <c r="BQ83" s="63" t="str">
        <f t="shared" si="168"/>
        <v>Proses Implementasi</v>
      </c>
      <c r="BR83" s="63" t="str">
        <f t="shared" si="169"/>
        <v>Not Started</v>
      </c>
      <c r="BS83" s="63" t="str">
        <f t="shared" si="170"/>
        <v>Not Started</v>
      </c>
      <c r="BT83" s="63" t="str">
        <f t="shared" si="171"/>
        <v>Not Started</v>
      </c>
      <c r="BU83" s="63" t="str">
        <f t="shared" si="172"/>
        <v>Not Started</v>
      </c>
      <c r="BV83" s="63" t="str">
        <f t="shared" si="173"/>
        <v>Not Started</v>
      </c>
      <c r="BW83" s="63" t="str">
        <f t="shared" si="174"/>
        <v>Not Started</v>
      </c>
      <c r="BX83" s="63" t="str">
        <f t="shared" si="175"/>
        <v>Not Started</v>
      </c>
      <c r="BY83" s="63" t="str">
        <f t="shared" si="176"/>
        <v>Not Started</v>
      </c>
      <c r="BZ83" s="63" t="str">
        <f t="shared" si="177"/>
        <v>Not Started</v>
      </c>
      <c r="CA83" s="63" t="str">
        <f t="shared" si="178"/>
        <v>Not Started</v>
      </c>
      <c r="CB83" s="63" t="str">
        <f t="shared" si="179"/>
        <v>Not Started</v>
      </c>
      <c r="CC83" s="44">
        <f t="shared" si="216"/>
        <v>0.99499999999999988</v>
      </c>
      <c r="CD83" s="44"/>
      <c r="CE83" s="44"/>
      <c r="CF83" s="44"/>
      <c r="CG83" s="44"/>
      <c r="CH83" s="44"/>
      <c r="CI83" s="44"/>
      <c r="CJ83" s="44"/>
      <c r="CK83" s="44"/>
      <c r="CL83" s="44"/>
      <c r="CM83" s="44"/>
      <c r="CN83" s="44"/>
      <c r="CO83" s="45">
        <f t="shared" si="181"/>
        <v>0.99499999999999988</v>
      </c>
      <c r="CP83" s="45">
        <f t="shared" si="182"/>
        <v>0</v>
      </c>
      <c r="CQ83" s="45">
        <f t="shared" si="183"/>
        <v>0</v>
      </c>
      <c r="CR83" s="45">
        <f t="shared" si="184"/>
        <v>0</v>
      </c>
      <c r="CS83" s="45">
        <f t="shared" si="185"/>
        <v>0</v>
      </c>
      <c r="CT83" s="45">
        <f t="shared" si="186"/>
        <v>0</v>
      </c>
      <c r="CU83" s="45">
        <f t="shared" si="187"/>
        <v>0</v>
      </c>
      <c r="CV83" s="45">
        <f t="shared" si="188"/>
        <v>0</v>
      </c>
      <c r="CW83" s="45">
        <f t="shared" si="189"/>
        <v>0</v>
      </c>
      <c r="CX83" s="45">
        <f t="shared" si="190"/>
        <v>0</v>
      </c>
      <c r="CY83" s="45">
        <f t="shared" si="218"/>
        <v>0</v>
      </c>
      <c r="CZ83" s="45"/>
      <c r="DA83" s="45" t="str">
        <f t="shared" si="191"/>
        <v>OS</v>
      </c>
      <c r="DB83" s="45" t="str">
        <f t="shared" si="192"/>
        <v>BS</v>
      </c>
      <c r="DC83" s="45" t="str">
        <f t="shared" si="193"/>
        <v>BS</v>
      </c>
      <c r="DD83" s="45" t="str">
        <f t="shared" si="194"/>
        <v>BS</v>
      </c>
      <c r="DE83" s="45" t="str">
        <f t="shared" si="195"/>
        <v>BS</v>
      </c>
      <c r="DF83" s="45" t="str">
        <f t="shared" si="196"/>
        <v>BS</v>
      </c>
      <c r="DG83" s="45" t="str">
        <f t="shared" si="197"/>
        <v>BS</v>
      </c>
      <c r="DH83" s="45" t="str">
        <f t="shared" si="198"/>
        <v>BS</v>
      </c>
      <c r="DI83" s="45" t="str">
        <f t="shared" si="199"/>
        <v>BS</v>
      </c>
      <c r="DJ83" s="45" t="str">
        <f t="shared" si="200"/>
        <v>BS</v>
      </c>
      <c r="DK83" s="45" t="str">
        <f t="shared" si="219"/>
        <v>BS</v>
      </c>
      <c r="DL83" s="45" t="str">
        <f t="shared" si="201"/>
        <v>BS</v>
      </c>
      <c r="DM83" s="45">
        <f t="shared" si="202"/>
        <v>0.99499999999999988</v>
      </c>
      <c r="DN83" s="45">
        <f t="shared" si="203"/>
        <v>0</v>
      </c>
      <c r="DO83" s="45">
        <f t="shared" si="204"/>
        <v>0</v>
      </c>
      <c r="DP83" s="45">
        <f t="shared" si="205"/>
        <v>0</v>
      </c>
      <c r="DQ83" s="45">
        <f t="shared" si="206"/>
        <v>0</v>
      </c>
      <c r="DR83" s="45">
        <f t="shared" si="207"/>
        <v>0</v>
      </c>
      <c r="DS83" s="45">
        <f t="shared" si="208"/>
        <v>0</v>
      </c>
      <c r="DT83" s="45">
        <f t="shared" si="209"/>
        <v>0</v>
      </c>
      <c r="DU83" s="45">
        <f t="shared" si="210"/>
        <v>0</v>
      </c>
      <c r="DV83" s="45">
        <f t="shared" si="211"/>
        <v>0</v>
      </c>
      <c r="DW83" s="45">
        <f t="shared" si="212"/>
        <v>0</v>
      </c>
      <c r="DX83" s="45">
        <f t="shared" si="213"/>
        <v>0</v>
      </c>
      <c r="DY83" s="41">
        <v>1</v>
      </c>
      <c r="DZ83" s="41">
        <v>1</v>
      </c>
      <c r="EA83" s="41">
        <v>1</v>
      </c>
      <c r="EB83" s="41">
        <v>1</v>
      </c>
      <c r="EC83" s="41">
        <v>1</v>
      </c>
      <c r="ED83" s="41">
        <v>1</v>
      </c>
      <c r="EE83" s="41">
        <v>1</v>
      </c>
      <c r="EF83" s="41">
        <v>1</v>
      </c>
      <c r="EG83" s="41">
        <v>0.9</v>
      </c>
      <c r="EH83" s="531" t="s">
        <v>1499</v>
      </c>
      <c r="EI83" s="222"/>
      <c r="EJ83" s="59">
        <f t="shared" si="214"/>
        <v>46081</v>
      </c>
      <c r="EK83" s="229"/>
      <c r="EL83" s="230"/>
      <c r="EM83" s="229"/>
      <c r="EN83" s="222"/>
      <c r="EO83" s="222"/>
      <c r="EP83" s="222"/>
      <c r="EQ83" s="231"/>
      <c r="ER83" s="213"/>
      <c r="ES83" s="220"/>
      <c r="ET83" s="220"/>
      <c r="EU83" s="220"/>
      <c r="EV83" s="220"/>
      <c r="EW83" s="220"/>
      <c r="EX83" s="220"/>
      <c r="EY83" s="220"/>
      <c r="EZ83" s="220"/>
      <c r="FA83" s="220"/>
      <c r="FB83" s="222"/>
      <c r="FC83" s="222"/>
      <c r="FD83" s="222"/>
      <c r="FE83" s="220"/>
      <c r="FF83" s="220"/>
      <c r="FG83" s="222"/>
      <c r="FH83" s="220"/>
      <c r="FI83" s="220"/>
      <c r="FJ83" s="220"/>
      <c r="FK83" s="220"/>
      <c r="FL83" s="215"/>
      <c r="FM83" s="172" t="s">
        <v>685</v>
      </c>
      <c r="FN83" s="172" t="s">
        <v>563</v>
      </c>
      <c r="FO83" s="172" t="s">
        <v>221</v>
      </c>
      <c r="FP83" s="172" t="s">
        <v>686</v>
      </c>
      <c r="FQ83" s="172" t="s">
        <v>399</v>
      </c>
      <c r="FR83" s="289" t="s">
        <v>184</v>
      </c>
      <c r="FS83" s="267" t="s">
        <v>677</v>
      </c>
      <c r="FT83" s="267" t="s">
        <v>1505</v>
      </c>
      <c r="FU83" s="48">
        <v>5</v>
      </c>
    </row>
    <row r="84" spans="1:177" s="16" customFormat="1" ht="128">
      <c r="A84" s="63" t="s">
        <v>690</v>
      </c>
      <c r="B84" s="48" t="s">
        <v>468</v>
      </c>
      <c r="C84" s="64" t="s">
        <v>206</v>
      </c>
      <c r="D84" s="225" t="s">
        <v>207</v>
      </c>
      <c r="E84" s="63" t="s">
        <v>668</v>
      </c>
      <c r="F84" s="227">
        <f t="shared" si="230"/>
        <v>5</v>
      </c>
      <c r="G84" s="65" t="s">
        <v>669</v>
      </c>
      <c r="H84" s="222" t="s">
        <v>670</v>
      </c>
      <c r="I84" s="65" t="s">
        <v>691</v>
      </c>
      <c r="J84" s="48">
        <v>2025</v>
      </c>
      <c r="K84" s="48">
        <v>2026</v>
      </c>
      <c r="L84" s="48" t="s">
        <v>172</v>
      </c>
      <c r="M84" s="48" t="s">
        <v>173</v>
      </c>
      <c r="N84" s="48" t="s">
        <v>174</v>
      </c>
      <c r="O84" s="63" t="s">
        <v>692</v>
      </c>
      <c r="P84" s="63" t="s">
        <v>458</v>
      </c>
      <c r="Q84" s="63" t="s">
        <v>673</v>
      </c>
      <c r="R84" s="63" t="s">
        <v>693</v>
      </c>
      <c r="S84" s="63" t="str">
        <f t="shared" si="153"/>
        <v>Selesai Pengadaan</v>
      </c>
      <c r="T84" s="63" t="str">
        <f t="shared" si="145"/>
        <v>On Progress</v>
      </c>
      <c r="U84" s="63" t="str">
        <f t="shared" si="154"/>
        <v>Rangga Dhaniarto</v>
      </c>
      <c r="V84" s="67">
        <f t="shared" si="155"/>
        <v>0.3</v>
      </c>
      <c r="W84" s="66" t="s">
        <v>215</v>
      </c>
      <c r="X84" s="59">
        <f t="shared" si="156"/>
        <v>46112</v>
      </c>
      <c r="Y84" s="68">
        <v>0</v>
      </c>
      <c r="Z84" s="48"/>
      <c r="AA84" s="62">
        <v>45658</v>
      </c>
      <c r="AB84" s="42">
        <v>45747</v>
      </c>
      <c r="AC84" s="42">
        <v>45732</v>
      </c>
      <c r="AD84" s="42">
        <v>45747</v>
      </c>
      <c r="AE84" s="42"/>
      <c r="AF84" s="42"/>
      <c r="AG84" s="42"/>
      <c r="AH84" s="42"/>
      <c r="AI84" s="42">
        <v>46023</v>
      </c>
      <c r="AJ84" s="42">
        <v>46029</v>
      </c>
      <c r="AK84" s="42">
        <v>46030</v>
      </c>
      <c r="AL84" s="42">
        <v>46067</v>
      </c>
      <c r="AM84" s="42">
        <v>46068</v>
      </c>
      <c r="AN84" s="42">
        <v>46081</v>
      </c>
      <c r="AO84" s="42">
        <v>46082</v>
      </c>
      <c r="AP84" s="42">
        <v>46102</v>
      </c>
      <c r="AQ84" s="42">
        <v>46103</v>
      </c>
      <c r="AR84" s="339">
        <v>46112</v>
      </c>
      <c r="AS84" s="63" t="str">
        <f t="shared" si="221"/>
        <v>Selesai Desain</v>
      </c>
      <c r="AT84" s="63" t="str">
        <f t="shared" si="222"/>
        <v>Proses SIT</v>
      </c>
      <c r="AU84" s="63" t="str">
        <f t="shared" si="223"/>
        <v>Selesai Implementasi</v>
      </c>
      <c r="AV84" s="63" t="str">
        <f t="shared" si="224"/>
        <v>Selesai Implementasi</v>
      </c>
      <c r="AW84" s="63" t="str">
        <f t="shared" si="225"/>
        <v>Selesai Implementasi</v>
      </c>
      <c r="AX84" s="63" t="str">
        <f t="shared" si="226"/>
        <v>Selesai Implementasi</v>
      </c>
      <c r="AY84" s="63" t="str">
        <f t="shared" si="227"/>
        <v>Selesai Implementasi</v>
      </c>
      <c r="AZ84" s="63" t="str">
        <f t="shared" si="228"/>
        <v>Selesai Implementasi</v>
      </c>
      <c r="BA84" s="63" t="str">
        <f t="shared" si="229"/>
        <v>Selesai Implementasi</v>
      </c>
      <c r="BB84" s="63" t="str">
        <f t="shared" si="220"/>
        <v>Selesai Implementasi</v>
      </c>
      <c r="BC84" s="63" t="str">
        <f t="shared" si="217"/>
        <v>Selesai Implementasi</v>
      </c>
      <c r="BD84" s="63" t="str">
        <f t="shared" si="167"/>
        <v>Selesai Implementasi</v>
      </c>
      <c r="BE84" s="43">
        <v>0.45</v>
      </c>
      <c r="BF84" s="43">
        <v>0.87</v>
      </c>
      <c r="BG84" s="43">
        <v>1</v>
      </c>
      <c r="BH84" s="43">
        <v>1</v>
      </c>
      <c r="BI84" s="43">
        <v>1</v>
      </c>
      <c r="BJ84" s="43">
        <v>1</v>
      </c>
      <c r="BK84" s="43">
        <v>1</v>
      </c>
      <c r="BL84" s="43">
        <v>1</v>
      </c>
      <c r="BM84" s="43">
        <v>1</v>
      </c>
      <c r="BN84" s="43">
        <v>1</v>
      </c>
      <c r="BO84" s="43">
        <v>1</v>
      </c>
      <c r="BP84" s="43">
        <v>1</v>
      </c>
      <c r="BQ84" s="63" t="str">
        <f t="shared" si="168"/>
        <v>Selesai Pengadaan</v>
      </c>
      <c r="BR84" s="63" t="str">
        <f t="shared" si="169"/>
        <v>Not Started</v>
      </c>
      <c r="BS84" s="63" t="str">
        <f t="shared" si="170"/>
        <v>Not Started</v>
      </c>
      <c r="BT84" s="63" t="str">
        <f t="shared" si="171"/>
        <v>Not Started</v>
      </c>
      <c r="BU84" s="63" t="str">
        <f t="shared" si="172"/>
        <v>Not Started</v>
      </c>
      <c r="BV84" s="63" t="str">
        <f t="shared" si="173"/>
        <v>Not Started</v>
      </c>
      <c r="BW84" s="63" t="str">
        <f t="shared" si="174"/>
        <v>Not Started</v>
      </c>
      <c r="BX84" s="63" t="str">
        <f t="shared" si="175"/>
        <v>Not Started</v>
      </c>
      <c r="BY84" s="63" t="str">
        <f t="shared" si="176"/>
        <v>Not Started</v>
      </c>
      <c r="BZ84" s="63" t="str">
        <f t="shared" si="177"/>
        <v>Not Started</v>
      </c>
      <c r="CA84" s="63" t="str">
        <f t="shared" si="178"/>
        <v>Not Started</v>
      </c>
      <c r="CB84" s="63" t="str">
        <f t="shared" si="179"/>
        <v>Not Started</v>
      </c>
      <c r="CC84" s="44">
        <f t="shared" si="216"/>
        <v>0.3</v>
      </c>
      <c r="CD84" s="44"/>
      <c r="CE84" s="44"/>
      <c r="CF84" s="44"/>
      <c r="CG84" s="44"/>
      <c r="CH84" s="44"/>
      <c r="CI84" s="44"/>
      <c r="CJ84" s="44"/>
      <c r="CK84" s="44"/>
      <c r="CL84" s="44"/>
      <c r="CM84" s="44"/>
      <c r="CN84" s="44"/>
      <c r="CO84" s="45">
        <f t="shared" si="181"/>
        <v>0.66666666666666663</v>
      </c>
      <c r="CP84" s="45">
        <f t="shared" si="182"/>
        <v>0</v>
      </c>
      <c r="CQ84" s="45">
        <f t="shared" si="183"/>
        <v>0</v>
      </c>
      <c r="CR84" s="45">
        <f t="shared" si="184"/>
        <v>0</v>
      </c>
      <c r="CS84" s="45">
        <f t="shared" si="185"/>
        <v>0</v>
      </c>
      <c r="CT84" s="45">
        <f t="shared" si="186"/>
        <v>0</v>
      </c>
      <c r="CU84" s="45">
        <f t="shared" si="187"/>
        <v>0</v>
      </c>
      <c r="CV84" s="45">
        <f t="shared" si="188"/>
        <v>0</v>
      </c>
      <c r="CW84" s="45">
        <f t="shared" si="189"/>
        <v>0</v>
      </c>
      <c r="CX84" s="45">
        <f t="shared" si="190"/>
        <v>0</v>
      </c>
      <c r="CY84" s="45">
        <f t="shared" si="218"/>
        <v>0</v>
      </c>
      <c r="CZ84" s="45"/>
      <c r="DA84" s="45" t="str">
        <f t="shared" si="191"/>
        <v>BS</v>
      </c>
      <c r="DB84" s="45" t="str">
        <f t="shared" si="192"/>
        <v>BS</v>
      </c>
      <c r="DC84" s="45" t="str">
        <f t="shared" si="193"/>
        <v>BS</v>
      </c>
      <c r="DD84" s="45" t="str">
        <f t="shared" si="194"/>
        <v>BS</v>
      </c>
      <c r="DE84" s="45" t="str">
        <f t="shared" si="195"/>
        <v>BS</v>
      </c>
      <c r="DF84" s="45" t="str">
        <f t="shared" si="196"/>
        <v>BS</v>
      </c>
      <c r="DG84" s="45" t="str">
        <f t="shared" si="197"/>
        <v>BS</v>
      </c>
      <c r="DH84" s="45" t="str">
        <f t="shared" si="198"/>
        <v>BS</v>
      </c>
      <c r="DI84" s="45" t="str">
        <f t="shared" si="199"/>
        <v>BS</v>
      </c>
      <c r="DJ84" s="45" t="str">
        <f t="shared" si="200"/>
        <v>BS</v>
      </c>
      <c r="DK84" s="45" t="str">
        <f t="shared" si="219"/>
        <v>BS</v>
      </c>
      <c r="DL84" s="45" t="str">
        <f t="shared" si="201"/>
        <v>BS</v>
      </c>
      <c r="DM84" s="45">
        <f t="shared" si="202"/>
        <v>0.3</v>
      </c>
      <c r="DN84" s="45">
        <f t="shared" si="203"/>
        <v>0</v>
      </c>
      <c r="DO84" s="45">
        <f t="shared" si="204"/>
        <v>0</v>
      </c>
      <c r="DP84" s="45">
        <f t="shared" si="205"/>
        <v>0</v>
      </c>
      <c r="DQ84" s="45">
        <f t="shared" si="206"/>
        <v>0</v>
      </c>
      <c r="DR84" s="45">
        <f t="shared" si="207"/>
        <v>0</v>
      </c>
      <c r="DS84" s="45">
        <f t="shared" si="208"/>
        <v>0</v>
      </c>
      <c r="DT84" s="45">
        <f t="shared" si="209"/>
        <v>0</v>
      </c>
      <c r="DU84" s="45">
        <f t="shared" si="210"/>
        <v>0</v>
      </c>
      <c r="DV84" s="45">
        <f t="shared" si="211"/>
        <v>0</v>
      </c>
      <c r="DW84" s="45">
        <f t="shared" si="212"/>
        <v>0</v>
      </c>
      <c r="DX84" s="45">
        <f t="shared" si="213"/>
        <v>0</v>
      </c>
      <c r="DY84" s="41">
        <v>1</v>
      </c>
      <c r="DZ84" s="41">
        <v>1</v>
      </c>
      <c r="EA84" s="41">
        <v>1</v>
      </c>
      <c r="EB84" s="41">
        <v>1</v>
      </c>
      <c r="EC84" s="41">
        <v>0</v>
      </c>
      <c r="ED84" s="41"/>
      <c r="EE84" s="41"/>
      <c r="EF84" s="41"/>
      <c r="EG84" s="41"/>
      <c r="EH84" s="405" t="s">
        <v>1593</v>
      </c>
      <c r="EI84" s="222"/>
      <c r="EJ84" s="59">
        <f t="shared" si="214"/>
        <v>46112</v>
      </c>
      <c r="EK84" s="229"/>
      <c r="EL84" s="230"/>
      <c r="EM84" s="229"/>
      <c r="EN84" s="222"/>
      <c r="EO84" s="222"/>
      <c r="EP84" s="222"/>
      <c r="EQ84" s="231"/>
      <c r="ER84" s="213"/>
      <c r="ES84" s="220"/>
      <c r="ET84" s="220"/>
      <c r="EU84" s="220"/>
      <c r="EV84" s="220"/>
      <c r="EW84" s="220"/>
      <c r="EX84" s="220"/>
      <c r="EY84" s="220"/>
      <c r="EZ84" s="220"/>
      <c r="FA84" s="220"/>
      <c r="FB84" s="222"/>
      <c r="FC84" s="222"/>
      <c r="FD84" s="222"/>
      <c r="FE84" s="220"/>
      <c r="FF84" s="220"/>
      <c r="FG84" s="222"/>
      <c r="FH84" s="220"/>
      <c r="FI84" s="220"/>
      <c r="FJ84" s="220"/>
      <c r="FK84" s="220"/>
      <c r="FL84" s="215"/>
      <c r="FM84" s="172" t="s">
        <v>685</v>
      </c>
      <c r="FN84" s="172" t="s">
        <v>563</v>
      </c>
      <c r="FO84" s="172" t="s">
        <v>221</v>
      </c>
      <c r="FP84" s="172" t="s">
        <v>686</v>
      </c>
      <c r="FQ84" s="172" t="s">
        <v>399</v>
      </c>
      <c r="FR84" s="289" t="s">
        <v>184</v>
      </c>
      <c r="FS84" s="267" t="s">
        <v>677</v>
      </c>
      <c r="FT84" s="267" t="s">
        <v>1505</v>
      </c>
      <c r="FU84" s="48">
        <v>5</v>
      </c>
    </row>
    <row r="85" spans="1:177" s="16" customFormat="1" ht="112">
      <c r="A85" s="63"/>
      <c r="B85" s="48" t="s">
        <v>468</v>
      </c>
      <c r="C85" s="64"/>
      <c r="D85" s="225"/>
      <c r="E85" s="63" t="s">
        <v>668</v>
      </c>
      <c r="F85" s="227">
        <f t="shared" si="230"/>
        <v>6</v>
      </c>
      <c r="G85" s="65" t="s">
        <v>669</v>
      </c>
      <c r="H85" s="222" t="s">
        <v>670</v>
      </c>
      <c r="I85" s="65" t="s">
        <v>695</v>
      </c>
      <c r="J85" s="48">
        <v>2024</v>
      </c>
      <c r="K85" s="48">
        <v>2025</v>
      </c>
      <c r="L85" s="48" t="s">
        <v>172</v>
      </c>
      <c r="M85" s="48" t="s">
        <v>173</v>
      </c>
      <c r="N85" s="48" t="s">
        <v>174</v>
      </c>
      <c r="O85" s="63" t="s">
        <v>672</v>
      </c>
      <c r="P85" s="63" t="s">
        <v>458</v>
      </c>
      <c r="Q85" s="63" t="s">
        <v>673</v>
      </c>
      <c r="R85" s="63" t="s">
        <v>669</v>
      </c>
      <c r="S85" s="63" t="str">
        <f t="shared" si="153"/>
        <v>Selesai Implementasi</v>
      </c>
      <c r="T85" s="63" t="str">
        <f t="shared" si="145"/>
        <v>DONE</v>
      </c>
      <c r="U85" s="63" t="str">
        <f t="shared" si="154"/>
        <v>Rangga Dhaniarto</v>
      </c>
      <c r="V85" s="67">
        <f t="shared" si="155"/>
        <v>0.99999999999999989</v>
      </c>
      <c r="W85" s="66" t="s">
        <v>380</v>
      </c>
      <c r="X85" s="59">
        <f t="shared" si="156"/>
        <v>45805</v>
      </c>
      <c r="Y85" s="68">
        <v>0</v>
      </c>
      <c r="Z85" s="48"/>
      <c r="AA85" s="341"/>
      <c r="AB85" s="274"/>
      <c r="AC85" s="274"/>
      <c r="AD85" s="274"/>
      <c r="AE85" s="274"/>
      <c r="AF85" s="274"/>
      <c r="AG85" s="274"/>
      <c r="AH85" s="274"/>
      <c r="AI85" s="42">
        <v>45729</v>
      </c>
      <c r="AJ85" s="42">
        <v>45730</v>
      </c>
      <c r="AK85" s="218">
        <v>45755</v>
      </c>
      <c r="AL85" s="218">
        <v>45779</v>
      </c>
      <c r="AM85" s="218">
        <v>45782</v>
      </c>
      <c r="AN85" s="218">
        <v>45792</v>
      </c>
      <c r="AO85" s="218">
        <v>45793</v>
      </c>
      <c r="AP85" s="218">
        <v>45800</v>
      </c>
      <c r="AQ85" s="218">
        <v>45803</v>
      </c>
      <c r="AR85" s="218">
        <v>45805</v>
      </c>
      <c r="AS85" s="63" t="str">
        <f t="shared" si="221"/>
        <v>Selesai Implementasi</v>
      </c>
      <c r="AT85" s="63" t="str">
        <f t="shared" si="222"/>
        <v>Selesai Implementasi</v>
      </c>
      <c r="AU85" s="63" t="str">
        <f t="shared" si="223"/>
        <v>Selesai Implementasi</v>
      </c>
      <c r="AV85" s="63" t="str">
        <f t="shared" si="224"/>
        <v>Selesai Implementasi</v>
      </c>
      <c r="AW85" s="63" t="str">
        <f t="shared" si="225"/>
        <v>Selesai Implementasi</v>
      </c>
      <c r="AX85" s="63" t="str">
        <f t="shared" si="226"/>
        <v>Selesai Implementasi</v>
      </c>
      <c r="AY85" s="63" t="str">
        <f t="shared" si="227"/>
        <v>Selesai Implementasi</v>
      </c>
      <c r="AZ85" s="63" t="str">
        <f t="shared" si="228"/>
        <v>Selesai Implementasi</v>
      </c>
      <c r="BA85" s="63" t="str">
        <f t="shared" si="229"/>
        <v>Selesai Implementasi</v>
      </c>
      <c r="BB85" s="63" t="str">
        <f t="shared" si="220"/>
        <v>Selesai Implementasi</v>
      </c>
      <c r="BC85" s="63" t="str">
        <f t="shared" si="217"/>
        <v>Selesai Implementasi</v>
      </c>
      <c r="BD85" s="63" t="str">
        <f t="shared" si="167"/>
        <v>Selesai Implementasi</v>
      </c>
      <c r="BE85" s="43">
        <v>1</v>
      </c>
      <c r="BF85" s="43">
        <v>1</v>
      </c>
      <c r="BG85" s="43">
        <v>1</v>
      </c>
      <c r="BH85" s="43">
        <v>1</v>
      </c>
      <c r="BI85" s="43">
        <v>1</v>
      </c>
      <c r="BJ85" s="43">
        <v>1</v>
      </c>
      <c r="BK85" s="43">
        <v>1</v>
      </c>
      <c r="BL85" s="43">
        <v>1</v>
      </c>
      <c r="BM85" s="43">
        <v>1</v>
      </c>
      <c r="BN85" s="43">
        <v>1</v>
      </c>
      <c r="BO85" s="43">
        <v>1</v>
      </c>
      <c r="BP85" s="43">
        <v>1</v>
      </c>
      <c r="BQ85" s="63" t="str">
        <f t="shared" si="168"/>
        <v>Selesai Implementasi</v>
      </c>
      <c r="BR85" s="63" t="str">
        <f t="shared" si="169"/>
        <v>Not Started</v>
      </c>
      <c r="BS85" s="63" t="str">
        <f t="shared" si="170"/>
        <v>Not Started</v>
      </c>
      <c r="BT85" s="63" t="str">
        <f t="shared" si="171"/>
        <v>Not Started</v>
      </c>
      <c r="BU85" s="63" t="str">
        <f t="shared" si="172"/>
        <v>Not Started</v>
      </c>
      <c r="BV85" s="63" t="str">
        <f t="shared" si="173"/>
        <v>Not Started</v>
      </c>
      <c r="BW85" s="63" t="str">
        <f t="shared" si="174"/>
        <v>Not Started</v>
      </c>
      <c r="BX85" s="63" t="str">
        <f t="shared" si="175"/>
        <v>Not Started</v>
      </c>
      <c r="BY85" s="63" t="str">
        <f t="shared" si="176"/>
        <v>Not Started</v>
      </c>
      <c r="BZ85" s="63" t="str">
        <f t="shared" si="177"/>
        <v>Not Started</v>
      </c>
      <c r="CA85" s="63" t="str">
        <f t="shared" si="178"/>
        <v>Not Started</v>
      </c>
      <c r="CB85" s="63" t="str">
        <f t="shared" si="179"/>
        <v>Not Started</v>
      </c>
      <c r="CC85" s="44">
        <f t="shared" si="216"/>
        <v>0.99999999999999989</v>
      </c>
      <c r="CD85" s="44"/>
      <c r="CE85" s="44"/>
      <c r="CF85" s="44"/>
      <c r="CG85" s="44"/>
      <c r="CH85" s="44"/>
      <c r="CI85" s="44"/>
      <c r="CJ85" s="44"/>
      <c r="CK85" s="44"/>
      <c r="CL85" s="44"/>
      <c r="CM85" s="44"/>
      <c r="CN85" s="44"/>
      <c r="CO85" s="45">
        <f t="shared" si="181"/>
        <v>0.99999999999999989</v>
      </c>
      <c r="CP85" s="45">
        <f t="shared" si="182"/>
        <v>0</v>
      </c>
      <c r="CQ85" s="45">
        <f t="shared" si="183"/>
        <v>0</v>
      </c>
      <c r="CR85" s="45">
        <f t="shared" si="184"/>
        <v>0</v>
      </c>
      <c r="CS85" s="45">
        <f t="shared" si="185"/>
        <v>0</v>
      </c>
      <c r="CT85" s="45">
        <f t="shared" si="186"/>
        <v>0</v>
      </c>
      <c r="CU85" s="45">
        <f t="shared" si="187"/>
        <v>0</v>
      </c>
      <c r="CV85" s="45">
        <f t="shared" si="188"/>
        <v>0</v>
      </c>
      <c r="CW85" s="45">
        <f t="shared" si="189"/>
        <v>0</v>
      </c>
      <c r="CX85" s="45">
        <f t="shared" si="190"/>
        <v>0</v>
      </c>
      <c r="CY85" s="45">
        <f t="shared" si="218"/>
        <v>0</v>
      </c>
      <c r="CZ85" s="45"/>
      <c r="DA85" s="45" t="str">
        <f t="shared" si="191"/>
        <v>DONE</v>
      </c>
      <c r="DB85" s="45" t="str">
        <f t="shared" si="192"/>
        <v>BS</v>
      </c>
      <c r="DC85" s="45" t="str">
        <f t="shared" si="193"/>
        <v>BS</v>
      </c>
      <c r="DD85" s="45" t="str">
        <f t="shared" si="194"/>
        <v>BS</v>
      </c>
      <c r="DE85" s="45" t="str">
        <f t="shared" si="195"/>
        <v>BS</v>
      </c>
      <c r="DF85" s="45" t="str">
        <f t="shared" si="196"/>
        <v>BS</v>
      </c>
      <c r="DG85" s="45" t="str">
        <f t="shared" si="197"/>
        <v>BS</v>
      </c>
      <c r="DH85" s="45" t="str">
        <f t="shared" si="198"/>
        <v>BS</v>
      </c>
      <c r="DI85" s="45" t="str">
        <f t="shared" si="199"/>
        <v>BS</v>
      </c>
      <c r="DJ85" s="45" t="str">
        <f t="shared" si="200"/>
        <v>BS</v>
      </c>
      <c r="DK85" s="45" t="str">
        <f t="shared" si="219"/>
        <v>BS</v>
      </c>
      <c r="DL85" s="45" t="str">
        <f t="shared" si="201"/>
        <v>BS</v>
      </c>
      <c r="DM85" s="45">
        <f t="shared" si="202"/>
        <v>0.99999999999999989</v>
      </c>
      <c r="DN85" s="45">
        <f t="shared" si="203"/>
        <v>0</v>
      </c>
      <c r="DO85" s="45">
        <f t="shared" si="204"/>
        <v>0</v>
      </c>
      <c r="DP85" s="45">
        <f t="shared" si="205"/>
        <v>0</v>
      </c>
      <c r="DQ85" s="45">
        <f t="shared" si="206"/>
        <v>0</v>
      </c>
      <c r="DR85" s="45">
        <f t="shared" si="207"/>
        <v>0</v>
      </c>
      <c r="DS85" s="45">
        <f t="shared" si="208"/>
        <v>0</v>
      </c>
      <c r="DT85" s="45">
        <f t="shared" si="209"/>
        <v>0</v>
      </c>
      <c r="DU85" s="45">
        <f t="shared" si="210"/>
        <v>0</v>
      </c>
      <c r="DV85" s="45">
        <f t="shared" si="211"/>
        <v>0</v>
      </c>
      <c r="DW85" s="45">
        <f t="shared" si="212"/>
        <v>0</v>
      </c>
      <c r="DX85" s="45">
        <f t="shared" si="213"/>
        <v>0</v>
      </c>
      <c r="DY85" s="41">
        <v>1</v>
      </c>
      <c r="DZ85" s="41">
        <v>1</v>
      </c>
      <c r="EA85" s="41">
        <v>1</v>
      </c>
      <c r="EB85" s="41">
        <v>1</v>
      </c>
      <c r="EC85" s="41">
        <v>1</v>
      </c>
      <c r="ED85" s="41">
        <v>1</v>
      </c>
      <c r="EE85" s="41">
        <v>1</v>
      </c>
      <c r="EF85" s="41">
        <v>1</v>
      </c>
      <c r="EG85" s="41">
        <v>1</v>
      </c>
      <c r="EH85" s="75" t="s">
        <v>696</v>
      </c>
      <c r="EI85" s="42">
        <v>45805</v>
      </c>
      <c r="EJ85" s="59">
        <f t="shared" si="214"/>
        <v>45805</v>
      </c>
      <c r="EK85" s="229"/>
      <c r="EL85" s="230"/>
      <c r="EM85" s="229"/>
      <c r="EN85" s="222"/>
      <c r="EO85" s="222"/>
      <c r="EP85" s="222"/>
      <c r="EQ85" s="231"/>
      <c r="ER85" s="213"/>
      <c r="ES85" s="220"/>
      <c r="ET85" s="220"/>
      <c r="EU85" s="220"/>
      <c r="EV85" s="220"/>
      <c r="EW85" s="220"/>
      <c r="EX85" s="220"/>
      <c r="EY85" s="220"/>
      <c r="EZ85" s="220"/>
      <c r="FA85" s="220"/>
      <c r="FB85" s="222"/>
      <c r="FC85" s="222"/>
      <c r="FD85" s="222"/>
      <c r="FE85" s="220"/>
      <c r="FF85" s="220"/>
      <c r="FG85" s="222"/>
      <c r="FH85" s="220"/>
      <c r="FI85" s="220"/>
      <c r="FJ85" s="220"/>
      <c r="FK85" s="220"/>
      <c r="FL85" s="215"/>
      <c r="FM85" s="172" t="s">
        <v>749</v>
      </c>
      <c r="FN85" s="340" t="s">
        <v>563</v>
      </c>
      <c r="FO85" s="172"/>
      <c r="FP85" s="172" t="s">
        <v>686</v>
      </c>
      <c r="FQ85" s="172"/>
      <c r="FR85" s="289" t="s">
        <v>184</v>
      </c>
      <c r="FS85" s="267" t="s">
        <v>677</v>
      </c>
      <c r="FT85" s="267" t="s">
        <v>1505</v>
      </c>
      <c r="FU85" s="48">
        <v>5</v>
      </c>
    </row>
    <row r="86" spans="1:177" s="16" customFormat="1" ht="144">
      <c r="A86" s="63" t="s">
        <v>687</v>
      </c>
      <c r="B86" s="48" t="s">
        <v>468</v>
      </c>
      <c r="C86" s="64" t="s">
        <v>206</v>
      </c>
      <c r="D86" s="225" t="s">
        <v>207</v>
      </c>
      <c r="E86" s="63" t="s">
        <v>668</v>
      </c>
      <c r="F86" s="227">
        <f t="shared" si="230"/>
        <v>7</v>
      </c>
      <c r="G86" s="65" t="s">
        <v>669</v>
      </c>
      <c r="H86" s="222" t="s">
        <v>670</v>
      </c>
      <c r="I86" s="65" t="s">
        <v>697</v>
      </c>
      <c r="J86" s="48">
        <v>2025</v>
      </c>
      <c r="K86" s="48">
        <v>2026</v>
      </c>
      <c r="L86" s="48" t="s">
        <v>172</v>
      </c>
      <c r="M86" s="48" t="s">
        <v>173</v>
      </c>
      <c r="N86" s="48" t="s">
        <v>174</v>
      </c>
      <c r="O86" s="63" t="s">
        <v>689</v>
      </c>
      <c r="P86" s="63" t="s">
        <v>458</v>
      </c>
      <c r="Q86" s="63" t="s">
        <v>698</v>
      </c>
      <c r="R86" s="63" t="s">
        <v>669</v>
      </c>
      <c r="S86" s="63" t="str">
        <f t="shared" si="153"/>
        <v>Proses Implementasi</v>
      </c>
      <c r="T86" s="63" t="str">
        <f t="shared" si="145"/>
        <v>On Progress</v>
      </c>
      <c r="U86" s="63" t="str">
        <f t="shared" si="154"/>
        <v>Rangga Dhaniarto</v>
      </c>
      <c r="V86" s="67">
        <f t="shared" si="155"/>
        <v>0.99949999999999983</v>
      </c>
      <c r="W86" s="66" t="s">
        <v>215</v>
      </c>
      <c r="X86" s="59">
        <f t="shared" si="156"/>
        <v>46081</v>
      </c>
      <c r="Y86" s="68">
        <v>0</v>
      </c>
      <c r="Z86" s="48"/>
      <c r="AA86" s="62">
        <v>45658</v>
      </c>
      <c r="AB86" s="42">
        <v>45747</v>
      </c>
      <c r="AC86" s="42"/>
      <c r="AD86" s="42">
        <v>45747</v>
      </c>
      <c r="AE86" s="42"/>
      <c r="AF86" s="42"/>
      <c r="AG86" s="42"/>
      <c r="AH86" s="42"/>
      <c r="AI86" s="42">
        <v>45778</v>
      </c>
      <c r="AJ86" s="42">
        <v>45807</v>
      </c>
      <c r="AK86" s="42">
        <v>45809</v>
      </c>
      <c r="AL86" s="42">
        <v>45849</v>
      </c>
      <c r="AM86" s="42">
        <v>45852</v>
      </c>
      <c r="AN86" s="42">
        <v>45863</v>
      </c>
      <c r="AO86" s="42">
        <v>45866</v>
      </c>
      <c r="AP86" s="42">
        <v>45891</v>
      </c>
      <c r="AQ86" s="42">
        <v>45901</v>
      </c>
      <c r="AR86" s="339">
        <v>46081</v>
      </c>
      <c r="AS86" s="63" t="str">
        <f t="shared" si="221"/>
        <v>Selesai Implementasi</v>
      </c>
      <c r="AT86" s="63" t="str">
        <f t="shared" si="222"/>
        <v>Selesai Implementasi</v>
      </c>
      <c r="AU86" s="63" t="str">
        <f t="shared" si="223"/>
        <v>Selesai Implementasi</v>
      </c>
      <c r="AV86" s="63" t="str">
        <f t="shared" si="224"/>
        <v>Selesai Implementasi</v>
      </c>
      <c r="AW86" s="63" t="str">
        <f t="shared" si="225"/>
        <v>Selesai Implementasi</v>
      </c>
      <c r="AX86" s="63" t="str">
        <f t="shared" si="226"/>
        <v>Selesai Implementasi</v>
      </c>
      <c r="AY86" s="63" t="str">
        <f t="shared" si="227"/>
        <v>Selesai Implementasi</v>
      </c>
      <c r="AZ86" s="63" t="str">
        <f t="shared" si="228"/>
        <v>Selesai Implementasi</v>
      </c>
      <c r="BA86" s="63" t="str">
        <f t="shared" si="229"/>
        <v>Selesai Implementasi</v>
      </c>
      <c r="BB86" s="63" t="str">
        <f t="shared" si="220"/>
        <v>Selesai Implementasi</v>
      </c>
      <c r="BC86" s="63" t="str">
        <f t="shared" si="217"/>
        <v>Selesai Implementasi</v>
      </c>
      <c r="BD86" s="63" t="str">
        <f t="shared" si="167"/>
        <v>Selesai Implementasi</v>
      </c>
      <c r="BE86" s="43">
        <v>1</v>
      </c>
      <c r="BF86" s="43">
        <v>1</v>
      </c>
      <c r="BG86" s="43">
        <v>1</v>
      </c>
      <c r="BH86" s="43">
        <v>1</v>
      </c>
      <c r="BI86" s="43">
        <v>1</v>
      </c>
      <c r="BJ86" s="43">
        <v>1</v>
      </c>
      <c r="BK86" s="43">
        <v>1</v>
      </c>
      <c r="BL86" s="43">
        <v>1</v>
      </c>
      <c r="BM86" s="43">
        <v>1</v>
      </c>
      <c r="BN86" s="43">
        <v>1</v>
      </c>
      <c r="BO86" s="43">
        <v>1</v>
      </c>
      <c r="BP86" s="43">
        <v>1</v>
      </c>
      <c r="BQ86" s="63" t="str">
        <f t="shared" si="168"/>
        <v>Proses Implementasi</v>
      </c>
      <c r="BR86" s="63" t="str">
        <f t="shared" si="169"/>
        <v>Not Started</v>
      </c>
      <c r="BS86" s="63" t="str">
        <f t="shared" si="170"/>
        <v>Not Started</v>
      </c>
      <c r="BT86" s="63" t="str">
        <f t="shared" si="171"/>
        <v>Not Started</v>
      </c>
      <c r="BU86" s="63" t="str">
        <f t="shared" si="172"/>
        <v>Not Started</v>
      </c>
      <c r="BV86" s="63" t="str">
        <f t="shared" si="173"/>
        <v>Not Started</v>
      </c>
      <c r="BW86" s="63" t="str">
        <f t="shared" si="174"/>
        <v>Not Started</v>
      </c>
      <c r="BX86" s="63" t="str">
        <f t="shared" si="175"/>
        <v>Not Started</v>
      </c>
      <c r="BY86" s="63" t="str">
        <f t="shared" si="176"/>
        <v>Not Started</v>
      </c>
      <c r="BZ86" s="63" t="str">
        <f t="shared" si="177"/>
        <v>Not Started</v>
      </c>
      <c r="CA86" s="63" t="str">
        <f t="shared" si="178"/>
        <v>Not Started</v>
      </c>
      <c r="CB86" s="63" t="str">
        <f t="shared" si="179"/>
        <v>Not Started</v>
      </c>
      <c r="CC86" s="44">
        <f t="shared" si="216"/>
        <v>0.99949999999999983</v>
      </c>
      <c r="CD86" s="44"/>
      <c r="CE86" s="44"/>
      <c r="CF86" s="44"/>
      <c r="CG86" s="44"/>
      <c r="CH86" s="44"/>
      <c r="CI86" s="44"/>
      <c r="CJ86" s="44"/>
      <c r="CK86" s="44"/>
      <c r="CL86" s="44"/>
      <c r="CM86" s="44"/>
      <c r="CN86" s="44"/>
      <c r="CO86" s="45">
        <f t="shared" si="181"/>
        <v>0.99949999999999983</v>
      </c>
      <c r="CP86" s="45">
        <f t="shared" si="182"/>
        <v>0</v>
      </c>
      <c r="CQ86" s="45">
        <f t="shared" si="183"/>
        <v>0</v>
      </c>
      <c r="CR86" s="45">
        <f t="shared" si="184"/>
        <v>0</v>
      </c>
      <c r="CS86" s="45">
        <f t="shared" si="185"/>
        <v>0</v>
      </c>
      <c r="CT86" s="45">
        <f t="shared" si="186"/>
        <v>0</v>
      </c>
      <c r="CU86" s="45">
        <f t="shared" si="187"/>
        <v>0</v>
      </c>
      <c r="CV86" s="45">
        <f t="shared" si="188"/>
        <v>0</v>
      </c>
      <c r="CW86" s="45">
        <f t="shared" si="189"/>
        <v>0</v>
      </c>
      <c r="CX86" s="45">
        <f t="shared" si="190"/>
        <v>0</v>
      </c>
      <c r="CY86" s="45">
        <f t="shared" si="218"/>
        <v>0</v>
      </c>
      <c r="CZ86" s="45"/>
      <c r="DA86" s="45" t="str">
        <f t="shared" si="191"/>
        <v>OS</v>
      </c>
      <c r="DB86" s="45" t="str">
        <f t="shared" si="192"/>
        <v>BS</v>
      </c>
      <c r="DC86" s="45" t="str">
        <f t="shared" si="193"/>
        <v>BS</v>
      </c>
      <c r="DD86" s="45" t="str">
        <f t="shared" si="194"/>
        <v>BS</v>
      </c>
      <c r="DE86" s="45" t="str">
        <f t="shared" si="195"/>
        <v>BS</v>
      </c>
      <c r="DF86" s="45" t="str">
        <f t="shared" si="196"/>
        <v>BS</v>
      </c>
      <c r="DG86" s="45" t="str">
        <f t="shared" si="197"/>
        <v>BS</v>
      </c>
      <c r="DH86" s="45" t="str">
        <f t="shared" si="198"/>
        <v>BS</v>
      </c>
      <c r="DI86" s="45" t="str">
        <f t="shared" si="199"/>
        <v>BS</v>
      </c>
      <c r="DJ86" s="45" t="str">
        <f t="shared" si="200"/>
        <v>BS</v>
      </c>
      <c r="DK86" s="45" t="str">
        <f t="shared" si="219"/>
        <v>BS</v>
      </c>
      <c r="DL86" s="45" t="str">
        <f t="shared" si="201"/>
        <v>BS</v>
      </c>
      <c r="DM86" s="45">
        <f t="shared" si="202"/>
        <v>0.99949999999999983</v>
      </c>
      <c r="DN86" s="45">
        <f t="shared" si="203"/>
        <v>0</v>
      </c>
      <c r="DO86" s="45">
        <f t="shared" si="204"/>
        <v>0</v>
      </c>
      <c r="DP86" s="45">
        <f t="shared" si="205"/>
        <v>0</v>
      </c>
      <c r="DQ86" s="45">
        <f t="shared" si="206"/>
        <v>0</v>
      </c>
      <c r="DR86" s="45">
        <f t="shared" si="207"/>
        <v>0</v>
      </c>
      <c r="DS86" s="45">
        <f t="shared" si="208"/>
        <v>0</v>
      </c>
      <c r="DT86" s="45">
        <f t="shared" si="209"/>
        <v>0</v>
      </c>
      <c r="DU86" s="45">
        <f t="shared" si="210"/>
        <v>0</v>
      </c>
      <c r="DV86" s="45">
        <f t="shared" si="211"/>
        <v>0</v>
      </c>
      <c r="DW86" s="45">
        <f t="shared" si="212"/>
        <v>0</v>
      </c>
      <c r="DX86" s="45">
        <f t="shared" si="213"/>
        <v>0</v>
      </c>
      <c r="DY86" s="41">
        <v>1</v>
      </c>
      <c r="DZ86" s="41">
        <v>1</v>
      </c>
      <c r="EA86" s="41">
        <v>1</v>
      </c>
      <c r="EB86" s="41">
        <v>1</v>
      </c>
      <c r="EC86" s="41">
        <v>1</v>
      </c>
      <c r="ED86" s="41">
        <v>1</v>
      </c>
      <c r="EE86" s="41">
        <v>1</v>
      </c>
      <c r="EF86" s="41">
        <v>1</v>
      </c>
      <c r="EG86" s="41">
        <v>0.99</v>
      </c>
      <c r="EH86" s="47" t="s">
        <v>699</v>
      </c>
      <c r="EI86" s="222"/>
      <c r="EJ86" s="59">
        <f t="shared" si="214"/>
        <v>46081</v>
      </c>
      <c r="EK86" s="229"/>
      <c r="EL86" s="230"/>
      <c r="EM86" s="229"/>
      <c r="EN86" s="222"/>
      <c r="EO86" s="222"/>
      <c r="EP86" s="222"/>
      <c r="EQ86" s="231"/>
      <c r="ER86" s="213"/>
      <c r="ES86" s="220"/>
      <c r="ET86" s="220"/>
      <c r="EU86" s="220"/>
      <c r="EV86" s="220"/>
      <c r="EW86" s="220"/>
      <c r="EX86" s="220"/>
      <c r="EY86" s="220"/>
      <c r="EZ86" s="220"/>
      <c r="FA86" s="220"/>
      <c r="FB86" s="222"/>
      <c r="FC86" s="222"/>
      <c r="FD86" s="222"/>
      <c r="FE86" s="220"/>
      <c r="FF86" s="220"/>
      <c r="FG86" s="222"/>
      <c r="FH86" s="220"/>
      <c r="FI86" s="220"/>
      <c r="FJ86" s="220"/>
      <c r="FK86" s="220"/>
      <c r="FL86" s="215"/>
      <c r="FM86" s="172" t="s">
        <v>685</v>
      </c>
      <c r="FN86" s="172" t="s">
        <v>563</v>
      </c>
      <c r="FO86" s="172" t="s">
        <v>221</v>
      </c>
      <c r="FP86" s="172" t="s">
        <v>686</v>
      </c>
      <c r="FQ86" s="172" t="s">
        <v>399</v>
      </c>
      <c r="FR86" s="289" t="s">
        <v>184</v>
      </c>
      <c r="FS86" s="267" t="s">
        <v>677</v>
      </c>
      <c r="FT86" s="267" t="s">
        <v>1505</v>
      </c>
      <c r="FU86" s="48">
        <v>5</v>
      </c>
    </row>
    <row r="87" spans="1:177" s="16" customFormat="1" ht="112">
      <c r="A87" s="342"/>
      <c r="B87" s="48" t="s">
        <v>468</v>
      </c>
      <c r="C87" s="64" t="s">
        <v>206</v>
      </c>
      <c r="D87" s="225" t="s">
        <v>207</v>
      </c>
      <c r="E87" s="226" t="s">
        <v>668</v>
      </c>
      <c r="F87" s="227">
        <f t="shared" si="230"/>
        <v>8</v>
      </c>
      <c r="G87" s="65" t="s">
        <v>669</v>
      </c>
      <c r="H87" s="222" t="s">
        <v>670</v>
      </c>
      <c r="I87" s="65" t="s">
        <v>700</v>
      </c>
      <c r="J87" s="48">
        <v>2025</v>
      </c>
      <c r="K87" s="48">
        <v>2025</v>
      </c>
      <c r="L87" s="48" t="s">
        <v>172</v>
      </c>
      <c r="M87" s="48" t="s">
        <v>173</v>
      </c>
      <c r="N87" s="48" t="s">
        <v>174</v>
      </c>
      <c r="O87" s="48" t="s">
        <v>672</v>
      </c>
      <c r="P87" s="63" t="s">
        <v>458</v>
      </c>
      <c r="Q87" s="48" t="s">
        <v>673</v>
      </c>
      <c r="R87" s="48" t="s">
        <v>669</v>
      </c>
      <c r="S87" s="63" t="str">
        <f t="shared" si="153"/>
        <v>Selesai Implementasi</v>
      </c>
      <c r="T87" s="63" t="str">
        <f t="shared" si="145"/>
        <v>DONE</v>
      </c>
      <c r="U87" s="63" t="str">
        <f t="shared" si="154"/>
        <v>Rangga Dhaniarto</v>
      </c>
      <c r="V87" s="67">
        <f t="shared" si="155"/>
        <v>0.99999999999999989</v>
      </c>
      <c r="W87" s="66" t="s">
        <v>448</v>
      </c>
      <c r="X87" s="59">
        <f t="shared" si="156"/>
        <v>45989</v>
      </c>
      <c r="Y87" s="68"/>
      <c r="Z87" s="48" t="s">
        <v>179</v>
      </c>
      <c r="AA87" s="62">
        <v>45866</v>
      </c>
      <c r="AB87" s="62">
        <v>45904</v>
      </c>
      <c r="AC87" s="62"/>
      <c r="AD87" s="62"/>
      <c r="AE87" s="42">
        <v>45916</v>
      </c>
      <c r="AF87" s="42">
        <v>46065</v>
      </c>
      <c r="AG87" s="42">
        <v>45847</v>
      </c>
      <c r="AH87" s="42">
        <v>45869</v>
      </c>
      <c r="AI87" s="42">
        <v>45915</v>
      </c>
      <c r="AJ87" s="42">
        <v>45919</v>
      </c>
      <c r="AK87" s="42">
        <v>45922</v>
      </c>
      <c r="AL87" s="42">
        <v>45961</v>
      </c>
      <c r="AM87" s="42">
        <v>45964</v>
      </c>
      <c r="AN87" s="42">
        <v>45975</v>
      </c>
      <c r="AO87" s="42">
        <v>45971</v>
      </c>
      <c r="AP87" s="42">
        <v>45982</v>
      </c>
      <c r="AQ87" s="42">
        <v>45985</v>
      </c>
      <c r="AR87" s="42">
        <v>45989</v>
      </c>
      <c r="AS87" s="63" t="str">
        <f t="shared" si="221"/>
        <v>Selesai Implementasi</v>
      </c>
      <c r="AT87" s="63" t="str">
        <f t="shared" si="222"/>
        <v>Selesai Implementasi</v>
      </c>
      <c r="AU87" s="63" t="str">
        <f t="shared" si="223"/>
        <v>Selesai Implementasi</v>
      </c>
      <c r="AV87" s="63" t="str">
        <f t="shared" si="224"/>
        <v>Selesai Implementasi</v>
      </c>
      <c r="AW87" s="63" t="str">
        <f t="shared" si="225"/>
        <v>Selesai Implementasi</v>
      </c>
      <c r="AX87" s="63" t="str">
        <f t="shared" si="226"/>
        <v>Selesai Implementasi</v>
      </c>
      <c r="AY87" s="63" t="str">
        <f t="shared" si="227"/>
        <v>Selesai Implementasi</v>
      </c>
      <c r="AZ87" s="63" t="str">
        <f t="shared" si="228"/>
        <v>Selesai Implementasi</v>
      </c>
      <c r="BA87" s="63" t="str">
        <f t="shared" si="229"/>
        <v>Selesai Implementasi</v>
      </c>
      <c r="BB87" s="63" t="str">
        <f t="shared" si="220"/>
        <v>Selesai Implementasi</v>
      </c>
      <c r="BC87" s="63" t="str">
        <f t="shared" si="217"/>
        <v>Selesai Implementasi</v>
      </c>
      <c r="BD87" s="63" t="str">
        <f t="shared" si="167"/>
        <v>Selesai Implementasi</v>
      </c>
      <c r="BE87" s="43">
        <v>1</v>
      </c>
      <c r="BF87" s="43">
        <v>1</v>
      </c>
      <c r="BG87" s="43">
        <v>1</v>
      </c>
      <c r="BH87" s="43">
        <v>1</v>
      </c>
      <c r="BI87" s="43">
        <v>1</v>
      </c>
      <c r="BJ87" s="43">
        <v>1</v>
      </c>
      <c r="BK87" s="43">
        <v>1</v>
      </c>
      <c r="BL87" s="43">
        <v>1</v>
      </c>
      <c r="BM87" s="43">
        <v>1</v>
      </c>
      <c r="BN87" s="43">
        <v>1</v>
      </c>
      <c r="BO87" s="43">
        <v>1</v>
      </c>
      <c r="BP87" s="43">
        <v>1</v>
      </c>
      <c r="BQ87" s="63" t="str">
        <f t="shared" si="168"/>
        <v>Selesai Implementasi</v>
      </c>
      <c r="BR87" s="63" t="str">
        <f t="shared" si="169"/>
        <v>Not Started</v>
      </c>
      <c r="BS87" s="63" t="str">
        <f t="shared" si="170"/>
        <v>Not Started</v>
      </c>
      <c r="BT87" s="63" t="str">
        <f t="shared" si="171"/>
        <v>Not Started</v>
      </c>
      <c r="BU87" s="63" t="str">
        <f t="shared" si="172"/>
        <v>Not Started</v>
      </c>
      <c r="BV87" s="63" t="str">
        <f t="shared" si="173"/>
        <v>Not Started</v>
      </c>
      <c r="BW87" s="63" t="str">
        <f t="shared" si="174"/>
        <v>Not Started</v>
      </c>
      <c r="BX87" s="63" t="str">
        <f t="shared" si="175"/>
        <v>Not Started</v>
      </c>
      <c r="BY87" s="63" t="str">
        <f t="shared" si="176"/>
        <v>Not Started</v>
      </c>
      <c r="BZ87" s="63" t="str">
        <f t="shared" si="177"/>
        <v>Not Started</v>
      </c>
      <c r="CA87" s="63" t="str">
        <f t="shared" si="178"/>
        <v>Not Started</v>
      </c>
      <c r="CB87" s="63" t="str">
        <f t="shared" si="179"/>
        <v>Not Started</v>
      </c>
      <c r="CC87" s="44">
        <f t="shared" si="216"/>
        <v>0.99999999999999989</v>
      </c>
      <c r="CD87" s="44"/>
      <c r="CE87" s="44"/>
      <c r="CF87" s="44"/>
      <c r="CG87" s="44"/>
      <c r="CH87" s="44"/>
      <c r="CI87" s="44"/>
      <c r="CJ87" s="44"/>
      <c r="CK87" s="44"/>
      <c r="CL87" s="44"/>
      <c r="CM87" s="44"/>
      <c r="CN87" s="44"/>
      <c r="CO87" s="45">
        <f t="shared" si="181"/>
        <v>0.99999999999999989</v>
      </c>
      <c r="CP87" s="45">
        <f t="shared" si="182"/>
        <v>0</v>
      </c>
      <c r="CQ87" s="45">
        <f t="shared" si="183"/>
        <v>0</v>
      </c>
      <c r="CR87" s="45">
        <f t="shared" si="184"/>
        <v>0</v>
      </c>
      <c r="CS87" s="45">
        <f t="shared" si="185"/>
        <v>0</v>
      </c>
      <c r="CT87" s="45">
        <f t="shared" si="186"/>
        <v>0</v>
      </c>
      <c r="CU87" s="45">
        <f t="shared" si="187"/>
        <v>0</v>
      </c>
      <c r="CV87" s="45">
        <f t="shared" si="188"/>
        <v>0</v>
      </c>
      <c r="CW87" s="45">
        <f t="shared" si="189"/>
        <v>0</v>
      </c>
      <c r="CX87" s="45">
        <f t="shared" si="190"/>
        <v>0</v>
      </c>
      <c r="CY87" s="45">
        <f t="shared" si="218"/>
        <v>0</v>
      </c>
      <c r="CZ87" s="45"/>
      <c r="DA87" s="45" t="str">
        <f t="shared" si="191"/>
        <v>DONE</v>
      </c>
      <c r="DB87" s="45" t="str">
        <f t="shared" si="192"/>
        <v>BS</v>
      </c>
      <c r="DC87" s="45" t="str">
        <f t="shared" si="193"/>
        <v>BS</v>
      </c>
      <c r="DD87" s="45" t="str">
        <f t="shared" si="194"/>
        <v>BS</v>
      </c>
      <c r="DE87" s="45" t="str">
        <f t="shared" si="195"/>
        <v>BS</v>
      </c>
      <c r="DF87" s="45" t="str">
        <f t="shared" si="196"/>
        <v>BS</v>
      </c>
      <c r="DG87" s="45" t="str">
        <f t="shared" si="197"/>
        <v>BS</v>
      </c>
      <c r="DH87" s="45" t="str">
        <f t="shared" si="198"/>
        <v>BS</v>
      </c>
      <c r="DI87" s="45" t="str">
        <f t="shared" si="199"/>
        <v>BS</v>
      </c>
      <c r="DJ87" s="45" t="str">
        <f t="shared" si="200"/>
        <v>BS</v>
      </c>
      <c r="DK87" s="45" t="str">
        <f t="shared" si="219"/>
        <v>BS</v>
      </c>
      <c r="DL87" s="45" t="str">
        <f t="shared" si="201"/>
        <v>BS</v>
      </c>
      <c r="DM87" s="45">
        <f t="shared" si="202"/>
        <v>0.99999999999999989</v>
      </c>
      <c r="DN87" s="45">
        <f t="shared" si="203"/>
        <v>0</v>
      </c>
      <c r="DO87" s="45">
        <f t="shared" si="204"/>
        <v>0</v>
      </c>
      <c r="DP87" s="45">
        <f t="shared" si="205"/>
        <v>0</v>
      </c>
      <c r="DQ87" s="45">
        <f t="shared" si="206"/>
        <v>0</v>
      </c>
      <c r="DR87" s="45">
        <f t="shared" si="207"/>
        <v>0</v>
      </c>
      <c r="DS87" s="45">
        <f t="shared" si="208"/>
        <v>0</v>
      </c>
      <c r="DT87" s="45">
        <f t="shared" si="209"/>
        <v>0</v>
      </c>
      <c r="DU87" s="45">
        <f t="shared" si="210"/>
        <v>0</v>
      </c>
      <c r="DV87" s="45">
        <f t="shared" si="211"/>
        <v>0</v>
      </c>
      <c r="DW87" s="45">
        <f t="shared" si="212"/>
        <v>0</v>
      </c>
      <c r="DX87" s="45">
        <f t="shared" si="213"/>
        <v>0</v>
      </c>
      <c r="DY87" s="41">
        <v>1</v>
      </c>
      <c r="DZ87" s="41">
        <v>1</v>
      </c>
      <c r="EA87" s="41">
        <v>1</v>
      </c>
      <c r="EB87" s="41">
        <v>1</v>
      </c>
      <c r="EC87" s="41">
        <v>1</v>
      </c>
      <c r="ED87" s="41">
        <v>1</v>
      </c>
      <c r="EE87" s="41">
        <v>1</v>
      </c>
      <c r="EF87" s="41">
        <v>1</v>
      </c>
      <c r="EG87" s="41">
        <v>1</v>
      </c>
      <c r="EH87" s="204" t="s">
        <v>701</v>
      </c>
      <c r="EI87" s="343"/>
      <c r="EJ87" s="59">
        <f t="shared" si="214"/>
        <v>45989</v>
      </c>
      <c r="EK87" s="266"/>
      <c r="EL87" s="344"/>
      <c r="EM87" s="266"/>
      <c r="EN87" s="285"/>
      <c r="EO87" s="285"/>
      <c r="EP87" s="285"/>
      <c r="EQ87" s="345"/>
      <c r="ER87" s="273"/>
      <c r="ES87" s="346"/>
      <c r="ET87" s="346"/>
      <c r="EU87" s="346"/>
      <c r="EV87" s="346"/>
      <c r="EW87" s="346"/>
      <c r="EX87" s="346"/>
      <c r="EY87" s="346"/>
      <c r="EZ87" s="346"/>
      <c r="FA87" s="346"/>
      <c r="FB87" s="285"/>
      <c r="FC87" s="285"/>
      <c r="FD87" s="285"/>
      <c r="FE87" s="346"/>
      <c r="FF87" s="346"/>
      <c r="FG87" s="285"/>
      <c r="FH87" s="346"/>
      <c r="FI87" s="346"/>
      <c r="FJ87" s="346"/>
      <c r="FK87" s="346"/>
      <c r="FL87" s="347"/>
      <c r="FM87" s="247" t="s">
        <v>702</v>
      </c>
      <c r="FN87" s="247" t="s">
        <v>563</v>
      </c>
      <c r="FO87" s="247" t="s">
        <v>221</v>
      </c>
      <c r="FP87" s="172" t="s">
        <v>686</v>
      </c>
      <c r="FQ87" s="172" t="s">
        <v>399</v>
      </c>
      <c r="FR87" s="289" t="s">
        <v>549</v>
      </c>
      <c r="FS87" s="267"/>
      <c r="FT87" s="267" t="s">
        <v>1505</v>
      </c>
      <c r="FU87" s="294"/>
    </row>
    <row r="88" spans="1:177" s="16" customFormat="1" ht="160">
      <c r="A88" s="342"/>
      <c r="B88" s="48" t="s">
        <v>468</v>
      </c>
      <c r="C88" s="64" t="s">
        <v>206</v>
      </c>
      <c r="D88" s="225" t="s">
        <v>207</v>
      </c>
      <c r="E88" s="226" t="s">
        <v>668</v>
      </c>
      <c r="F88" s="227">
        <f t="shared" si="230"/>
        <v>9</v>
      </c>
      <c r="G88" s="65" t="s">
        <v>669</v>
      </c>
      <c r="H88" s="222" t="s">
        <v>670</v>
      </c>
      <c r="I88" s="65" t="s">
        <v>703</v>
      </c>
      <c r="J88" s="48">
        <v>2024</v>
      </c>
      <c r="K88" s="48">
        <v>2026</v>
      </c>
      <c r="L88" s="48" t="s">
        <v>172</v>
      </c>
      <c r="M88" s="48" t="s">
        <v>173</v>
      </c>
      <c r="N88" s="48" t="s">
        <v>174</v>
      </c>
      <c r="O88" s="63" t="s">
        <v>672</v>
      </c>
      <c r="P88" s="63" t="s">
        <v>458</v>
      </c>
      <c r="Q88" s="48" t="s">
        <v>673</v>
      </c>
      <c r="R88" s="48" t="s">
        <v>669</v>
      </c>
      <c r="S88" s="63" t="str">
        <f t="shared" si="153"/>
        <v>Selesai Implementasi</v>
      </c>
      <c r="T88" s="63" t="str">
        <f t="shared" si="145"/>
        <v>DONE</v>
      </c>
      <c r="U88" s="63" t="str">
        <f t="shared" si="154"/>
        <v>Rangga Dhaniarto</v>
      </c>
      <c r="V88" s="67">
        <f t="shared" si="155"/>
        <v>0.99999999999999989</v>
      </c>
      <c r="W88" s="66" t="s">
        <v>448</v>
      </c>
      <c r="X88" s="59">
        <f t="shared" si="156"/>
        <v>46038</v>
      </c>
      <c r="Y88" s="68"/>
      <c r="Z88" s="48" t="s">
        <v>179</v>
      </c>
      <c r="AA88" s="62">
        <v>45866</v>
      </c>
      <c r="AB88" s="62">
        <v>45904</v>
      </c>
      <c r="AC88" s="62"/>
      <c r="AD88" s="62"/>
      <c r="AE88" s="42">
        <v>45916</v>
      </c>
      <c r="AF88" s="42">
        <v>46065</v>
      </c>
      <c r="AG88" s="42">
        <v>45847</v>
      </c>
      <c r="AH88" s="42">
        <v>45869</v>
      </c>
      <c r="AI88" s="42">
        <v>45964</v>
      </c>
      <c r="AJ88" s="42">
        <v>45968</v>
      </c>
      <c r="AK88" s="42">
        <v>45971</v>
      </c>
      <c r="AL88" s="42">
        <v>46003</v>
      </c>
      <c r="AM88" s="42">
        <v>46006</v>
      </c>
      <c r="AN88" s="42">
        <v>46017</v>
      </c>
      <c r="AO88" s="42">
        <v>46020</v>
      </c>
      <c r="AP88" s="42">
        <v>46031</v>
      </c>
      <c r="AQ88" s="42">
        <v>46034</v>
      </c>
      <c r="AR88" s="42">
        <v>46038</v>
      </c>
      <c r="AS88" s="63" t="str">
        <f t="shared" si="221"/>
        <v>Selesai Implementasi</v>
      </c>
      <c r="AT88" s="63" t="str">
        <f t="shared" si="222"/>
        <v>Selesai Implementasi</v>
      </c>
      <c r="AU88" s="63" t="str">
        <f t="shared" si="223"/>
        <v>Selesai Implementasi</v>
      </c>
      <c r="AV88" s="63" t="str">
        <f t="shared" si="224"/>
        <v>Selesai Implementasi</v>
      </c>
      <c r="AW88" s="63" t="str">
        <f t="shared" si="225"/>
        <v>Selesai Implementasi</v>
      </c>
      <c r="AX88" s="63" t="str">
        <f t="shared" si="226"/>
        <v>Selesai Implementasi</v>
      </c>
      <c r="AY88" s="63" t="str">
        <f t="shared" si="227"/>
        <v>Selesai Implementasi</v>
      </c>
      <c r="AZ88" s="63" t="str">
        <f t="shared" si="228"/>
        <v>Selesai Implementasi</v>
      </c>
      <c r="BA88" s="63" t="str">
        <f t="shared" si="229"/>
        <v>Selesai Implementasi</v>
      </c>
      <c r="BB88" s="63" t="str">
        <f t="shared" si="220"/>
        <v>Selesai Implementasi</v>
      </c>
      <c r="BC88" s="63" t="str">
        <f t="shared" si="217"/>
        <v>Selesai Implementasi</v>
      </c>
      <c r="BD88" s="63" t="str">
        <f t="shared" si="167"/>
        <v>Selesai Implementasi</v>
      </c>
      <c r="BE88" s="43">
        <v>1</v>
      </c>
      <c r="BF88" s="43">
        <v>1</v>
      </c>
      <c r="BG88" s="43">
        <v>1</v>
      </c>
      <c r="BH88" s="43">
        <v>1</v>
      </c>
      <c r="BI88" s="43">
        <v>1</v>
      </c>
      <c r="BJ88" s="43">
        <v>1</v>
      </c>
      <c r="BK88" s="43">
        <v>1</v>
      </c>
      <c r="BL88" s="43">
        <v>1</v>
      </c>
      <c r="BM88" s="43">
        <v>1</v>
      </c>
      <c r="BN88" s="43">
        <v>1</v>
      </c>
      <c r="BO88" s="43">
        <v>1</v>
      </c>
      <c r="BP88" s="43">
        <v>1</v>
      </c>
      <c r="BQ88" s="63" t="str">
        <f t="shared" si="168"/>
        <v>Selesai Implementasi</v>
      </c>
      <c r="BR88" s="63" t="str">
        <f t="shared" si="169"/>
        <v>Not Started</v>
      </c>
      <c r="BS88" s="63" t="str">
        <f t="shared" si="170"/>
        <v>Not Started</v>
      </c>
      <c r="BT88" s="63" t="str">
        <f t="shared" si="171"/>
        <v>Not Started</v>
      </c>
      <c r="BU88" s="63" t="str">
        <f t="shared" si="172"/>
        <v>Not Started</v>
      </c>
      <c r="BV88" s="63" t="str">
        <f t="shared" si="173"/>
        <v>Not Started</v>
      </c>
      <c r="BW88" s="63" t="str">
        <f t="shared" si="174"/>
        <v>Not Started</v>
      </c>
      <c r="BX88" s="63" t="str">
        <f t="shared" si="175"/>
        <v>Not Started</v>
      </c>
      <c r="BY88" s="63" t="str">
        <f t="shared" si="176"/>
        <v>Not Started</v>
      </c>
      <c r="BZ88" s="63" t="str">
        <f t="shared" si="177"/>
        <v>Not Started</v>
      </c>
      <c r="CA88" s="63" t="str">
        <f t="shared" si="178"/>
        <v>Not Started</v>
      </c>
      <c r="CB88" s="63" t="str">
        <f t="shared" si="179"/>
        <v>Not Started</v>
      </c>
      <c r="CC88" s="44">
        <f t="shared" si="216"/>
        <v>0.99999999999999989</v>
      </c>
      <c r="CD88" s="44"/>
      <c r="CE88" s="44"/>
      <c r="CF88" s="44"/>
      <c r="CG88" s="44"/>
      <c r="CH88" s="44"/>
      <c r="CI88" s="44"/>
      <c r="CJ88" s="44"/>
      <c r="CK88" s="44"/>
      <c r="CL88" s="44"/>
      <c r="CM88" s="44"/>
      <c r="CN88" s="44"/>
      <c r="CO88" s="45">
        <f t="shared" si="181"/>
        <v>0.99999999999999989</v>
      </c>
      <c r="CP88" s="45">
        <f t="shared" si="182"/>
        <v>0</v>
      </c>
      <c r="CQ88" s="45">
        <f t="shared" si="183"/>
        <v>0</v>
      </c>
      <c r="CR88" s="45">
        <f t="shared" si="184"/>
        <v>0</v>
      </c>
      <c r="CS88" s="45">
        <f t="shared" si="185"/>
        <v>0</v>
      </c>
      <c r="CT88" s="45">
        <f t="shared" si="186"/>
        <v>0</v>
      </c>
      <c r="CU88" s="45">
        <f t="shared" si="187"/>
        <v>0</v>
      </c>
      <c r="CV88" s="45">
        <f t="shared" si="188"/>
        <v>0</v>
      </c>
      <c r="CW88" s="45">
        <f t="shared" si="189"/>
        <v>0</v>
      </c>
      <c r="CX88" s="45">
        <f t="shared" si="190"/>
        <v>0</v>
      </c>
      <c r="CY88" s="45">
        <f t="shared" si="218"/>
        <v>0</v>
      </c>
      <c r="CZ88" s="45"/>
      <c r="DA88" s="45" t="str">
        <f t="shared" si="191"/>
        <v>DONE</v>
      </c>
      <c r="DB88" s="45" t="str">
        <f t="shared" si="192"/>
        <v>BS</v>
      </c>
      <c r="DC88" s="45" t="str">
        <f t="shared" si="193"/>
        <v>BS</v>
      </c>
      <c r="DD88" s="45" t="str">
        <f t="shared" si="194"/>
        <v>BS</v>
      </c>
      <c r="DE88" s="45" t="str">
        <f t="shared" si="195"/>
        <v>BS</v>
      </c>
      <c r="DF88" s="45" t="str">
        <f t="shared" si="196"/>
        <v>BS</v>
      </c>
      <c r="DG88" s="45" t="str">
        <f t="shared" si="197"/>
        <v>BS</v>
      </c>
      <c r="DH88" s="45" t="str">
        <f t="shared" si="198"/>
        <v>BS</v>
      </c>
      <c r="DI88" s="45" t="str">
        <f t="shared" si="199"/>
        <v>BS</v>
      </c>
      <c r="DJ88" s="45" t="str">
        <f t="shared" si="200"/>
        <v>BS</v>
      </c>
      <c r="DK88" s="45" t="str">
        <f t="shared" si="219"/>
        <v>BS</v>
      </c>
      <c r="DL88" s="45" t="str">
        <f t="shared" si="201"/>
        <v>BS</v>
      </c>
      <c r="DM88" s="45">
        <f t="shared" si="202"/>
        <v>0.99999999999999989</v>
      </c>
      <c r="DN88" s="45">
        <f t="shared" si="203"/>
        <v>0</v>
      </c>
      <c r="DO88" s="45">
        <f t="shared" si="204"/>
        <v>0</v>
      </c>
      <c r="DP88" s="45">
        <f t="shared" si="205"/>
        <v>0</v>
      </c>
      <c r="DQ88" s="45">
        <f t="shared" si="206"/>
        <v>0</v>
      </c>
      <c r="DR88" s="45">
        <f t="shared" si="207"/>
        <v>0</v>
      </c>
      <c r="DS88" s="45">
        <f t="shared" si="208"/>
        <v>0</v>
      </c>
      <c r="DT88" s="45">
        <f t="shared" si="209"/>
        <v>0</v>
      </c>
      <c r="DU88" s="45">
        <f t="shared" si="210"/>
        <v>0</v>
      </c>
      <c r="DV88" s="45">
        <f t="shared" si="211"/>
        <v>0</v>
      </c>
      <c r="DW88" s="45">
        <f t="shared" si="212"/>
        <v>0</v>
      </c>
      <c r="DX88" s="45">
        <f t="shared" si="213"/>
        <v>0</v>
      </c>
      <c r="DY88" s="41">
        <v>1</v>
      </c>
      <c r="DZ88" s="41">
        <v>1</v>
      </c>
      <c r="EA88" s="41">
        <v>1</v>
      </c>
      <c r="EB88" s="41">
        <v>1</v>
      </c>
      <c r="EC88" s="41">
        <v>1</v>
      </c>
      <c r="ED88" s="41">
        <v>1</v>
      </c>
      <c r="EE88" s="41">
        <v>1</v>
      </c>
      <c r="EF88" s="41">
        <v>1</v>
      </c>
      <c r="EG88" s="41">
        <v>1</v>
      </c>
      <c r="EH88" s="204" t="s">
        <v>1611</v>
      </c>
      <c r="EI88" s="343"/>
      <c r="EJ88" s="59">
        <f t="shared" si="214"/>
        <v>46038</v>
      </c>
      <c r="EK88" s="266"/>
      <c r="EL88" s="344"/>
      <c r="EM88" s="266"/>
      <c r="EN88" s="285"/>
      <c r="EO88" s="285"/>
      <c r="EP88" s="285"/>
      <c r="EQ88" s="345"/>
      <c r="ER88" s="273"/>
      <c r="ES88" s="346"/>
      <c r="ET88" s="346"/>
      <c r="EU88" s="346"/>
      <c r="EV88" s="346"/>
      <c r="EW88" s="346"/>
      <c r="EX88" s="346"/>
      <c r="EY88" s="346"/>
      <c r="EZ88" s="346"/>
      <c r="FA88" s="346"/>
      <c r="FB88" s="285"/>
      <c r="FC88" s="285"/>
      <c r="FD88" s="285"/>
      <c r="FE88" s="346"/>
      <c r="FF88" s="346"/>
      <c r="FG88" s="285"/>
      <c r="FH88" s="346"/>
      <c r="FI88" s="346"/>
      <c r="FJ88" s="346"/>
      <c r="FK88" s="346"/>
      <c r="FL88" s="347"/>
      <c r="FM88" s="247" t="s">
        <v>702</v>
      </c>
      <c r="FN88" s="340" t="s">
        <v>563</v>
      </c>
      <c r="FO88" s="247" t="s">
        <v>221</v>
      </c>
      <c r="FP88" s="172" t="s">
        <v>686</v>
      </c>
      <c r="FQ88" s="172" t="s">
        <v>399</v>
      </c>
      <c r="FR88" s="289" t="s">
        <v>549</v>
      </c>
      <c r="FS88" s="267"/>
      <c r="FT88" s="267" t="s">
        <v>1505</v>
      </c>
      <c r="FU88" s="294"/>
    </row>
    <row r="89" spans="1:177" s="16" customFormat="1" ht="80">
      <c r="A89" s="342"/>
      <c r="B89" s="48"/>
      <c r="C89" s="64"/>
      <c r="D89" s="225"/>
      <c r="E89" s="226" t="s">
        <v>668</v>
      </c>
      <c r="F89" s="227">
        <f t="shared" si="230"/>
        <v>10</v>
      </c>
      <c r="G89" s="65" t="s">
        <v>669</v>
      </c>
      <c r="H89" s="222" t="s">
        <v>670</v>
      </c>
      <c r="I89" s="349" t="s">
        <v>1496</v>
      </c>
      <c r="J89" s="48">
        <v>2025</v>
      </c>
      <c r="K89" s="48">
        <v>2025</v>
      </c>
      <c r="L89" s="48" t="s">
        <v>172</v>
      </c>
      <c r="M89" s="48" t="s">
        <v>173</v>
      </c>
      <c r="N89" s="48"/>
      <c r="O89" s="63"/>
      <c r="P89" s="63"/>
      <c r="Q89" s="48" t="s">
        <v>673</v>
      </c>
      <c r="R89" s="48" t="s">
        <v>1497</v>
      </c>
      <c r="S89" s="63"/>
      <c r="T89" s="63" t="str">
        <f t="shared" si="145"/>
        <v>Not Started</v>
      </c>
      <c r="U89" s="63"/>
      <c r="V89" s="67"/>
      <c r="W89" s="66" t="s">
        <v>415</v>
      </c>
      <c r="X89" s="59">
        <f>AR89</f>
        <v>46020</v>
      </c>
      <c r="Y89" s="68"/>
      <c r="Z89" s="316" t="s">
        <v>1636</v>
      </c>
      <c r="AA89" s="350">
        <v>46008</v>
      </c>
      <c r="AB89" s="350">
        <v>46009</v>
      </c>
      <c r="AC89" s="350">
        <v>46009</v>
      </c>
      <c r="AD89" s="350">
        <v>46010</v>
      </c>
      <c r="AE89" s="245">
        <v>46006</v>
      </c>
      <c r="AF89" s="245">
        <v>46009</v>
      </c>
      <c r="AG89" s="245"/>
      <c r="AH89" s="245"/>
      <c r="AI89" s="245">
        <v>46009</v>
      </c>
      <c r="AJ89" s="245">
        <v>46009</v>
      </c>
      <c r="AK89" s="245">
        <v>46009</v>
      </c>
      <c r="AL89" s="245">
        <v>46012</v>
      </c>
      <c r="AM89" s="245">
        <v>46013</v>
      </c>
      <c r="AN89" s="245">
        <v>46014</v>
      </c>
      <c r="AO89" s="245">
        <v>46014</v>
      </c>
      <c r="AP89" s="245">
        <v>46015</v>
      </c>
      <c r="AQ89" s="245">
        <v>46016</v>
      </c>
      <c r="AR89" s="245">
        <v>46020</v>
      </c>
      <c r="AS89" s="63"/>
      <c r="AT89" s="63"/>
      <c r="AU89" s="63"/>
      <c r="AV89" s="63"/>
      <c r="AW89" s="63"/>
      <c r="AX89" s="63"/>
      <c r="AY89" s="63"/>
      <c r="AZ89" s="63"/>
      <c r="BA89" s="63" t="str">
        <f t="shared" ref="BA89" si="231">IF(BM89=0%,"Not Started",IF(BM89&lt;5%,"Proses RBT-RBB",IF(BM89=5%,"Selesai RBT-RBB",IF(BM89&lt;10%,"Proses RBT-RBL",IF(BM89=10%,"Selesai RBT-RBL",IF(BM89&lt;15%,"Proses RBT-RBTD",IF(BM89=15%,"Selesai RBT-RBTD",IF(BM89&lt;20%,"Proses RPP",IF(BM89=20%,"Selesai RPP",IF(BM89&lt;25%,"Proses KAK",IF(BM89=25%,"Selesai KAK",IF(BM89&lt;30%,"Proses Pengadaan",IF(BM89=30%,"Selesai Pengadaan",IF(BM89&lt;45%,"Proses Desain",IF(BM89=45%,"Selesai Desain",IF(BM89&lt;80%,"Proses Pengembangan",IF(BM89=80%,"Selesai Pengembangan",IF(BM89&lt;87.5%,"Proses SIT",IF(BM89=87.5%,"Selesai SIT",IF(BM89&lt;95%,"Proses UAT",IF(BM89=95%,"Selesai UAT",IF(BM89&lt;100%,"Proses Implementasi","Selesai Implementasi"))))))))))))))))))))))</f>
        <v>Selesai Implementasi</v>
      </c>
      <c r="BB89" s="63" t="str">
        <f t="shared" ref="BB89" si="232">IF(BN89=0%,"Not Started",IF(BN89&lt;5%,"Proses RBT-RBB",IF(BN89=5%,"Selesai RBT-RBB",IF(BN89&lt;10%,"Proses RBT-RBL",IF(BN89=10%,"Selesai RBT-RBL",IF(BN89&lt;15%,"Proses RBT-RBTD",IF(BN89=15%,"Selesai RBT-RBTD",IF(BN89&lt;20%,"Proses RPP",IF(BN89=20%,"Selesai RPP",IF(BN89&lt;25%,"Proses KAK",IF(BN89=25%,"Selesai KAK",IF(BN89&lt;30%,"Proses Pengadaan",IF(BN89=30%,"Selesai Pengadaan",IF(BN89&lt;45%,"Proses Desain",IF(BN89=45%,"Selesai Desain",IF(BN89&lt;80%,"Proses Pengembangan",IF(BN89=80%,"Selesai Pengembangan",IF(BN89&lt;87.5%,"Proses SIT",IF(BN89=87.5%,"Selesai SIT",IF(BN89&lt;95%,"Proses UAT",IF(BN89=95%,"Selesai UAT",IF(BN89&lt;100%,"Proses Implementasi","Selesai Implementasi"))))))))))))))))))))))</f>
        <v>Selesai Implementasi</v>
      </c>
      <c r="BC89" s="63" t="str">
        <f t="shared" ref="BC89" si="233">IF(BO89=0%,"Not Started",IF(BO89&lt;5%,"Proses RBT-RBB",IF(BO89=5%,"Selesai RBT-RBB",IF(BO89&lt;10%,"Proses RBT-RBL",IF(BO89=10%,"Selesai RBT-RBL",IF(BO89&lt;15%,"Proses RBT-RBTD",IF(BO89=15%,"Selesai RBT-RBTD",IF(BO89&lt;20%,"Proses RPP",IF(BO89=20%,"Selesai RPP",IF(BO89&lt;25%,"Proses KAK",IF(BO89=25%,"Selesai KAK",IF(BO89&lt;30%,"Proses Pengadaan",IF(BO89=30%,"Selesai Pengadaan",IF(BO89&lt;45%,"Proses Desain",IF(BO89=45%,"Selesai Desain",IF(BO89&lt;80%,"Proses Pengembangan",IF(BO89=80%,"Selesai Pengembangan",IF(BO89&lt;87.5%,"Proses SIT",IF(BO89=87.5%,"Selesai SIT",IF(BO89&lt;95%,"Proses UAT",IF(BO89=95%,"Selesai UAT",IF(BO89&lt;100%,"Proses Implementasi","Selesai Implementasi"))))))))))))))))))))))</f>
        <v>Selesai Implementasi</v>
      </c>
      <c r="BD89" s="63" t="str">
        <f t="shared" ref="BD89" si="234">IF(BP89=0%,"Not Started",IF(BP89&lt;5%,"Proses RBT-RBB",IF(BP89=5%,"Selesai RBT-RBB",IF(BP89&lt;10%,"Proses RBT-RBL",IF(BP89=10%,"Selesai RBT-RBL",IF(BP89&lt;15%,"Proses RBT-RBTD",IF(BP89=15%,"Selesai RBT-RBTD",IF(BP89&lt;20%,"Proses RPP",IF(BP89=20%,"Selesai RPP",IF(BP89&lt;25%,"Proses KAK",IF(BP89=25%,"Selesai KAK",IF(BP89&lt;30%,"Proses Pengadaan",IF(BP89=30%,"Selesai Pengadaan",IF(BP89&lt;45%,"Proses Desain",IF(BP89=45%,"Selesai Desain",IF(BP89&lt;80%,"Proses Pengembangan",IF(BP89=80%,"Selesai Pengembangan",IF(BP89&lt;87.5%,"Proses SIT",IF(BP89=87.5%,"Selesai SIT",IF(BP89&lt;95%,"Proses UAT",IF(BP89=95%,"Selesai UAT",IF(BP89&lt;100%,"Proses Implementasi","Selesai Implementasi"))))))))))))))))))))))</f>
        <v>Selesai Implementasi</v>
      </c>
      <c r="BE89" s="43">
        <v>1</v>
      </c>
      <c r="BF89" s="43">
        <v>1</v>
      </c>
      <c r="BG89" s="43">
        <v>1</v>
      </c>
      <c r="BH89" s="43">
        <v>1</v>
      </c>
      <c r="BI89" s="43">
        <v>1</v>
      </c>
      <c r="BJ89" s="43">
        <v>1</v>
      </c>
      <c r="BK89" s="43">
        <v>1</v>
      </c>
      <c r="BL89" s="43">
        <v>1</v>
      </c>
      <c r="BM89" s="43">
        <v>1</v>
      </c>
      <c r="BN89" s="43">
        <v>1</v>
      </c>
      <c r="BO89" s="43">
        <v>1</v>
      </c>
      <c r="BP89" s="43">
        <v>1</v>
      </c>
      <c r="BQ89" s="63" t="str">
        <f t="shared" ref="BQ89" si="235">IF(CC89=0%,"Not Started",IF(CC89&lt;5%,"Proses RBT-RBB",IF(CC89=5%,"Selesai RBT-RBB",IF(CC89&lt;10%,"Proses RBT-RBL",IF(CC89=10%,"Selesai RBT-RBL",IF(CC89&lt;15%,"Proses RBT-RBTD",IF(CC89=15%,"Selesai RBT-RBTD",IF(CC89&lt;20%,"Proses RPP",IF(CC89=20%,"Selesai RPP",IF(CC89&lt;25%,"Proses KAK",IF(CC89=25%,"Selesai KAK",IF(CC89&lt;30%,"Proses Pengadaan",IF(CC89=30%,"Selesai Pengadaan",IF(CC89&lt;45%,"Proses Desain",IF(CC89=45%,"Selesai Desain",IF(CC89&lt;80%,"Proses Pengembangan",IF(CC89=80%,"Selesai Pengembangan",IF(CC89&lt;87.5%,"Proses SIT",IF(CC89=87.5%,"Selesai SIT",IF(CC89&lt;95%,"Proses UAT",IF(CC89=95%,"Selesai UAT",IF(CC89&lt;100%,"Proses Implementasi","Selesai Implementasi"))))))))))))))))))))))</f>
        <v>Selesai Implementasi</v>
      </c>
      <c r="BR89" s="63" t="str">
        <f t="shared" ref="BR89" si="236">IF(CD89=0%,"Not Started",IF(CD89&lt;5%,"Proses RBT-RBB",IF(CD89=5%,"Selesai RBT-RBB",IF(CD89&lt;10%,"Proses RBT-RBL",IF(CD89=10%,"Selesai RBT-RBL",IF(CD89&lt;15%,"Proses RBT-RBTD",IF(CD89=15%,"Selesai RBT-RBTD",IF(CD89&lt;20%,"Proses RPP",IF(CD89=20%,"Selesai RPP",IF(CD89&lt;25%,"Proses KAK",IF(CD89=25%,"Selesai KAK",IF(CD89&lt;30%,"Proses Pengadaan",IF(CD89=30%,"Selesai Pengadaan",IF(CD89&lt;45%,"Proses Desain",IF(CD89=45%,"Selesai Desain",IF(CD89&lt;80%,"Proses Pengembangan",IF(CD89=80%,"Selesai Pengembangan",IF(CD89&lt;87.5%,"Proses SIT",IF(CD89=87.5%,"Selesai SIT",IF(CD89&lt;95%,"Proses UAT",IF(CD89=95%,"Selesai UAT",IF(CD89&lt;100%,"Proses Implementasi","Selesai Implementasi"))))))))))))))))))))))</f>
        <v>Not Started</v>
      </c>
      <c r="BS89" s="63" t="str">
        <f t="shared" ref="BS89" si="237">IF(CE89=0%,"Not Started",IF(CE89&lt;5%,"Proses RBT-RBB",IF(CE89=5%,"Selesai RBT-RBB",IF(CE89&lt;10%,"Proses RBT-RBL",IF(CE89=10%,"Selesai RBT-RBL",IF(CE89&lt;15%,"Proses RBT-RBTD",IF(CE89=15%,"Selesai RBT-RBTD",IF(CE89&lt;20%,"Proses RPP",IF(CE89=20%,"Selesai RPP",IF(CE89&lt;25%,"Proses KAK",IF(CE89=25%,"Selesai KAK",IF(CE89&lt;30%,"Proses Pengadaan",IF(CE89=30%,"Selesai Pengadaan",IF(CE89&lt;45%,"Proses Desain",IF(CE89=45%,"Selesai Desain",IF(CE89&lt;80%,"Proses Pengembangan",IF(CE89=80%,"Selesai Pengembangan",IF(CE89&lt;87.5%,"Proses SIT",IF(CE89=87.5%,"Selesai SIT",IF(CE89&lt;95%,"Proses UAT",IF(CE89=95%,"Selesai UAT",IF(CE89&lt;100%,"Proses Implementasi","Selesai Implementasi"))))))))))))))))))))))</f>
        <v>Not Started</v>
      </c>
      <c r="BT89" s="63" t="str">
        <f t="shared" ref="BT89" si="238">IF(CF89=0%,"Not Started",IF(CF89&lt;5%,"Proses RBT-RBB",IF(CF89=5%,"Selesai RBT-RBB",IF(CF89&lt;10%,"Proses RBT-RBL",IF(CF89=10%,"Selesai RBT-RBL",IF(CF89&lt;15%,"Proses RBT-RBTD",IF(CF89=15%,"Selesai RBT-RBTD",IF(CF89&lt;20%,"Proses RPP",IF(CF89=20%,"Selesai RPP",IF(CF89&lt;25%,"Proses KAK",IF(CF89=25%,"Selesai KAK",IF(CF89&lt;30%,"Proses Pengadaan",IF(CF89=30%,"Selesai Pengadaan",IF(CF89&lt;45%,"Proses Desain",IF(CF89=45%,"Selesai Desain",IF(CF89&lt;80%,"Proses Pengembangan",IF(CF89=80%,"Selesai Pengembangan",IF(CF89&lt;87.5%,"Proses SIT",IF(CF89=87.5%,"Selesai SIT",IF(CF89&lt;95%,"Proses UAT",IF(CF89=95%,"Selesai UAT",IF(CF89&lt;100%,"Proses Implementasi","Selesai Implementasi"))))))))))))))))))))))</f>
        <v>Not Started</v>
      </c>
      <c r="BU89" s="63" t="str">
        <f t="shared" ref="BU89" si="239">IF(CG89=0%,"Not Started",IF(CG89&lt;5%,"Proses RBT-RBB",IF(CG89=5%,"Selesai RBT-RBB",IF(CG89&lt;10%,"Proses RBT-RBL",IF(CG89=10%,"Selesai RBT-RBL",IF(CG89&lt;15%,"Proses RBT-RBTD",IF(CG89=15%,"Selesai RBT-RBTD",IF(CG89&lt;20%,"Proses RPP",IF(CG89=20%,"Selesai RPP",IF(CG89&lt;25%,"Proses KAK",IF(CG89=25%,"Selesai KAK",IF(CG89&lt;30%,"Proses Pengadaan",IF(CG89=30%,"Selesai Pengadaan",IF(CG89&lt;45%,"Proses Desain",IF(CG89=45%,"Selesai Desain",IF(CG89&lt;80%,"Proses Pengembangan",IF(CG89=80%,"Selesai Pengembangan",IF(CG89&lt;87.5%,"Proses SIT",IF(CG89=87.5%,"Selesai SIT",IF(CG89&lt;95%,"Proses UAT",IF(CG89=95%,"Selesai UAT",IF(CG89&lt;100%,"Proses Implementasi","Selesai Implementasi"))))))))))))))))))))))</f>
        <v>Not Started</v>
      </c>
      <c r="BV89" s="63" t="str">
        <f t="shared" ref="BV89" si="240">IF(CH89=0%,"Not Started",IF(CH89&lt;5%,"Proses RBT-RBB",IF(CH89=5%,"Selesai RBT-RBB",IF(CH89&lt;10%,"Proses RBT-RBL",IF(CH89=10%,"Selesai RBT-RBL",IF(CH89&lt;15%,"Proses RBT-RBTD",IF(CH89=15%,"Selesai RBT-RBTD",IF(CH89&lt;20%,"Proses RPP",IF(CH89=20%,"Selesai RPP",IF(CH89&lt;25%,"Proses KAK",IF(CH89=25%,"Selesai KAK",IF(CH89&lt;30%,"Proses Pengadaan",IF(CH89=30%,"Selesai Pengadaan",IF(CH89&lt;45%,"Proses Desain",IF(CH89=45%,"Selesai Desain",IF(CH89&lt;80%,"Proses Pengembangan",IF(CH89=80%,"Selesai Pengembangan",IF(CH89&lt;87.5%,"Proses SIT",IF(CH89=87.5%,"Selesai SIT",IF(CH89&lt;95%,"Proses UAT",IF(CH89=95%,"Selesai UAT",IF(CH89&lt;100%,"Proses Implementasi","Selesai Implementasi"))))))))))))))))))))))</f>
        <v>Not Started</v>
      </c>
      <c r="BW89" s="63" t="str">
        <f t="shared" ref="BW89" si="241">IF(CI89=0%,"Not Started",IF(CI89&lt;5%,"Proses RBT-RBB",IF(CI89=5%,"Selesai RBT-RBB",IF(CI89&lt;10%,"Proses RBT-RBL",IF(CI89=10%,"Selesai RBT-RBL",IF(CI89&lt;15%,"Proses RBT-RBTD",IF(CI89=15%,"Selesai RBT-RBTD",IF(CI89&lt;20%,"Proses RPP",IF(CI89=20%,"Selesai RPP",IF(CI89&lt;25%,"Proses KAK",IF(CI89=25%,"Selesai KAK",IF(CI89&lt;30%,"Proses Pengadaan",IF(CI89=30%,"Selesai Pengadaan",IF(CI89&lt;45%,"Proses Desain",IF(CI89=45%,"Selesai Desain",IF(CI89&lt;80%,"Proses Pengembangan",IF(CI89=80%,"Selesai Pengembangan",IF(CI89&lt;87.5%,"Proses SIT",IF(CI89=87.5%,"Selesai SIT",IF(CI89&lt;95%,"Proses UAT",IF(CI89=95%,"Selesai UAT",IF(CI89&lt;100%,"Proses Implementasi","Selesai Implementasi"))))))))))))))))))))))</f>
        <v>Not Started</v>
      </c>
      <c r="BX89" s="63" t="str">
        <f t="shared" ref="BX89" si="242">IF(CJ89=0%,"Not Started",IF(CJ89&lt;5%,"Proses RBT-RBB",IF(CJ89=5%,"Selesai RBT-RBB",IF(CJ89&lt;10%,"Proses RBT-RBL",IF(CJ89=10%,"Selesai RBT-RBL",IF(CJ89&lt;15%,"Proses RBT-RBTD",IF(CJ89=15%,"Selesai RBT-RBTD",IF(CJ89&lt;20%,"Proses RPP",IF(CJ89=20%,"Selesai RPP",IF(CJ89&lt;25%,"Proses KAK",IF(CJ89=25%,"Selesai KAK",IF(CJ89&lt;30%,"Proses Pengadaan",IF(CJ89=30%,"Selesai Pengadaan",IF(CJ89&lt;45%,"Proses Desain",IF(CJ89=45%,"Selesai Desain",IF(CJ89&lt;80%,"Proses Pengembangan",IF(CJ89=80%,"Selesai Pengembangan",IF(CJ89&lt;87.5%,"Proses SIT",IF(CJ89=87.5%,"Selesai SIT",IF(CJ89&lt;95%,"Proses UAT",IF(CJ89=95%,"Selesai UAT",IF(CJ89&lt;100%,"Proses Implementasi","Selesai Implementasi"))))))))))))))))))))))</f>
        <v>Not Started</v>
      </c>
      <c r="BY89" s="63" t="str">
        <f t="shared" ref="BY89" si="243">IF(CK89=0%,"Not Started",IF(CK89&lt;5%,"Proses RBT-RBB",IF(CK89=5%,"Selesai RBT-RBB",IF(CK89&lt;10%,"Proses RBT-RBL",IF(CK89=10%,"Selesai RBT-RBL",IF(CK89&lt;15%,"Proses RBT-RBTD",IF(CK89=15%,"Selesai RBT-RBTD",IF(CK89&lt;20%,"Proses RPP",IF(CK89=20%,"Selesai RPP",IF(CK89&lt;25%,"Proses KAK",IF(CK89=25%,"Selesai KAK",IF(CK89&lt;30%,"Proses Pengadaan",IF(CK89=30%,"Selesai Pengadaan",IF(CK89&lt;45%,"Proses Desain",IF(CK89=45%,"Selesai Desain",IF(CK89&lt;80%,"Proses Pengembangan",IF(CK89=80%,"Selesai Pengembangan",IF(CK89&lt;87.5%,"Proses SIT",IF(CK89=87.5%,"Selesai SIT",IF(CK89&lt;95%,"Proses UAT",IF(CK89=95%,"Selesai UAT",IF(CK89&lt;100%,"Proses Implementasi","Selesai Implementasi"))))))))))))))))))))))</f>
        <v>Not Started</v>
      </c>
      <c r="BZ89" s="63" t="str">
        <f t="shared" ref="BZ89" si="244">IF(CL89=0%,"Not Started",IF(CL89&lt;5%,"Proses RBT-RBB",IF(CL89=5%,"Selesai RBT-RBB",IF(CL89&lt;10%,"Proses RBT-RBL",IF(CL89=10%,"Selesai RBT-RBL",IF(CL89&lt;15%,"Proses RBT-RBTD",IF(CL89=15%,"Selesai RBT-RBTD",IF(CL89&lt;20%,"Proses RPP",IF(CL89=20%,"Selesai RPP",IF(CL89&lt;25%,"Proses KAK",IF(CL89=25%,"Selesai KAK",IF(CL89&lt;30%,"Proses Pengadaan",IF(CL89=30%,"Selesai Pengadaan",IF(CL89&lt;45%,"Proses Desain",IF(CL89=45%,"Selesai Desain",IF(CL89&lt;80%,"Proses Pengembangan",IF(CL89=80%,"Selesai Pengembangan",IF(CL89&lt;87.5%,"Proses SIT",IF(CL89=87.5%,"Selesai SIT",IF(CL89&lt;95%,"Proses UAT",IF(CL89=95%,"Selesai UAT",IF(CL89&lt;100%,"Proses Implementasi","Selesai Implementasi"))))))))))))))))))))))</f>
        <v>Not Started</v>
      </c>
      <c r="CA89" s="63" t="str">
        <f t="shared" ref="CA89" si="245">IF(CM89=0%,"Not Started",IF(CM89&lt;5%,"Proses RBT-RBB",IF(CM89=5%,"Selesai RBT-RBB",IF(CM89&lt;10%,"Proses RBT-RBL",IF(CM89=10%,"Selesai RBT-RBL",IF(CM89&lt;15%,"Proses RBT-RBTD",IF(CM89=15%,"Selesai RBT-RBTD",IF(CM89&lt;20%,"Proses RPP",IF(CM89=20%,"Selesai RPP",IF(CM89&lt;25%,"Proses KAK",IF(CM89=25%,"Selesai KAK",IF(CM89&lt;30%,"Proses Pengadaan",IF(CM89=30%,"Selesai Pengadaan",IF(CM89&lt;45%,"Proses Desain",IF(CM89=45%,"Selesai Desain",IF(CM89&lt;80%,"Proses Pengembangan",IF(CM89=80%,"Selesai Pengembangan",IF(CM89&lt;87.5%,"Proses SIT",IF(CM89=87.5%,"Selesai SIT",IF(CM89&lt;95%,"Proses UAT",IF(CM89=95%,"Selesai UAT",IF(CM89&lt;100%,"Proses Implementasi","Selesai Implementasi"))))))))))))))))))))))</f>
        <v>Not Started</v>
      </c>
      <c r="CB89" s="63" t="str">
        <f t="shared" ref="CB89" si="246">IF(CN89=0%,"Not Started",IF(CN89&lt;5%,"Proses RBT-RBB",IF(CN89=5%,"Selesai RBT-RBB",IF(CN89&lt;10%,"Proses RBT-RBL",IF(CN89=10%,"Selesai RBT-RBL",IF(CN89&lt;15%,"Proses RBT-RBTD",IF(CN89=15%,"Selesai RBT-RBTD",IF(CN89&lt;20%,"Proses RPP",IF(CN89=20%,"Selesai RPP",IF(CN89&lt;25%,"Proses KAK",IF(CN89=25%,"Selesai KAK",IF(CN89&lt;30%,"Proses Pengadaan",IF(CN89=30%,"Selesai Pengadaan",IF(CN89&lt;45%,"Proses Desain",IF(CN89=45%,"Selesai Desain",IF(CN89&lt;80%,"Proses Pengembangan",IF(CN89=80%,"Selesai Pengembangan",IF(CN89&lt;87.5%,"Proses SIT",IF(CN89=87.5%,"Selesai SIT",IF(CN89&lt;95%,"Proses UAT",IF(CN89=95%,"Selesai UAT",IF(CN89&lt;100%,"Proses Implementasi","Selesai Implementasi"))))))))))))))))))))))</f>
        <v>Not Started</v>
      </c>
      <c r="CC89" s="44">
        <f t="shared" si="216"/>
        <v>0.99999999999999989</v>
      </c>
      <c r="CD89" s="44"/>
      <c r="CE89" s="44"/>
      <c r="CF89" s="44"/>
      <c r="CG89" s="44"/>
      <c r="CH89" s="44"/>
      <c r="CI89" s="44"/>
      <c r="CJ89" s="44"/>
      <c r="CK89" s="44"/>
      <c r="CL89" s="44"/>
      <c r="CM89" s="44"/>
      <c r="CN89" s="44"/>
      <c r="CO89" s="45">
        <f t="shared" ref="CO89" si="247">IF(BE89=0%, 100%, (CC89/BE89))</f>
        <v>0.99999999999999989</v>
      </c>
      <c r="CP89" s="45">
        <f t="shared" ref="CP89" si="248">IF(BF89=0%, 100%, (CD89/BF89))</f>
        <v>0</v>
      </c>
      <c r="CQ89" s="45">
        <f t="shared" ref="CQ89" si="249">IF(BG89=0%, 100%, (CE89/BG89))</f>
        <v>0</v>
      </c>
      <c r="CR89" s="45">
        <f t="shared" ref="CR89" si="250">IF(BH89=0%, 100%, (CF89/BH89))</f>
        <v>0</v>
      </c>
      <c r="CS89" s="45">
        <f t="shared" ref="CS89" si="251">IF(BI89=0%, 100%, (CG89/BI89))</f>
        <v>0</v>
      </c>
      <c r="CT89" s="45">
        <f t="shared" ref="CT89" si="252">IF(BJ89=0%, 100%, (CH89/BJ89))</f>
        <v>0</v>
      </c>
      <c r="CU89" s="45">
        <f t="shared" ref="CU89" si="253">IF(BK89=0%, 100%, (CI89/BK89))</f>
        <v>0</v>
      </c>
      <c r="CV89" s="45">
        <f t="shared" ref="CV89" si="254">IF(BL89=0%, 100%, (CJ89/BL89))</f>
        <v>0</v>
      </c>
      <c r="CW89" s="45">
        <f t="shared" ref="CW89" si="255">IF(BM89=0%, 100%, (CK89/BM89))</f>
        <v>0</v>
      </c>
      <c r="CX89" s="45">
        <f t="shared" ref="CX89" si="256">IF(BN89=0%, 100%, (CL89/BN89))</f>
        <v>0</v>
      </c>
      <c r="CY89" s="45">
        <f t="shared" ref="CY89" si="257">IF(BO89=0%, 100%, (CM89/BO89))</f>
        <v>0</v>
      </c>
      <c r="CZ89" s="45"/>
      <c r="DA89" s="45" t="str">
        <f t="shared" ref="DA89" si="258">IF(BE89=0%,"NS",IF(CC89=100%,"DONE",IF(CO89&gt;100%,"AS",IF(CO89&lt;75%,"BS",IF(CO89&lt;89.9%,"AR","OS")))))</f>
        <v>DONE</v>
      </c>
      <c r="DB89" s="45" t="str">
        <f t="shared" ref="DB89" si="259">IF(BF89=0%,"NS",IF(CD89=100%,"DONE",IF(CP89&gt;100%,"AS",IF(CP89&lt;75%,"BS",IF(CP89&lt;89.9%,"AR","OS")))))</f>
        <v>BS</v>
      </c>
      <c r="DC89" s="45" t="str">
        <f t="shared" ref="DC89" si="260">IF(BG89=0%,"NS",IF(CE89=100%,"DONE",IF(CQ89&gt;100%,"AS",IF(CQ89&lt;75%,"BS",IF(CQ89&lt;89.9%,"AR","OS")))))</f>
        <v>BS</v>
      </c>
      <c r="DD89" s="45" t="str">
        <f t="shared" ref="DD89" si="261">IF(BH89=0%,"NS",IF(CF89=100%,"DONE",IF(CR89&gt;100%,"AS",IF(CR89&lt;75%,"BS",IF(CR89&lt;89.9%,"AR","OS")))))</f>
        <v>BS</v>
      </c>
      <c r="DE89" s="45" t="str">
        <f t="shared" ref="DE89" si="262">IF(BI89=0%,"NS",IF(CG89=100%,"DONE",IF(CS89&gt;100%,"AS",IF(CS89&lt;75%,"BS",IF(CS89&lt;89.9%,"AR","OS")))))</f>
        <v>BS</v>
      </c>
      <c r="DF89" s="45" t="str">
        <f t="shared" ref="DF89" si="263">IF(BJ89=0%,"NS",IF(CH89=100%,"DONE",IF(CT89&gt;100%,"AS",IF(CT89&lt;75%,"BS",IF(CT89&lt;89.9%,"AR","OS")))))</f>
        <v>BS</v>
      </c>
      <c r="DG89" s="45" t="str">
        <f t="shared" ref="DG89" si="264">IF(BK89=0%,"NS",IF(CI89=100%,"DONE",IF(CU89&gt;100%,"AS",IF(CU89&lt;75%,"BS",IF(CU89&lt;89.9%,"AR","OS")))))</f>
        <v>BS</v>
      </c>
      <c r="DH89" s="45" t="str">
        <f t="shared" ref="DH89" si="265">IF(BL89=0%,"NS",IF(CJ89=100%,"DONE",IF(CV89&gt;100%,"AS",IF(CV89&lt;75%,"BS",IF(CV89&lt;89.9%,"AR","OS")))))</f>
        <v>BS</v>
      </c>
      <c r="DI89" s="45" t="str">
        <f t="shared" ref="DI89" si="266">IF(BM89=0%,"NS",IF(CK89=100%,"DONE",IF(CW89&gt;100%,"AS",IF(CW89&lt;75%,"BS",IF(CW89&lt;89.9%,"AR","OS")))))</f>
        <v>BS</v>
      </c>
      <c r="DJ89" s="45" t="str">
        <f t="shared" ref="DJ89" si="267">IF(BN89=0%,"NS",IF(CL89=100%,"DONE",IF(CX89&gt;100%,"AS",IF(CX89&lt;75%,"BS",IF(CX89&lt;89.9%,"AR","OS")))))</f>
        <v>BS</v>
      </c>
      <c r="DK89" s="45" t="str">
        <f t="shared" ref="DK89" si="268">IF(BO89=0%,"NS",IF(CM89=100%,"DONE",IF(CY89&gt;100%,"AS",IF(CY89&lt;75%,"BS",IF(CY89&lt;89.9%,"AR","OS")))))</f>
        <v>BS</v>
      </c>
      <c r="DL89" s="45" t="str">
        <f t="shared" ref="DL89" si="269">IF(BP89=0%,"NS",IF(CN89=100%,"DONE",IF(CZ89&gt;100%,"AS",IF(CZ89&lt;75%,"BS",IF(CZ89&lt;89.9%,"AR","OS")))))</f>
        <v>BS</v>
      </c>
      <c r="DM89" s="45">
        <f t="shared" ref="DM89" si="270">CC89/$BP89</f>
        <v>0.99999999999999989</v>
      </c>
      <c r="DN89" s="45">
        <f t="shared" ref="DN89" si="271">CD89/$BP89</f>
        <v>0</v>
      </c>
      <c r="DO89" s="45">
        <f t="shared" ref="DO89" si="272">CE89/$BP89</f>
        <v>0</v>
      </c>
      <c r="DP89" s="45">
        <f t="shared" ref="DP89" si="273">CF89/$BP89</f>
        <v>0</v>
      </c>
      <c r="DQ89" s="45">
        <f t="shared" ref="DQ89" si="274">CG89/$BP89</f>
        <v>0</v>
      </c>
      <c r="DR89" s="45">
        <f t="shared" ref="DR89" si="275">CH89/$BP89</f>
        <v>0</v>
      </c>
      <c r="DS89" s="45">
        <f t="shared" ref="DS89" si="276">CI89/$BP89</f>
        <v>0</v>
      </c>
      <c r="DT89" s="45">
        <f t="shared" ref="DT89" si="277">CJ89/$BP89</f>
        <v>0</v>
      </c>
      <c r="DU89" s="45">
        <f t="shared" ref="DU89" si="278">CK89/$BP89</f>
        <v>0</v>
      </c>
      <c r="DV89" s="45">
        <f t="shared" ref="DV89" si="279">CL89/$BP89</f>
        <v>0</v>
      </c>
      <c r="DW89" s="45">
        <f t="shared" ref="DW89" si="280">CM89/$BP89</f>
        <v>0</v>
      </c>
      <c r="DX89" s="45">
        <f t="shared" ref="DX89" si="281">CN89/$BP89</f>
        <v>0</v>
      </c>
      <c r="DY89" s="41">
        <v>1</v>
      </c>
      <c r="DZ89" s="41">
        <v>1</v>
      </c>
      <c r="EA89" s="41">
        <v>1</v>
      </c>
      <c r="EB89" s="41">
        <v>1</v>
      </c>
      <c r="EC89" s="41">
        <v>1</v>
      </c>
      <c r="ED89" s="41">
        <v>1</v>
      </c>
      <c r="EE89" s="41">
        <v>1</v>
      </c>
      <c r="EF89" s="41">
        <v>1</v>
      </c>
      <c r="EG89" s="41">
        <v>1</v>
      </c>
      <c r="EH89" s="616" t="s">
        <v>1498</v>
      </c>
      <c r="EI89" s="617">
        <v>46020</v>
      </c>
      <c r="EJ89" s="59"/>
      <c r="EK89" s="266"/>
      <c r="EL89" s="344"/>
      <c r="EM89" s="266"/>
      <c r="EN89" s="285"/>
      <c r="EO89" s="285"/>
      <c r="EP89" s="285"/>
      <c r="EQ89" s="345"/>
      <c r="ER89" s="273"/>
      <c r="ES89" s="346"/>
      <c r="ET89" s="346"/>
      <c r="EU89" s="346"/>
      <c r="EV89" s="346"/>
      <c r="EW89" s="346"/>
      <c r="EX89" s="346"/>
      <c r="EY89" s="346"/>
      <c r="EZ89" s="346"/>
      <c r="FA89" s="346"/>
      <c r="FB89" s="285"/>
      <c r="FC89" s="285"/>
      <c r="FD89" s="285"/>
      <c r="FE89" s="346"/>
      <c r="FF89" s="346"/>
      <c r="FG89" s="285"/>
      <c r="FH89" s="346"/>
      <c r="FI89" s="346"/>
      <c r="FJ89" s="346"/>
      <c r="FK89" s="346"/>
      <c r="FL89" s="347"/>
      <c r="FM89" s="247"/>
      <c r="FN89" s="340"/>
      <c r="FO89" s="247"/>
      <c r="FP89" s="172"/>
      <c r="FQ89" s="172"/>
      <c r="FR89" s="289"/>
      <c r="FS89" s="267"/>
      <c r="FT89" s="314"/>
      <c r="FU89" s="294"/>
    </row>
    <row r="90" spans="1:177" s="16" customFormat="1" ht="80">
      <c r="A90" s="342" t="s">
        <v>704</v>
      </c>
      <c r="B90" s="48" t="s">
        <v>363</v>
      </c>
      <c r="C90" s="64" t="s">
        <v>206</v>
      </c>
      <c r="D90" s="225" t="s">
        <v>207</v>
      </c>
      <c r="E90" s="488" t="s">
        <v>705</v>
      </c>
      <c r="F90" s="348">
        <v>1</v>
      </c>
      <c r="G90" s="222" t="s">
        <v>706</v>
      </c>
      <c r="H90" s="222" t="s">
        <v>707</v>
      </c>
      <c r="I90" s="349" t="s">
        <v>708</v>
      </c>
      <c r="J90" s="48">
        <v>2024</v>
      </c>
      <c r="K90" s="48">
        <v>2025</v>
      </c>
      <c r="L90" s="48" t="s">
        <v>288</v>
      </c>
      <c r="M90" s="48" t="s">
        <v>173</v>
      </c>
      <c r="N90" s="48" t="s">
        <v>174</v>
      </c>
      <c r="O90" s="48" t="s">
        <v>472</v>
      </c>
      <c r="P90" s="63" t="s">
        <v>458</v>
      </c>
      <c r="Q90" s="48" t="s">
        <v>199</v>
      </c>
      <c r="R90" s="63" t="s">
        <v>706</v>
      </c>
      <c r="S90" s="63" t="str">
        <f t="shared" si="153"/>
        <v>Selesai Implementasi</v>
      </c>
      <c r="T90" s="63" t="str">
        <f t="shared" si="145"/>
        <v>DONE</v>
      </c>
      <c r="U90" s="63" t="str">
        <f t="shared" si="154"/>
        <v>M. Fahmi Ridwan</v>
      </c>
      <c r="V90" s="67">
        <f t="shared" si="155"/>
        <v>0.99999999999999989</v>
      </c>
      <c r="W90" s="66" t="s">
        <v>380</v>
      </c>
      <c r="X90" s="59">
        <f t="shared" si="156"/>
        <v>45639</v>
      </c>
      <c r="Y90" s="68" t="s">
        <v>381</v>
      </c>
      <c r="Z90" s="48"/>
      <c r="AA90" s="350">
        <v>45552</v>
      </c>
      <c r="AB90" s="245">
        <v>45566</v>
      </c>
      <c r="AC90" s="245">
        <v>45567</v>
      </c>
      <c r="AD90" s="245">
        <v>45569</v>
      </c>
      <c r="AE90" s="245">
        <v>45476</v>
      </c>
      <c r="AF90" s="245">
        <v>45548</v>
      </c>
      <c r="AG90" s="245">
        <v>45476</v>
      </c>
      <c r="AH90" s="245">
        <v>45548</v>
      </c>
      <c r="AI90" s="245">
        <v>45566</v>
      </c>
      <c r="AJ90" s="245">
        <v>45576</v>
      </c>
      <c r="AK90" s="245">
        <v>45579</v>
      </c>
      <c r="AL90" s="245">
        <v>45618</v>
      </c>
      <c r="AM90" s="245">
        <v>45607</v>
      </c>
      <c r="AN90" s="245">
        <v>45618</v>
      </c>
      <c r="AO90" s="245">
        <v>45621</v>
      </c>
      <c r="AP90" s="245">
        <v>45632</v>
      </c>
      <c r="AQ90" s="245">
        <v>45635</v>
      </c>
      <c r="AR90" s="245">
        <v>45639</v>
      </c>
      <c r="AS90" s="63" t="str">
        <f t="shared" si="221"/>
        <v>Selesai Implementasi</v>
      </c>
      <c r="AT90" s="63" t="str">
        <f t="shared" si="222"/>
        <v>Selesai Implementasi</v>
      </c>
      <c r="AU90" s="63" t="str">
        <f t="shared" si="223"/>
        <v>Selesai Implementasi</v>
      </c>
      <c r="AV90" s="63" t="str">
        <f t="shared" si="224"/>
        <v>Selesai Implementasi</v>
      </c>
      <c r="AW90" s="63" t="str">
        <f t="shared" si="225"/>
        <v>Selesai Implementasi</v>
      </c>
      <c r="AX90" s="63" t="str">
        <f t="shared" si="226"/>
        <v>Selesai Implementasi</v>
      </c>
      <c r="AY90" s="63" t="str">
        <f t="shared" si="227"/>
        <v>Selesai Implementasi</v>
      </c>
      <c r="AZ90" s="63" t="str">
        <f t="shared" si="228"/>
        <v>Selesai Implementasi</v>
      </c>
      <c r="BA90" s="63" t="str">
        <f t="shared" si="229"/>
        <v>Selesai Implementasi</v>
      </c>
      <c r="BB90" s="63" t="str">
        <f t="shared" si="220"/>
        <v>Selesai Implementasi</v>
      </c>
      <c r="BC90" s="63" t="str">
        <f t="shared" si="217"/>
        <v>Selesai Implementasi</v>
      </c>
      <c r="BD90" s="63" t="str">
        <f t="shared" si="167"/>
        <v>Selesai Implementasi</v>
      </c>
      <c r="BE90" s="43">
        <v>1</v>
      </c>
      <c r="BF90" s="43">
        <v>1</v>
      </c>
      <c r="BG90" s="43">
        <v>1</v>
      </c>
      <c r="BH90" s="43">
        <v>1</v>
      </c>
      <c r="BI90" s="43">
        <v>1</v>
      </c>
      <c r="BJ90" s="43">
        <v>1</v>
      </c>
      <c r="BK90" s="43">
        <v>1</v>
      </c>
      <c r="BL90" s="43">
        <v>1</v>
      </c>
      <c r="BM90" s="43">
        <v>1</v>
      </c>
      <c r="BN90" s="43">
        <v>1</v>
      </c>
      <c r="BO90" s="43">
        <v>1</v>
      </c>
      <c r="BP90" s="43">
        <v>1</v>
      </c>
      <c r="BQ90" s="63" t="str">
        <f t="shared" si="168"/>
        <v>Selesai Implementasi</v>
      </c>
      <c r="BR90" s="63" t="str">
        <f t="shared" si="169"/>
        <v>Not Started</v>
      </c>
      <c r="BS90" s="63" t="str">
        <f t="shared" si="170"/>
        <v>Not Started</v>
      </c>
      <c r="BT90" s="63" t="str">
        <f t="shared" si="171"/>
        <v>Not Started</v>
      </c>
      <c r="BU90" s="63" t="str">
        <f t="shared" si="172"/>
        <v>Not Started</v>
      </c>
      <c r="BV90" s="63" t="str">
        <f t="shared" si="173"/>
        <v>Not Started</v>
      </c>
      <c r="BW90" s="63" t="str">
        <f t="shared" si="174"/>
        <v>Not Started</v>
      </c>
      <c r="BX90" s="63" t="str">
        <f t="shared" si="175"/>
        <v>Not Started</v>
      </c>
      <c r="BY90" s="63" t="str">
        <f t="shared" si="176"/>
        <v>Not Started</v>
      </c>
      <c r="BZ90" s="63" t="str">
        <f t="shared" si="177"/>
        <v>Not Started</v>
      </c>
      <c r="CA90" s="63" t="str">
        <f t="shared" si="178"/>
        <v>Not Started</v>
      </c>
      <c r="CB90" s="63" t="str">
        <f t="shared" si="179"/>
        <v>Not Started</v>
      </c>
      <c r="CC90" s="44">
        <f t="shared" si="216"/>
        <v>0.99999999999999989</v>
      </c>
      <c r="CD90" s="44"/>
      <c r="CE90" s="44"/>
      <c r="CF90" s="44"/>
      <c r="CG90" s="44"/>
      <c r="CH90" s="44"/>
      <c r="CI90" s="44"/>
      <c r="CJ90" s="44"/>
      <c r="CK90" s="44"/>
      <c r="CL90" s="44"/>
      <c r="CM90" s="44"/>
      <c r="CN90" s="44"/>
      <c r="CO90" s="45">
        <f t="shared" si="181"/>
        <v>0.99999999999999989</v>
      </c>
      <c r="CP90" s="45">
        <f t="shared" si="182"/>
        <v>0</v>
      </c>
      <c r="CQ90" s="45">
        <f t="shared" si="183"/>
        <v>0</v>
      </c>
      <c r="CR90" s="45">
        <f t="shared" si="184"/>
        <v>0</v>
      </c>
      <c r="CS90" s="45">
        <f t="shared" si="185"/>
        <v>0</v>
      </c>
      <c r="CT90" s="45">
        <f t="shared" si="186"/>
        <v>0</v>
      </c>
      <c r="CU90" s="45">
        <f t="shared" si="187"/>
        <v>0</v>
      </c>
      <c r="CV90" s="45">
        <f t="shared" si="188"/>
        <v>0</v>
      </c>
      <c r="CW90" s="45">
        <f t="shared" si="189"/>
        <v>0</v>
      </c>
      <c r="CX90" s="45">
        <f t="shared" si="190"/>
        <v>0</v>
      </c>
      <c r="CY90" s="45">
        <f t="shared" si="218"/>
        <v>0</v>
      </c>
      <c r="CZ90" s="45"/>
      <c r="DA90" s="45" t="str">
        <f t="shared" si="191"/>
        <v>DONE</v>
      </c>
      <c r="DB90" s="45" t="str">
        <f t="shared" si="192"/>
        <v>BS</v>
      </c>
      <c r="DC90" s="45" t="str">
        <f t="shared" si="193"/>
        <v>BS</v>
      </c>
      <c r="DD90" s="45" t="str">
        <f t="shared" si="194"/>
        <v>BS</v>
      </c>
      <c r="DE90" s="45" t="str">
        <f t="shared" si="195"/>
        <v>BS</v>
      </c>
      <c r="DF90" s="45" t="str">
        <f t="shared" si="196"/>
        <v>BS</v>
      </c>
      <c r="DG90" s="45" t="str">
        <f t="shared" si="197"/>
        <v>BS</v>
      </c>
      <c r="DH90" s="45" t="str">
        <f t="shared" si="198"/>
        <v>BS</v>
      </c>
      <c r="DI90" s="45" t="str">
        <f t="shared" si="199"/>
        <v>BS</v>
      </c>
      <c r="DJ90" s="45" t="str">
        <f t="shared" si="200"/>
        <v>BS</v>
      </c>
      <c r="DK90" s="45" t="str">
        <f t="shared" si="219"/>
        <v>BS</v>
      </c>
      <c r="DL90" s="45" t="str">
        <f t="shared" si="201"/>
        <v>BS</v>
      </c>
      <c r="DM90" s="45">
        <f t="shared" si="202"/>
        <v>0.99999999999999989</v>
      </c>
      <c r="DN90" s="45">
        <f t="shared" si="203"/>
        <v>0</v>
      </c>
      <c r="DO90" s="45">
        <f t="shared" si="204"/>
        <v>0</v>
      </c>
      <c r="DP90" s="45">
        <f t="shared" si="205"/>
        <v>0</v>
      </c>
      <c r="DQ90" s="45">
        <f t="shared" si="206"/>
        <v>0</v>
      </c>
      <c r="DR90" s="45">
        <f t="shared" si="207"/>
        <v>0</v>
      </c>
      <c r="DS90" s="45">
        <f t="shared" si="208"/>
        <v>0</v>
      </c>
      <c r="DT90" s="45">
        <f t="shared" si="209"/>
        <v>0</v>
      </c>
      <c r="DU90" s="45">
        <f t="shared" si="210"/>
        <v>0</v>
      </c>
      <c r="DV90" s="45">
        <f t="shared" si="211"/>
        <v>0</v>
      </c>
      <c r="DW90" s="45">
        <f t="shared" si="212"/>
        <v>0</v>
      </c>
      <c r="DX90" s="45">
        <f t="shared" si="213"/>
        <v>0</v>
      </c>
      <c r="DY90" s="46">
        <v>1</v>
      </c>
      <c r="DZ90" s="46">
        <v>1</v>
      </c>
      <c r="EA90" s="46">
        <v>1</v>
      </c>
      <c r="EB90" s="46">
        <v>1</v>
      </c>
      <c r="EC90" s="46">
        <v>1</v>
      </c>
      <c r="ED90" s="46">
        <v>1</v>
      </c>
      <c r="EE90" s="46">
        <v>1</v>
      </c>
      <c r="EF90" s="46">
        <v>1</v>
      </c>
      <c r="EG90" s="46">
        <v>1</v>
      </c>
      <c r="EH90" s="55" t="s">
        <v>709</v>
      </c>
      <c r="EI90" s="352">
        <v>45638</v>
      </c>
      <c r="EJ90" s="59">
        <f t="shared" si="214"/>
        <v>45639</v>
      </c>
      <c r="EK90" s="266"/>
      <c r="EL90" s="344"/>
      <c r="EM90" s="344"/>
      <c r="EN90" s="285"/>
      <c r="EO90" s="285"/>
      <c r="EP90" s="346"/>
      <c r="EQ90" s="285"/>
      <c r="ER90" s="346"/>
      <c r="ES90" s="346"/>
      <c r="ET90" s="285"/>
      <c r="EU90" s="285"/>
      <c r="EV90" s="346"/>
      <c r="EW90" s="346"/>
      <c r="EX90" s="346"/>
      <c r="EY90" s="346"/>
      <c r="EZ90" s="346"/>
      <c r="FA90" s="346"/>
      <c r="FB90" s="346"/>
      <c r="FC90" s="285"/>
      <c r="FD90" s="346"/>
      <c r="FE90" s="346"/>
      <c r="FF90" s="285"/>
      <c r="FG90" s="285"/>
      <c r="FH90" s="346"/>
      <c r="FI90" s="346"/>
      <c r="FJ90" s="346"/>
      <c r="FK90" s="346"/>
      <c r="FL90" s="347"/>
      <c r="FM90" s="247"/>
      <c r="FN90" s="247" t="s">
        <v>610</v>
      </c>
      <c r="FO90" s="247"/>
      <c r="FP90" s="172"/>
      <c r="FQ90" s="172"/>
      <c r="FR90" s="289" t="s">
        <v>184</v>
      </c>
      <c r="FS90" s="267" t="s">
        <v>710</v>
      </c>
      <c r="FT90" s="314" t="s">
        <v>711</v>
      </c>
      <c r="FU90" s="294">
        <v>6</v>
      </c>
    </row>
    <row r="91" spans="1:177" s="16" customFormat="1" ht="409.5">
      <c r="A91" s="63" t="s">
        <v>712</v>
      </c>
      <c r="B91" s="48"/>
      <c r="C91" s="64" t="s">
        <v>206</v>
      </c>
      <c r="D91" s="225" t="s">
        <v>207</v>
      </c>
      <c r="E91" s="48" t="s">
        <v>713</v>
      </c>
      <c r="F91" s="353">
        <v>1</v>
      </c>
      <c r="G91" s="222" t="s">
        <v>310</v>
      </c>
      <c r="H91" s="222" t="s">
        <v>310</v>
      </c>
      <c r="I91" s="583" t="s">
        <v>714</v>
      </c>
      <c r="J91" s="48">
        <v>2025</v>
      </c>
      <c r="K91" s="48">
        <v>2026</v>
      </c>
      <c r="L91" s="48" t="s">
        <v>288</v>
      </c>
      <c r="M91" s="48" t="s">
        <v>173</v>
      </c>
      <c r="N91" s="48" t="s">
        <v>174</v>
      </c>
      <c r="O91" s="63" t="s">
        <v>715</v>
      </c>
      <c r="P91" s="63" t="s">
        <v>458</v>
      </c>
      <c r="Q91" s="63" t="s">
        <v>297</v>
      </c>
      <c r="R91" s="63" t="s">
        <v>177</v>
      </c>
      <c r="S91" s="63" t="str">
        <f t="shared" si="153"/>
        <v>Proses Pengembangan</v>
      </c>
      <c r="T91" s="63" t="str">
        <f t="shared" si="145"/>
        <v>On Progress</v>
      </c>
      <c r="U91" s="63" t="str">
        <f t="shared" si="154"/>
        <v>Pahman Hasibuan</v>
      </c>
      <c r="V91" s="67">
        <f t="shared" si="155"/>
        <v>0.65</v>
      </c>
      <c r="W91" s="66" t="s">
        <v>448</v>
      </c>
      <c r="X91" s="59">
        <f t="shared" si="156"/>
        <v>46295</v>
      </c>
      <c r="Y91" s="68">
        <v>0</v>
      </c>
      <c r="Z91" s="48"/>
      <c r="AA91" s="62">
        <v>45658</v>
      </c>
      <c r="AB91" s="42">
        <v>45869</v>
      </c>
      <c r="AC91" s="42">
        <v>45854</v>
      </c>
      <c r="AD91" s="42">
        <v>45869</v>
      </c>
      <c r="AE91" s="42">
        <v>45870</v>
      </c>
      <c r="AF91" s="245">
        <v>45899</v>
      </c>
      <c r="AG91" s="274"/>
      <c r="AH91" s="274"/>
      <c r="AI91" s="42">
        <v>45901</v>
      </c>
      <c r="AJ91" s="42">
        <v>45991</v>
      </c>
      <c r="AK91" s="352">
        <v>45992</v>
      </c>
      <c r="AL91" s="352">
        <v>46203</v>
      </c>
      <c r="AM91" s="352">
        <v>46204</v>
      </c>
      <c r="AN91" s="352">
        <v>46234</v>
      </c>
      <c r="AO91" s="352">
        <v>46235</v>
      </c>
      <c r="AP91" s="352">
        <v>46265</v>
      </c>
      <c r="AQ91" s="352">
        <v>46266</v>
      </c>
      <c r="AR91" s="352">
        <v>46295</v>
      </c>
      <c r="AS91" s="63" t="str">
        <f t="shared" si="221"/>
        <v>Selesai RBT-RBB</v>
      </c>
      <c r="AT91" s="63" t="str">
        <f t="shared" si="222"/>
        <v>Selesai RBT-RBL</v>
      </c>
      <c r="AU91" s="63" t="str">
        <f t="shared" si="223"/>
        <v>Selesai RPP</v>
      </c>
      <c r="AV91" s="63" t="str">
        <f t="shared" si="224"/>
        <v>Selesai Pengadaan</v>
      </c>
      <c r="AW91" s="63" t="str">
        <f t="shared" si="225"/>
        <v>Proses Desain</v>
      </c>
      <c r="AX91" s="63" t="str">
        <f t="shared" si="226"/>
        <v>Proses Desain</v>
      </c>
      <c r="AY91" s="63" t="str">
        <f t="shared" si="227"/>
        <v>Proses KAK</v>
      </c>
      <c r="AZ91" s="63" t="str">
        <f t="shared" si="228"/>
        <v>Proses Pengadaan</v>
      </c>
      <c r="BA91" s="63" t="str">
        <f t="shared" si="229"/>
        <v>Proses Desain</v>
      </c>
      <c r="BB91" s="63" t="str">
        <f t="shared" si="220"/>
        <v>Proses Pengembangan</v>
      </c>
      <c r="BC91" s="63" t="str">
        <f t="shared" si="217"/>
        <v>Proses Pengembangan</v>
      </c>
      <c r="BD91" s="63" t="str">
        <f t="shared" si="167"/>
        <v>Proses Pengembangan</v>
      </c>
      <c r="BE91" s="351">
        <v>0.05</v>
      </c>
      <c r="BF91" s="43">
        <f>(5%)+BE91</f>
        <v>0.1</v>
      </c>
      <c r="BG91" s="351">
        <v>0.2</v>
      </c>
      <c r="BH91" s="351">
        <v>0.3</v>
      </c>
      <c r="BI91" s="351">
        <v>0.35</v>
      </c>
      <c r="BJ91" s="351">
        <v>0.4</v>
      </c>
      <c r="BK91" s="351">
        <v>0.22</v>
      </c>
      <c r="BL91" s="351">
        <v>0.27</v>
      </c>
      <c r="BM91" s="351">
        <v>0.35</v>
      </c>
      <c r="BN91" s="351">
        <v>0.51</v>
      </c>
      <c r="BO91" s="351">
        <v>0.67</v>
      </c>
      <c r="BP91" s="351">
        <v>0.6</v>
      </c>
      <c r="BQ91" s="63" t="str">
        <f t="shared" si="168"/>
        <v>Proses Pengembangan</v>
      </c>
      <c r="BR91" s="63" t="str">
        <f t="shared" si="169"/>
        <v>Not Started</v>
      </c>
      <c r="BS91" s="63" t="str">
        <f t="shared" si="170"/>
        <v>Not Started</v>
      </c>
      <c r="BT91" s="63" t="str">
        <f t="shared" si="171"/>
        <v>Not Started</v>
      </c>
      <c r="BU91" s="63" t="str">
        <f t="shared" si="172"/>
        <v>Not Started</v>
      </c>
      <c r="BV91" s="63" t="str">
        <f t="shared" si="173"/>
        <v>Not Started</v>
      </c>
      <c r="BW91" s="63" t="str">
        <f t="shared" si="174"/>
        <v>Not Started</v>
      </c>
      <c r="BX91" s="63" t="str">
        <f t="shared" si="175"/>
        <v>Not Started</v>
      </c>
      <c r="BY91" s="63" t="str">
        <f t="shared" si="176"/>
        <v>Not Started</v>
      </c>
      <c r="BZ91" s="63" t="str">
        <f t="shared" si="177"/>
        <v>Not Started</v>
      </c>
      <c r="CA91" s="63" t="str">
        <f t="shared" si="178"/>
        <v>Not Started</v>
      </c>
      <c r="CB91" s="63" t="str">
        <f t="shared" si="179"/>
        <v>Not Started</v>
      </c>
      <c r="CC91" s="44">
        <f t="shared" si="216"/>
        <v>0.65</v>
      </c>
      <c r="CD91" s="44"/>
      <c r="CE91" s="44"/>
      <c r="CF91" s="44"/>
      <c r="CG91" s="44"/>
      <c r="CH91" s="44"/>
      <c r="CI91" s="44"/>
      <c r="CJ91" s="44"/>
      <c r="CK91" s="44"/>
      <c r="CL91" s="44"/>
      <c r="CM91" s="44"/>
      <c r="CN91" s="44"/>
      <c r="CO91" s="45">
        <f t="shared" si="181"/>
        <v>13</v>
      </c>
      <c r="CP91" s="45">
        <f t="shared" si="182"/>
        <v>0</v>
      </c>
      <c r="CQ91" s="45">
        <f t="shared" si="183"/>
        <v>0</v>
      </c>
      <c r="CR91" s="45">
        <f t="shared" si="184"/>
        <v>0</v>
      </c>
      <c r="CS91" s="45">
        <f t="shared" si="185"/>
        <v>0</v>
      </c>
      <c r="CT91" s="45">
        <f t="shared" si="186"/>
        <v>0</v>
      </c>
      <c r="CU91" s="45">
        <f t="shared" si="187"/>
        <v>0</v>
      </c>
      <c r="CV91" s="45">
        <f t="shared" si="188"/>
        <v>0</v>
      </c>
      <c r="CW91" s="45">
        <f t="shared" si="189"/>
        <v>0</v>
      </c>
      <c r="CX91" s="45">
        <f t="shared" si="190"/>
        <v>0</v>
      </c>
      <c r="CY91" s="45">
        <f t="shared" si="218"/>
        <v>0</v>
      </c>
      <c r="CZ91" s="45"/>
      <c r="DA91" s="45" t="str">
        <f t="shared" si="191"/>
        <v>AS</v>
      </c>
      <c r="DB91" s="45" t="str">
        <f t="shared" si="192"/>
        <v>BS</v>
      </c>
      <c r="DC91" s="45" t="str">
        <f t="shared" si="193"/>
        <v>BS</v>
      </c>
      <c r="DD91" s="45" t="str">
        <f t="shared" si="194"/>
        <v>BS</v>
      </c>
      <c r="DE91" s="45" t="str">
        <f t="shared" si="195"/>
        <v>BS</v>
      </c>
      <c r="DF91" s="45" t="str">
        <f t="shared" si="196"/>
        <v>BS</v>
      </c>
      <c r="DG91" s="45" t="str">
        <f t="shared" si="197"/>
        <v>BS</v>
      </c>
      <c r="DH91" s="45" t="str">
        <f t="shared" si="198"/>
        <v>BS</v>
      </c>
      <c r="DI91" s="45" t="str">
        <f t="shared" si="199"/>
        <v>BS</v>
      </c>
      <c r="DJ91" s="45" t="str">
        <f t="shared" si="200"/>
        <v>BS</v>
      </c>
      <c r="DK91" s="45" t="str">
        <f t="shared" si="219"/>
        <v>BS</v>
      </c>
      <c r="DL91" s="45" t="str">
        <f t="shared" si="201"/>
        <v>BS</v>
      </c>
      <c r="DM91" s="45">
        <f t="shared" si="202"/>
        <v>1.0833333333333335</v>
      </c>
      <c r="DN91" s="45">
        <f t="shared" si="203"/>
        <v>0</v>
      </c>
      <c r="DO91" s="45">
        <f t="shared" si="204"/>
        <v>0</v>
      </c>
      <c r="DP91" s="45">
        <f t="shared" si="205"/>
        <v>0</v>
      </c>
      <c r="DQ91" s="45">
        <f t="shared" si="206"/>
        <v>0</v>
      </c>
      <c r="DR91" s="45">
        <f t="shared" si="207"/>
        <v>0</v>
      </c>
      <c r="DS91" s="45">
        <f t="shared" si="208"/>
        <v>0</v>
      </c>
      <c r="DT91" s="45">
        <f t="shared" si="209"/>
        <v>0</v>
      </c>
      <c r="DU91" s="45">
        <f t="shared" si="210"/>
        <v>0</v>
      </c>
      <c r="DV91" s="45">
        <f t="shared" si="211"/>
        <v>0</v>
      </c>
      <c r="DW91" s="45">
        <f t="shared" si="212"/>
        <v>0</v>
      </c>
      <c r="DX91" s="45">
        <f t="shared" si="213"/>
        <v>0</v>
      </c>
      <c r="DY91" s="578">
        <v>1</v>
      </c>
      <c r="DZ91" s="578">
        <v>1</v>
      </c>
      <c r="EA91" s="576">
        <v>1</v>
      </c>
      <c r="EB91" s="577">
        <v>1</v>
      </c>
      <c r="EC91" s="576">
        <v>0.5</v>
      </c>
      <c r="ED91" s="576">
        <v>0.5</v>
      </c>
      <c r="EE91" s="576">
        <v>0.5</v>
      </c>
      <c r="EF91" s="576">
        <v>0.5</v>
      </c>
      <c r="EG91" s="576">
        <v>0.5</v>
      </c>
      <c r="EH91" s="564" t="s">
        <v>1506</v>
      </c>
      <c r="EI91" s="230"/>
      <c r="EJ91" s="59">
        <f t="shared" si="214"/>
        <v>46295</v>
      </c>
      <c r="EK91" s="266"/>
      <c r="EL91" s="344"/>
      <c r="EM91" s="344"/>
      <c r="EN91" s="285"/>
      <c r="EO91" s="285"/>
      <c r="EP91" s="346"/>
      <c r="EQ91" s="285"/>
      <c r="ER91" s="346"/>
      <c r="ES91" s="346"/>
      <c r="ET91" s="285"/>
      <c r="EU91" s="285"/>
      <c r="EV91" s="346"/>
      <c r="EW91" s="346"/>
      <c r="EX91" s="346"/>
      <c r="EY91" s="346"/>
      <c r="EZ91" s="346"/>
      <c r="FA91" s="346"/>
      <c r="FB91" s="346"/>
      <c r="FC91" s="285"/>
      <c r="FD91" s="346"/>
      <c r="FE91" s="346"/>
      <c r="FF91" s="285"/>
      <c r="FG91" s="285"/>
      <c r="FH91" s="346"/>
      <c r="FI91" s="346"/>
      <c r="FJ91" s="346"/>
      <c r="FK91" s="346"/>
      <c r="FL91" s="347"/>
      <c r="FM91" s="172" t="s">
        <v>716</v>
      </c>
      <c r="FN91" s="172" t="s">
        <v>299</v>
      </c>
      <c r="FO91" s="224" t="s">
        <v>300</v>
      </c>
      <c r="FP91" s="172" t="s">
        <v>717</v>
      </c>
      <c r="FQ91" s="172" t="s">
        <v>301</v>
      </c>
      <c r="FR91" s="289" t="s">
        <v>549</v>
      </c>
      <c r="FS91" s="267" t="s">
        <v>345</v>
      </c>
      <c r="FT91" s="354"/>
      <c r="FU91" s="258">
        <v>5</v>
      </c>
    </row>
    <row r="92" spans="1:177" s="16" customFormat="1" ht="409.5">
      <c r="A92" s="63" t="s">
        <v>718</v>
      </c>
      <c r="B92" s="48" t="s">
        <v>468</v>
      </c>
      <c r="C92" s="64" t="s">
        <v>206</v>
      </c>
      <c r="D92" s="225" t="s">
        <v>207</v>
      </c>
      <c r="E92" s="48" t="s">
        <v>713</v>
      </c>
      <c r="F92" s="227">
        <f t="shared" ref="F92:F99" si="282">F91+1</f>
        <v>2</v>
      </c>
      <c r="G92" s="322" t="s">
        <v>310</v>
      </c>
      <c r="H92" s="222" t="s">
        <v>310</v>
      </c>
      <c r="I92" s="584" t="s">
        <v>719</v>
      </c>
      <c r="J92" s="48">
        <v>2025</v>
      </c>
      <c r="K92" s="48">
        <v>2026</v>
      </c>
      <c r="L92" s="48" t="s">
        <v>288</v>
      </c>
      <c r="M92" s="48" t="s">
        <v>173</v>
      </c>
      <c r="N92" s="48" t="s">
        <v>174</v>
      </c>
      <c r="O92" s="63" t="s">
        <v>720</v>
      </c>
      <c r="P92" s="63" t="s">
        <v>458</v>
      </c>
      <c r="Q92" s="63" t="s">
        <v>297</v>
      </c>
      <c r="R92" s="63" t="s">
        <v>310</v>
      </c>
      <c r="S92" s="63" t="str">
        <f t="shared" si="153"/>
        <v>Selesai Implementasi</v>
      </c>
      <c r="T92" s="63" t="str">
        <f t="shared" si="145"/>
        <v>DONE</v>
      </c>
      <c r="U92" s="63" t="str">
        <f t="shared" si="154"/>
        <v>Pahman Hasibuan</v>
      </c>
      <c r="V92" s="67">
        <f t="shared" si="155"/>
        <v>0.99999999999999989</v>
      </c>
      <c r="W92" s="66" t="s">
        <v>448</v>
      </c>
      <c r="X92" s="59">
        <f t="shared" si="156"/>
        <v>46142</v>
      </c>
      <c r="Y92" s="68">
        <v>0</v>
      </c>
      <c r="Z92" s="48"/>
      <c r="AA92" s="62">
        <v>45658</v>
      </c>
      <c r="AB92" s="42">
        <v>45884</v>
      </c>
      <c r="AC92" s="42">
        <v>45870</v>
      </c>
      <c r="AD92" s="42">
        <v>45884</v>
      </c>
      <c r="AE92" s="42">
        <v>45885</v>
      </c>
      <c r="AF92" s="245">
        <v>45900</v>
      </c>
      <c r="AG92" s="274"/>
      <c r="AH92" s="274"/>
      <c r="AI92" s="42">
        <v>45901</v>
      </c>
      <c r="AJ92" s="42">
        <v>45915</v>
      </c>
      <c r="AK92" s="352">
        <v>45916</v>
      </c>
      <c r="AL92" s="352">
        <v>46053</v>
      </c>
      <c r="AM92" s="352">
        <v>46054</v>
      </c>
      <c r="AN92" s="352">
        <v>46068</v>
      </c>
      <c r="AO92" s="352">
        <v>46069</v>
      </c>
      <c r="AP92" s="352">
        <v>46096</v>
      </c>
      <c r="AQ92" s="352">
        <v>46097</v>
      </c>
      <c r="AR92" s="352">
        <v>46142</v>
      </c>
      <c r="AS92" s="63" t="str">
        <f t="shared" si="221"/>
        <v>Selesai RBT-RBB</v>
      </c>
      <c r="AT92" s="63" t="str">
        <f t="shared" si="222"/>
        <v>Proses RBT-RBB</v>
      </c>
      <c r="AU92" s="63" t="str">
        <f t="shared" si="223"/>
        <v>Proses RBT-RBTD</v>
      </c>
      <c r="AV92" s="63" t="str">
        <f t="shared" si="224"/>
        <v>Selesai RBT-RBTD</v>
      </c>
      <c r="AW92" s="63" t="str">
        <f t="shared" si="225"/>
        <v>Selesai Pengadaan</v>
      </c>
      <c r="AX92" s="63" t="str">
        <f t="shared" si="226"/>
        <v>Selesai Desain</v>
      </c>
      <c r="AY92" s="63" t="str">
        <f t="shared" si="227"/>
        <v>Proses KAK</v>
      </c>
      <c r="AZ92" s="63" t="str">
        <f t="shared" si="228"/>
        <v>Proses Pengadaan</v>
      </c>
      <c r="BA92" s="63" t="str">
        <f t="shared" si="229"/>
        <v>Proses Desain</v>
      </c>
      <c r="BB92" s="63" t="str">
        <f t="shared" si="220"/>
        <v>Proses Desain</v>
      </c>
      <c r="BC92" s="63" t="str">
        <f t="shared" si="217"/>
        <v>Proses Pengembangan</v>
      </c>
      <c r="BD92" s="63" t="str">
        <f t="shared" si="167"/>
        <v>Proses Pengembangan</v>
      </c>
      <c r="BE92" s="351">
        <v>0.05</v>
      </c>
      <c r="BF92" s="43">
        <v>0.03</v>
      </c>
      <c r="BG92" s="351">
        <v>0.125</v>
      </c>
      <c r="BH92" s="351">
        <v>0.15</v>
      </c>
      <c r="BI92" s="351">
        <v>0.3</v>
      </c>
      <c r="BJ92" s="351">
        <v>0.45</v>
      </c>
      <c r="BK92" s="351">
        <v>0.22</v>
      </c>
      <c r="BL92" s="351">
        <v>0.27</v>
      </c>
      <c r="BM92" s="351">
        <v>0.4</v>
      </c>
      <c r="BN92" s="351">
        <v>0.4</v>
      </c>
      <c r="BO92" s="351">
        <v>0.64</v>
      </c>
      <c r="BP92" s="351">
        <v>0.5</v>
      </c>
      <c r="BQ92" s="63" t="str">
        <f t="shared" si="168"/>
        <v>Selesai Implementasi</v>
      </c>
      <c r="BR92" s="63" t="str">
        <f t="shared" si="169"/>
        <v>Not Started</v>
      </c>
      <c r="BS92" s="63" t="str">
        <f t="shared" si="170"/>
        <v>Not Started</v>
      </c>
      <c r="BT92" s="63" t="str">
        <f t="shared" si="171"/>
        <v>Not Started</v>
      </c>
      <c r="BU92" s="63" t="str">
        <f t="shared" si="172"/>
        <v>Not Started</v>
      </c>
      <c r="BV92" s="63" t="str">
        <f t="shared" si="173"/>
        <v>Not Started</v>
      </c>
      <c r="BW92" s="63" t="str">
        <f t="shared" si="174"/>
        <v>Not Started</v>
      </c>
      <c r="BX92" s="63" t="str">
        <f t="shared" si="175"/>
        <v>Not Started</v>
      </c>
      <c r="BY92" s="63" t="str">
        <f t="shared" si="176"/>
        <v>Not Started</v>
      </c>
      <c r="BZ92" s="63" t="str">
        <f t="shared" si="177"/>
        <v>Not Started</v>
      </c>
      <c r="CA92" s="63" t="str">
        <f t="shared" si="178"/>
        <v>Not Started</v>
      </c>
      <c r="CB92" s="63" t="str">
        <f t="shared" si="179"/>
        <v>Not Started</v>
      </c>
      <c r="CC92" s="44">
        <f t="shared" si="216"/>
        <v>0.99999999999999989</v>
      </c>
      <c r="CD92" s="44"/>
      <c r="CE92" s="44"/>
      <c r="CF92" s="44"/>
      <c r="CG92" s="44"/>
      <c r="CH92" s="44"/>
      <c r="CI92" s="44"/>
      <c r="CJ92" s="44"/>
      <c r="CK92" s="44"/>
      <c r="CL92" s="44"/>
      <c r="CM92" s="44"/>
      <c r="CN92" s="44"/>
      <c r="CO92" s="45">
        <f t="shared" si="181"/>
        <v>19.999999999999996</v>
      </c>
      <c r="CP92" s="45">
        <f t="shared" si="182"/>
        <v>0</v>
      </c>
      <c r="CQ92" s="45">
        <f t="shared" si="183"/>
        <v>0</v>
      </c>
      <c r="CR92" s="45">
        <f t="shared" si="184"/>
        <v>0</v>
      </c>
      <c r="CS92" s="45">
        <f t="shared" si="185"/>
        <v>0</v>
      </c>
      <c r="CT92" s="45">
        <f t="shared" si="186"/>
        <v>0</v>
      </c>
      <c r="CU92" s="45">
        <f t="shared" si="187"/>
        <v>0</v>
      </c>
      <c r="CV92" s="45">
        <f t="shared" si="188"/>
        <v>0</v>
      </c>
      <c r="CW92" s="45">
        <f t="shared" si="189"/>
        <v>0</v>
      </c>
      <c r="CX92" s="45">
        <f t="shared" si="190"/>
        <v>0</v>
      </c>
      <c r="CY92" s="45">
        <f t="shared" si="218"/>
        <v>0</v>
      </c>
      <c r="CZ92" s="45"/>
      <c r="DA92" s="45" t="str">
        <f t="shared" si="191"/>
        <v>DONE</v>
      </c>
      <c r="DB92" s="45" t="str">
        <f t="shared" si="192"/>
        <v>BS</v>
      </c>
      <c r="DC92" s="45" t="str">
        <f t="shared" si="193"/>
        <v>BS</v>
      </c>
      <c r="DD92" s="45" t="str">
        <f t="shared" si="194"/>
        <v>BS</v>
      </c>
      <c r="DE92" s="45" t="str">
        <f t="shared" si="195"/>
        <v>BS</v>
      </c>
      <c r="DF92" s="45" t="str">
        <f t="shared" si="196"/>
        <v>BS</v>
      </c>
      <c r="DG92" s="45" t="str">
        <f t="shared" si="197"/>
        <v>BS</v>
      </c>
      <c r="DH92" s="45" t="str">
        <f t="shared" si="198"/>
        <v>BS</v>
      </c>
      <c r="DI92" s="45" t="str">
        <f t="shared" si="199"/>
        <v>BS</v>
      </c>
      <c r="DJ92" s="45" t="str">
        <f t="shared" si="200"/>
        <v>BS</v>
      </c>
      <c r="DK92" s="45" t="str">
        <f t="shared" si="219"/>
        <v>BS</v>
      </c>
      <c r="DL92" s="45" t="str">
        <f t="shared" si="201"/>
        <v>BS</v>
      </c>
      <c r="DM92" s="45">
        <f t="shared" si="202"/>
        <v>1.9999999999999998</v>
      </c>
      <c r="DN92" s="45">
        <f t="shared" si="203"/>
        <v>0</v>
      </c>
      <c r="DO92" s="45">
        <f t="shared" si="204"/>
        <v>0</v>
      </c>
      <c r="DP92" s="45">
        <f t="shared" si="205"/>
        <v>0</v>
      </c>
      <c r="DQ92" s="45">
        <f t="shared" si="206"/>
        <v>0</v>
      </c>
      <c r="DR92" s="45">
        <f t="shared" si="207"/>
        <v>0</v>
      </c>
      <c r="DS92" s="45">
        <f t="shared" si="208"/>
        <v>0</v>
      </c>
      <c r="DT92" s="45">
        <f t="shared" si="209"/>
        <v>0</v>
      </c>
      <c r="DU92" s="45">
        <f t="shared" si="210"/>
        <v>0</v>
      </c>
      <c r="DV92" s="45">
        <f t="shared" si="211"/>
        <v>0</v>
      </c>
      <c r="DW92" s="45">
        <f t="shared" si="212"/>
        <v>0</v>
      </c>
      <c r="DX92" s="45">
        <f t="shared" si="213"/>
        <v>0</v>
      </c>
      <c r="DY92" s="576">
        <v>1</v>
      </c>
      <c r="DZ92" s="578">
        <v>1</v>
      </c>
      <c r="EA92" s="581">
        <v>1</v>
      </c>
      <c r="EB92" s="577">
        <v>1</v>
      </c>
      <c r="EC92" s="175">
        <v>1</v>
      </c>
      <c r="ED92" s="576">
        <v>1</v>
      </c>
      <c r="EE92" s="576">
        <v>1</v>
      </c>
      <c r="EF92" s="576">
        <v>1</v>
      </c>
      <c r="EG92" s="576">
        <v>1</v>
      </c>
      <c r="EH92" s="564" t="s">
        <v>1495</v>
      </c>
      <c r="EI92" s="230"/>
      <c r="EJ92" s="59">
        <f t="shared" si="214"/>
        <v>46142</v>
      </c>
      <c r="EK92" s="266"/>
      <c r="EL92" s="344"/>
      <c r="EM92" s="344"/>
      <c r="EN92" s="285"/>
      <c r="EO92" s="285"/>
      <c r="EP92" s="346"/>
      <c r="EQ92" s="285"/>
      <c r="ER92" s="346"/>
      <c r="ES92" s="346"/>
      <c r="ET92" s="285"/>
      <c r="EU92" s="285"/>
      <c r="EV92" s="346"/>
      <c r="EW92" s="346"/>
      <c r="EX92" s="346"/>
      <c r="EY92" s="346"/>
      <c r="EZ92" s="346"/>
      <c r="FA92" s="346"/>
      <c r="FB92" s="346"/>
      <c r="FC92" s="285"/>
      <c r="FD92" s="346"/>
      <c r="FE92" s="346"/>
      <c r="FF92" s="285"/>
      <c r="FG92" s="285"/>
      <c r="FH92" s="346"/>
      <c r="FI92" s="346"/>
      <c r="FJ92" s="346"/>
      <c r="FK92" s="346"/>
      <c r="FL92" s="347"/>
      <c r="FM92" s="172" t="s">
        <v>716</v>
      </c>
      <c r="FN92" s="172" t="s">
        <v>299</v>
      </c>
      <c r="FO92" s="224" t="s">
        <v>300</v>
      </c>
      <c r="FP92" s="172" t="s">
        <v>721</v>
      </c>
      <c r="FQ92" s="172" t="s">
        <v>301</v>
      </c>
      <c r="FR92" s="289" t="s">
        <v>549</v>
      </c>
      <c r="FS92" s="267" t="s">
        <v>345</v>
      </c>
      <c r="FT92" s="354" t="s">
        <v>722</v>
      </c>
      <c r="FU92" s="258">
        <v>4</v>
      </c>
    </row>
    <row r="93" spans="1:177" s="16" customFormat="1" ht="176">
      <c r="A93" s="63" t="s">
        <v>723</v>
      </c>
      <c r="B93" s="48" t="s">
        <v>468</v>
      </c>
      <c r="C93" s="64" t="s">
        <v>206</v>
      </c>
      <c r="D93" s="225" t="s">
        <v>207</v>
      </c>
      <c r="E93" s="48" t="s">
        <v>713</v>
      </c>
      <c r="F93" s="227">
        <f t="shared" si="282"/>
        <v>3</v>
      </c>
      <c r="G93" s="65" t="s">
        <v>310</v>
      </c>
      <c r="H93" s="222" t="s">
        <v>310</v>
      </c>
      <c r="I93" s="65" t="s">
        <v>724</v>
      </c>
      <c r="J93" s="48">
        <v>2025</v>
      </c>
      <c r="K93" s="48">
        <v>2026</v>
      </c>
      <c r="L93" s="48" t="s">
        <v>288</v>
      </c>
      <c r="M93" s="48" t="s">
        <v>173</v>
      </c>
      <c r="N93" s="48" t="s">
        <v>174</v>
      </c>
      <c r="O93" s="63" t="s">
        <v>720</v>
      </c>
      <c r="P93" s="63" t="s">
        <v>458</v>
      </c>
      <c r="Q93" s="63" t="s">
        <v>297</v>
      </c>
      <c r="R93" s="63" t="s">
        <v>310</v>
      </c>
      <c r="S93" s="63" t="str">
        <f t="shared" si="153"/>
        <v>Selesai Pengadaan</v>
      </c>
      <c r="T93" s="63" t="str">
        <f t="shared" si="145"/>
        <v>On Progress</v>
      </c>
      <c r="U93" s="63" t="str">
        <f t="shared" si="154"/>
        <v>Pahman Hasibuan</v>
      </c>
      <c r="V93" s="67">
        <f t="shared" si="155"/>
        <v>0.3</v>
      </c>
      <c r="W93" s="66" t="s">
        <v>448</v>
      </c>
      <c r="X93" s="59">
        <f t="shared" si="156"/>
        <v>46295</v>
      </c>
      <c r="Y93" s="68">
        <v>0</v>
      </c>
      <c r="Z93" s="48"/>
      <c r="AA93" s="62">
        <v>45658</v>
      </c>
      <c r="AB93" s="42">
        <v>45884</v>
      </c>
      <c r="AC93" s="42">
        <v>45870</v>
      </c>
      <c r="AD93" s="42">
        <v>45884</v>
      </c>
      <c r="AE93" s="42">
        <v>45885</v>
      </c>
      <c r="AF93" s="245">
        <v>45900</v>
      </c>
      <c r="AG93" s="274"/>
      <c r="AH93" s="274"/>
      <c r="AI93" s="42">
        <v>46023</v>
      </c>
      <c r="AJ93" s="42">
        <v>46081</v>
      </c>
      <c r="AK93" s="42">
        <v>46082</v>
      </c>
      <c r="AL93" s="42">
        <v>46173</v>
      </c>
      <c r="AM93" s="42">
        <v>46174</v>
      </c>
      <c r="AN93" s="42">
        <v>46218</v>
      </c>
      <c r="AO93" s="42">
        <v>46219</v>
      </c>
      <c r="AP93" s="42">
        <v>46280</v>
      </c>
      <c r="AQ93" s="42">
        <v>46281</v>
      </c>
      <c r="AR93" s="42">
        <v>46295</v>
      </c>
      <c r="AS93" s="63" t="str">
        <f t="shared" si="221"/>
        <v>Proses Desain</v>
      </c>
      <c r="AT93" s="63" t="str">
        <f t="shared" si="222"/>
        <v>Selesai Desain</v>
      </c>
      <c r="AU93" s="63" t="str">
        <f t="shared" si="223"/>
        <v>Proses Pengembangan</v>
      </c>
      <c r="AV93" s="63" t="str">
        <f t="shared" si="224"/>
        <v>Proses Pengembangan</v>
      </c>
      <c r="AW93" s="63" t="str">
        <f t="shared" si="225"/>
        <v>Selesai Pengembangan</v>
      </c>
      <c r="AX93" s="63" t="str">
        <f t="shared" si="226"/>
        <v>Proses SIT</v>
      </c>
      <c r="AY93" s="63" t="str">
        <f t="shared" si="227"/>
        <v>Proses SIT</v>
      </c>
      <c r="AZ93" s="63" t="str">
        <f t="shared" si="228"/>
        <v>Proses UAT</v>
      </c>
      <c r="BA93" s="63" t="str">
        <f t="shared" si="229"/>
        <v>Selesai Implementasi</v>
      </c>
      <c r="BB93" s="63" t="str">
        <f t="shared" si="220"/>
        <v>Selesai Implementasi</v>
      </c>
      <c r="BC93" s="63" t="str">
        <f t="shared" si="217"/>
        <v>Selesai Implementasi</v>
      </c>
      <c r="BD93" s="63" t="str">
        <f t="shared" si="167"/>
        <v>Selesai Implementasi</v>
      </c>
      <c r="BE93" s="351">
        <v>0.37</v>
      </c>
      <c r="BF93" s="43">
        <v>0.45</v>
      </c>
      <c r="BG93" s="351">
        <v>0.56999999999999995</v>
      </c>
      <c r="BH93" s="351">
        <v>0.69</v>
      </c>
      <c r="BI93" s="351">
        <v>0.8</v>
      </c>
      <c r="BJ93" s="351">
        <v>0.85</v>
      </c>
      <c r="BK93" s="351">
        <v>0.87</v>
      </c>
      <c r="BL93" s="351">
        <v>0.9</v>
      </c>
      <c r="BM93" s="351">
        <v>1</v>
      </c>
      <c r="BN93" s="351">
        <v>1</v>
      </c>
      <c r="BO93" s="351">
        <v>1</v>
      </c>
      <c r="BP93" s="351">
        <v>1</v>
      </c>
      <c r="BQ93" s="63" t="str">
        <f t="shared" si="168"/>
        <v>Selesai Pengadaan</v>
      </c>
      <c r="BR93" s="63" t="str">
        <f t="shared" si="169"/>
        <v>Not Started</v>
      </c>
      <c r="BS93" s="63" t="str">
        <f t="shared" si="170"/>
        <v>Not Started</v>
      </c>
      <c r="BT93" s="63" t="str">
        <f t="shared" si="171"/>
        <v>Not Started</v>
      </c>
      <c r="BU93" s="63" t="str">
        <f t="shared" si="172"/>
        <v>Not Started</v>
      </c>
      <c r="BV93" s="63" t="str">
        <f t="shared" si="173"/>
        <v>Not Started</v>
      </c>
      <c r="BW93" s="63" t="str">
        <f t="shared" si="174"/>
        <v>Not Started</v>
      </c>
      <c r="BX93" s="63" t="str">
        <f t="shared" si="175"/>
        <v>Not Started</v>
      </c>
      <c r="BY93" s="63" t="str">
        <f t="shared" si="176"/>
        <v>Not Started</v>
      </c>
      <c r="BZ93" s="63" t="str">
        <f t="shared" si="177"/>
        <v>Not Started</v>
      </c>
      <c r="CA93" s="63" t="str">
        <f t="shared" si="178"/>
        <v>Not Started</v>
      </c>
      <c r="CB93" s="63" t="str">
        <f t="shared" si="179"/>
        <v>Not Started</v>
      </c>
      <c r="CC93" s="44">
        <f t="shared" si="216"/>
        <v>0.3</v>
      </c>
      <c r="CD93" s="44"/>
      <c r="CE93" s="44"/>
      <c r="CF93" s="44"/>
      <c r="CG93" s="44"/>
      <c r="CH93" s="44"/>
      <c r="CI93" s="44"/>
      <c r="CJ93" s="44"/>
      <c r="CK93" s="44"/>
      <c r="CL93" s="44"/>
      <c r="CM93" s="44"/>
      <c r="CN93" s="44"/>
      <c r="CO93" s="45">
        <f t="shared" si="181"/>
        <v>0.81081081081081074</v>
      </c>
      <c r="CP93" s="45">
        <f t="shared" si="182"/>
        <v>0</v>
      </c>
      <c r="CQ93" s="45">
        <f t="shared" si="183"/>
        <v>0</v>
      </c>
      <c r="CR93" s="45">
        <f t="shared" si="184"/>
        <v>0</v>
      </c>
      <c r="CS93" s="45">
        <f t="shared" si="185"/>
        <v>0</v>
      </c>
      <c r="CT93" s="45">
        <f t="shared" si="186"/>
        <v>0</v>
      </c>
      <c r="CU93" s="45">
        <f t="shared" si="187"/>
        <v>0</v>
      </c>
      <c r="CV93" s="45">
        <f t="shared" si="188"/>
        <v>0</v>
      </c>
      <c r="CW93" s="45">
        <f t="shared" si="189"/>
        <v>0</v>
      </c>
      <c r="CX93" s="45">
        <f t="shared" si="190"/>
        <v>0</v>
      </c>
      <c r="CY93" s="45">
        <f t="shared" si="218"/>
        <v>0</v>
      </c>
      <c r="CZ93" s="45"/>
      <c r="DA93" s="45" t="str">
        <f t="shared" si="191"/>
        <v>AR</v>
      </c>
      <c r="DB93" s="45" t="str">
        <f t="shared" si="192"/>
        <v>BS</v>
      </c>
      <c r="DC93" s="45" t="str">
        <f t="shared" si="193"/>
        <v>BS</v>
      </c>
      <c r="DD93" s="45" t="str">
        <f t="shared" si="194"/>
        <v>BS</v>
      </c>
      <c r="DE93" s="45" t="str">
        <f t="shared" si="195"/>
        <v>BS</v>
      </c>
      <c r="DF93" s="45" t="str">
        <f t="shared" si="196"/>
        <v>BS</v>
      </c>
      <c r="DG93" s="45" t="str">
        <f t="shared" si="197"/>
        <v>BS</v>
      </c>
      <c r="DH93" s="45" t="str">
        <f t="shared" si="198"/>
        <v>BS</v>
      </c>
      <c r="DI93" s="45" t="str">
        <f t="shared" si="199"/>
        <v>BS</v>
      </c>
      <c r="DJ93" s="45" t="str">
        <f t="shared" si="200"/>
        <v>BS</v>
      </c>
      <c r="DK93" s="45" t="str">
        <f t="shared" si="219"/>
        <v>BS</v>
      </c>
      <c r="DL93" s="45" t="str">
        <f t="shared" si="201"/>
        <v>BS</v>
      </c>
      <c r="DM93" s="45">
        <f t="shared" si="202"/>
        <v>0.3</v>
      </c>
      <c r="DN93" s="45">
        <f t="shared" si="203"/>
        <v>0</v>
      </c>
      <c r="DO93" s="45">
        <f t="shared" si="204"/>
        <v>0</v>
      </c>
      <c r="DP93" s="45">
        <f t="shared" si="205"/>
        <v>0</v>
      </c>
      <c r="DQ93" s="45">
        <f t="shared" si="206"/>
        <v>0</v>
      </c>
      <c r="DR93" s="45">
        <f t="shared" si="207"/>
        <v>0</v>
      </c>
      <c r="DS93" s="45">
        <f t="shared" si="208"/>
        <v>0</v>
      </c>
      <c r="DT93" s="45">
        <f t="shared" si="209"/>
        <v>0</v>
      </c>
      <c r="DU93" s="45">
        <f t="shared" si="210"/>
        <v>0</v>
      </c>
      <c r="DV93" s="45">
        <f t="shared" si="211"/>
        <v>0</v>
      </c>
      <c r="DW93" s="45">
        <f t="shared" si="212"/>
        <v>0</v>
      </c>
      <c r="DX93" s="45">
        <f t="shared" si="213"/>
        <v>0</v>
      </c>
      <c r="DY93" s="576">
        <v>1</v>
      </c>
      <c r="DZ93" s="578">
        <v>1</v>
      </c>
      <c r="EA93" s="581">
        <v>1</v>
      </c>
      <c r="EB93" s="577">
        <v>1</v>
      </c>
      <c r="EC93" s="180">
        <v>0</v>
      </c>
      <c r="ED93" s="180">
        <v>0</v>
      </c>
      <c r="EE93" s="180">
        <v>0</v>
      </c>
      <c r="EF93" s="180">
        <v>0</v>
      </c>
      <c r="EG93" s="189">
        <v>0</v>
      </c>
      <c r="EH93" s="188" t="s">
        <v>1526</v>
      </c>
      <c r="EI93" s="230"/>
      <c r="EJ93" s="59">
        <f t="shared" si="214"/>
        <v>46295</v>
      </c>
      <c r="EK93" s="266"/>
      <c r="EL93" s="344"/>
      <c r="EM93" s="344"/>
      <c r="EN93" s="285"/>
      <c r="EO93" s="285"/>
      <c r="EP93" s="346"/>
      <c r="EQ93" s="285"/>
      <c r="ER93" s="346"/>
      <c r="ES93" s="346"/>
      <c r="ET93" s="285"/>
      <c r="EU93" s="285"/>
      <c r="EV93" s="346"/>
      <c r="EW93" s="346"/>
      <c r="EX93" s="346"/>
      <c r="EY93" s="346"/>
      <c r="EZ93" s="346"/>
      <c r="FA93" s="346"/>
      <c r="FB93" s="346"/>
      <c r="FC93" s="285"/>
      <c r="FD93" s="346"/>
      <c r="FE93" s="346"/>
      <c r="FF93" s="285"/>
      <c r="FG93" s="285"/>
      <c r="FH93" s="346"/>
      <c r="FI93" s="346"/>
      <c r="FJ93" s="346"/>
      <c r="FK93" s="346"/>
      <c r="FL93" s="347"/>
      <c r="FM93" s="172" t="s">
        <v>716</v>
      </c>
      <c r="FN93" s="172" t="s">
        <v>299</v>
      </c>
      <c r="FO93" s="224" t="s">
        <v>300</v>
      </c>
      <c r="FP93" s="172" t="s">
        <v>721</v>
      </c>
      <c r="FQ93" s="172" t="s">
        <v>301</v>
      </c>
      <c r="FR93" s="289" t="s">
        <v>549</v>
      </c>
      <c r="FS93" s="267" t="s">
        <v>345</v>
      </c>
      <c r="FT93" s="354" t="s">
        <v>722</v>
      </c>
      <c r="FU93" s="258">
        <v>4</v>
      </c>
    </row>
    <row r="94" spans="1:177" s="16" customFormat="1" ht="128">
      <c r="A94" s="63" t="s">
        <v>725</v>
      </c>
      <c r="B94" s="48" t="s">
        <v>468</v>
      </c>
      <c r="C94" s="64" t="s">
        <v>206</v>
      </c>
      <c r="D94" s="225" t="s">
        <v>207</v>
      </c>
      <c r="E94" s="48" t="s">
        <v>713</v>
      </c>
      <c r="F94" s="227">
        <f t="shared" si="282"/>
        <v>4</v>
      </c>
      <c r="G94" s="65" t="s">
        <v>310</v>
      </c>
      <c r="H94" s="222" t="s">
        <v>310</v>
      </c>
      <c r="I94" s="65" t="s">
        <v>726</v>
      </c>
      <c r="J94" s="48">
        <v>2025</v>
      </c>
      <c r="K94" s="48">
        <v>2027</v>
      </c>
      <c r="L94" s="48" t="s">
        <v>288</v>
      </c>
      <c r="M94" s="48" t="s">
        <v>173</v>
      </c>
      <c r="N94" s="48" t="s">
        <v>174</v>
      </c>
      <c r="O94" s="63" t="s">
        <v>720</v>
      </c>
      <c r="P94" s="63" t="s">
        <v>458</v>
      </c>
      <c r="Q94" s="63" t="s">
        <v>297</v>
      </c>
      <c r="R94" s="63" t="s">
        <v>310</v>
      </c>
      <c r="S94" s="63" t="str">
        <f t="shared" si="153"/>
        <v>Selesai Pengadaan</v>
      </c>
      <c r="T94" s="63" t="str">
        <f t="shared" si="145"/>
        <v>On Progress</v>
      </c>
      <c r="U94" s="63" t="str">
        <f t="shared" si="154"/>
        <v>Pahman Hasibuan</v>
      </c>
      <c r="V94" s="67">
        <f t="shared" si="155"/>
        <v>0.3</v>
      </c>
      <c r="W94" s="66" t="s">
        <v>448</v>
      </c>
      <c r="X94" s="59">
        <f t="shared" si="156"/>
        <v>46477</v>
      </c>
      <c r="Y94" s="68">
        <v>0</v>
      </c>
      <c r="Z94" s="48"/>
      <c r="AA94" s="62">
        <v>45658</v>
      </c>
      <c r="AB94" s="42">
        <v>45884</v>
      </c>
      <c r="AC94" s="42">
        <v>45870</v>
      </c>
      <c r="AD94" s="42">
        <v>45884</v>
      </c>
      <c r="AE94" s="42">
        <v>45885</v>
      </c>
      <c r="AF94" s="42">
        <v>45900</v>
      </c>
      <c r="AG94" s="42"/>
      <c r="AH94" s="42"/>
      <c r="AI94" s="42">
        <v>46296</v>
      </c>
      <c r="AJ94" s="42">
        <v>46310</v>
      </c>
      <c r="AK94" s="42">
        <v>46311</v>
      </c>
      <c r="AL94" s="42">
        <v>46387</v>
      </c>
      <c r="AM94" s="42">
        <v>46388</v>
      </c>
      <c r="AN94" s="42">
        <v>46418</v>
      </c>
      <c r="AO94" s="42">
        <v>46419</v>
      </c>
      <c r="AP94" s="42">
        <v>46446</v>
      </c>
      <c r="AQ94" s="42">
        <v>46447</v>
      </c>
      <c r="AR94" s="42">
        <v>46477</v>
      </c>
      <c r="AS94" s="63" t="str">
        <f t="shared" si="221"/>
        <v>Selesai Pengadaan</v>
      </c>
      <c r="AT94" s="63" t="str">
        <f t="shared" si="222"/>
        <v>Selesai Pengadaan</v>
      </c>
      <c r="AU94" s="63" t="str">
        <f t="shared" si="223"/>
        <v>Selesai Pengadaan</v>
      </c>
      <c r="AV94" s="63" t="str">
        <f t="shared" si="224"/>
        <v>Selesai Pengadaan</v>
      </c>
      <c r="AW94" s="63" t="str">
        <f t="shared" si="225"/>
        <v>Selesai Pengadaan</v>
      </c>
      <c r="AX94" s="63" t="str">
        <f t="shared" si="226"/>
        <v>Selesai Pengadaan</v>
      </c>
      <c r="AY94" s="63" t="str">
        <f t="shared" si="227"/>
        <v>Selesai Pengadaan</v>
      </c>
      <c r="AZ94" s="63" t="str">
        <f t="shared" si="228"/>
        <v>Selesai Pengadaan</v>
      </c>
      <c r="BA94" s="63" t="str">
        <f t="shared" si="229"/>
        <v>Selesai Pengadaan</v>
      </c>
      <c r="BB94" s="63" t="str">
        <f t="shared" si="220"/>
        <v>Proses Pengembangan</v>
      </c>
      <c r="BC94" s="63" t="str">
        <f t="shared" si="217"/>
        <v>Proses Pengembangan</v>
      </c>
      <c r="BD94" s="63" t="str">
        <f t="shared" si="167"/>
        <v>Selesai Pengembangan</v>
      </c>
      <c r="BE94" s="351">
        <v>0.3</v>
      </c>
      <c r="BF94" s="351">
        <v>0.3</v>
      </c>
      <c r="BG94" s="351">
        <v>0.3</v>
      </c>
      <c r="BH94" s="351">
        <v>0.3</v>
      </c>
      <c r="BI94" s="351">
        <v>0.3</v>
      </c>
      <c r="BJ94" s="351">
        <v>0.3</v>
      </c>
      <c r="BK94" s="351">
        <v>0.3</v>
      </c>
      <c r="BL94" s="351">
        <v>0.3</v>
      </c>
      <c r="BM94" s="351">
        <v>0.3</v>
      </c>
      <c r="BN94" s="351">
        <v>0.5</v>
      </c>
      <c r="BO94" s="351">
        <v>0.6</v>
      </c>
      <c r="BP94" s="351">
        <v>0.8</v>
      </c>
      <c r="BQ94" s="63" t="str">
        <f t="shared" si="168"/>
        <v>Selesai Pengadaan</v>
      </c>
      <c r="BR94" s="63" t="str">
        <f t="shared" si="169"/>
        <v>Not Started</v>
      </c>
      <c r="BS94" s="63" t="str">
        <f t="shared" si="170"/>
        <v>Not Started</v>
      </c>
      <c r="BT94" s="63" t="str">
        <f t="shared" si="171"/>
        <v>Not Started</v>
      </c>
      <c r="BU94" s="63" t="str">
        <f t="shared" si="172"/>
        <v>Not Started</v>
      </c>
      <c r="BV94" s="63" t="str">
        <f t="shared" si="173"/>
        <v>Not Started</v>
      </c>
      <c r="BW94" s="63" t="str">
        <f t="shared" si="174"/>
        <v>Not Started</v>
      </c>
      <c r="BX94" s="63" t="str">
        <f t="shared" si="175"/>
        <v>Not Started</v>
      </c>
      <c r="BY94" s="63" t="str">
        <f t="shared" si="176"/>
        <v>Not Started</v>
      </c>
      <c r="BZ94" s="63" t="str">
        <f t="shared" si="177"/>
        <v>Not Started</v>
      </c>
      <c r="CA94" s="63" t="str">
        <f t="shared" si="178"/>
        <v>Not Started</v>
      </c>
      <c r="CB94" s="63" t="str">
        <f t="shared" si="179"/>
        <v>Not Started</v>
      </c>
      <c r="CC94" s="44">
        <f t="shared" si="216"/>
        <v>0.3</v>
      </c>
      <c r="CD94" s="44"/>
      <c r="CE94" s="44"/>
      <c r="CF94" s="44"/>
      <c r="CG94" s="44"/>
      <c r="CH94" s="44"/>
      <c r="CI94" s="44"/>
      <c r="CJ94" s="44"/>
      <c r="CK94" s="44"/>
      <c r="CL94" s="44"/>
      <c r="CM94" s="44"/>
      <c r="CN94" s="44"/>
      <c r="CO94" s="45">
        <f t="shared" si="181"/>
        <v>1</v>
      </c>
      <c r="CP94" s="45">
        <f t="shared" si="182"/>
        <v>0</v>
      </c>
      <c r="CQ94" s="45">
        <f t="shared" si="183"/>
        <v>0</v>
      </c>
      <c r="CR94" s="45">
        <f t="shared" si="184"/>
        <v>0</v>
      </c>
      <c r="CS94" s="45">
        <f t="shared" si="185"/>
        <v>0</v>
      </c>
      <c r="CT94" s="45">
        <f t="shared" si="186"/>
        <v>0</v>
      </c>
      <c r="CU94" s="45">
        <f t="shared" si="187"/>
        <v>0</v>
      </c>
      <c r="CV94" s="45">
        <f t="shared" si="188"/>
        <v>0</v>
      </c>
      <c r="CW94" s="45">
        <f t="shared" si="189"/>
        <v>0</v>
      </c>
      <c r="CX94" s="45">
        <f t="shared" si="190"/>
        <v>0</v>
      </c>
      <c r="CY94" s="45">
        <f t="shared" si="218"/>
        <v>0</v>
      </c>
      <c r="CZ94" s="45"/>
      <c r="DA94" s="45" t="str">
        <f t="shared" si="191"/>
        <v>OS</v>
      </c>
      <c r="DB94" s="45" t="str">
        <f t="shared" si="192"/>
        <v>BS</v>
      </c>
      <c r="DC94" s="45" t="str">
        <f t="shared" si="193"/>
        <v>BS</v>
      </c>
      <c r="DD94" s="45" t="str">
        <f t="shared" si="194"/>
        <v>BS</v>
      </c>
      <c r="DE94" s="45" t="str">
        <f t="shared" si="195"/>
        <v>BS</v>
      </c>
      <c r="DF94" s="45" t="str">
        <f t="shared" si="196"/>
        <v>BS</v>
      </c>
      <c r="DG94" s="45" t="str">
        <f t="shared" si="197"/>
        <v>BS</v>
      </c>
      <c r="DH94" s="45" t="str">
        <f t="shared" si="198"/>
        <v>BS</v>
      </c>
      <c r="DI94" s="45" t="str">
        <f t="shared" si="199"/>
        <v>BS</v>
      </c>
      <c r="DJ94" s="45" t="str">
        <f t="shared" si="200"/>
        <v>BS</v>
      </c>
      <c r="DK94" s="45" t="str">
        <f t="shared" si="219"/>
        <v>BS</v>
      </c>
      <c r="DL94" s="45" t="str">
        <f t="shared" si="201"/>
        <v>BS</v>
      </c>
      <c r="DM94" s="45">
        <f t="shared" si="202"/>
        <v>0.37499999999999994</v>
      </c>
      <c r="DN94" s="45">
        <f t="shared" si="203"/>
        <v>0</v>
      </c>
      <c r="DO94" s="45">
        <f t="shared" si="204"/>
        <v>0</v>
      </c>
      <c r="DP94" s="45">
        <f t="shared" si="205"/>
        <v>0</v>
      </c>
      <c r="DQ94" s="45">
        <f t="shared" si="206"/>
        <v>0</v>
      </c>
      <c r="DR94" s="45">
        <f t="shared" si="207"/>
        <v>0</v>
      </c>
      <c r="DS94" s="45">
        <f t="shared" si="208"/>
        <v>0</v>
      </c>
      <c r="DT94" s="45">
        <f t="shared" si="209"/>
        <v>0</v>
      </c>
      <c r="DU94" s="45">
        <f t="shared" si="210"/>
        <v>0</v>
      </c>
      <c r="DV94" s="45">
        <f t="shared" si="211"/>
        <v>0</v>
      </c>
      <c r="DW94" s="45">
        <f t="shared" si="212"/>
        <v>0</v>
      </c>
      <c r="DX94" s="45">
        <f t="shared" si="213"/>
        <v>0</v>
      </c>
      <c r="DY94" s="576">
        <v>1</v>
      </c>
      <c r="DZ94" s="576">
        <v>1</v>
      </c>
      <c r="EA94" s="175">
        <v>1</v>
      </c>
      <c r="EB94" s="577">
        <v>1</v>
      </c>
      <c r="EC94" s="180">
        <v>0</v>
      </c>
      <c r="ED94" s="180">
        <v>0</v>
      </c>
      <c r="EE94" s="180">
        <v>0</v>
      </c>
      <c r="EF94" s="180">
        <v>0</v>
      </c>
      <c r="EG94" s="189">
        <v>0</v>
      </c>
      <c r="EH94" s="188" t="s">
        <v>1512</v>
      </c>
      <c r="EI94" s="230"/>
      <c r="EJ94" s="59">
        <f t="shared" si="214"/>
        <v>46477</v>
      </c>
      <c r="EK94" s="266"/>
      <c r="EL94" s="344"/>
      <c r="EM94" s="344"/>
      <c r="EN94" s="285"/>
      <c r="EO94" s="285"/>
      <c r="EP94" s="346"/>
      <c r="EQ94" s="285"/>
      <c r="ER94" s="346"/>
      <c r="ES94" s="346"/>
      <c r="ET94" s="285"/>
      <c r="EU94" s="285"/>
      <c r="EV94" s="346"/>
      <c r="EW94" s="346"/>
      <c r="EX94" s="346"/>
      <c r="EY94" s="346"/>
      <c r="EZ94" s="346"/>
      <c r="FA94" s="346"/>
      <c r="FB94" s="346"/>
      <c r="FC94" s="285"/>
      <c r="FD94" s="346"/>
      <c r="FE94" s="346"/>
      <c r="FF94" s="285"/>
      <c r="FG94" s="285"/>
      <c r="FH94" s="346"/>
      <c r="FI94" s="346"/>
      <c r="FJ94" s="346"/>
      <c r="FK94" s="346"/>
      <c r="FL94" s="347"/>
      <c r="FM94" s="172" t="s">
        <v>716</v>
      </c>
      <c r="FN94" s="172" t="s">
        <v>299</v>
      </c>
      <c r="FO94" s="224" t="s">
        <v>300</v>
      </c>
      <c r="FP94" s="172" t="s">
        <v>721</v>
      </c>
      <c r="FQ94" s="172" t="s">
        <v>301</v>
      </c>
      <c r="FR94" s="289" t="s">
        <v>549</v>
      </c>
      <c r="FS94" s="267" t="s">
        <v>345</v>
      </c>
      <c r="FT94" s="354" t="s">
        <v>722</v>
      </c>
      <c r="FU94" s="258">
        <v>4</v>
      </c>
    </row>
    <row r="95" spans="1:177" s="16" customFormat="1" ht="409.5">
      <c r="A95" s="63" t="s">
        <v>727</v>
      </c>
      <c r="B95" s="48" t="s">
        <v>337</v>
      </c>
      <c r="C95" s="64" t="s">
        <v>206</v>
      </c>
      <c r="D95" s="225" t="s">
        <v>207</v>
      </c>
      <c r="E95" s="48" t="s">
        <v>713</v>
      </c>
      <c r="F95" s="227">
        <f t="shared" si="282"/>
        <v>5</v>
      </c>
      <c r="G95" s="65" t="s">
        <v>310</v>
      </c>
      <c r="H95" s="222" t="s">
        <v>310</v>
      </c>
      <c r="I95" s="584" t="s">
        <v>728</v>
      </c>
      <c r="J95" s="48">
        <v>2025</v>
      </c>
      <c r="K95" s="48">
        <v>2025</v>
      </c>
      <c r="L95" s="48" t="s">
        <v>288</v>
      </c>
      <c r="M95" s="48" t="s">
        <v>173</v>
      </c>
      <c r="N95" s="48" t="s">
        <v>174</v>
      </c>
      <c r="O95" s="48" t="s">
        <v>729</v>
      </c>
      <c r="P95" s="63" t="s">
        <v>458</v>
      </c>
      <c r="Q95" s="63" t="s">
        <v>297</v>
      </c>
      <c r="R95" s="63" t="s">
        <v>310</v>
      </c>
      <c r="S95" s="63" t="str">
        <f t="shared" si="153"/>
        <v>Selesai Implementasi</v>
      </c>
      <c r="T95" s="63" t="str">
        <f t="shared" si="145"/>
        <v>DONE</v>
      </c>
      <c r="U95" s="63" t="str">
        <f t="shared" si="154"/>
        <v>Pahman Hasibuan</v>
      </c>
      <c r="V95" s="67">
        <f t="shared" si="155"/>
        <v>0.99999999999999989</v>
      </c>
      <c r="W95" s="66" t="s">
        <v>448</v>
      </c>
      <c r="X95" s="59">
        <f t="shared" si="156"/>
        <v>46022</v>
      </c>
      <c r="Y95" s="68">
        <v>0</v>
      </c>
      <c r="Z95" s="48"/>
      <c r="AA95" s="62">
        <v>45658</v>
      </c>
      <c r="AB95" s="42">
        <v>45884</v>
      </c>
      <c r="AC95" s="42">
        <v>45870</v>
      </c>
      <c r="AD95" s="42">
        <v>45884</v>
      </c>
      <c r="AE95" s="42">
        <v>45885</v>
      </c>
      <c r="AF95" s="245">
        <v>45900</v>
      </c>
      <c r="AG95" s="274"/>
      <c r="AH95" s="274"/>
      <c r="AI95" s="42">
        <v>45901</v>
      </c>
      <c r="AJ95" s="42">
        <v>45915</v>
      </c>
      <c r="AK95" s="352">
        <v>45916</v>
      </c>
      <c r="AL95" s="352">
        <v>45961</v>
      </c>
      <c r="AM95" s="352">
        <v>45962</v>
      </c>
      <c r="AN95" s="352">
        <v>45976</v>
      </c>
      <c r="AO95" s="217">
        <v>45977</v>
      </c>
      <c r="AP95" s="355">
        <v>46006</v>
      </c>
      <c r="AQ95" s="217">
        <v>46007</v>
      </c>
      <c r="AR95" s="217">
        <v>46022</v>
      </c>
      <c r="AS95" s="63" t="str">
        <f t="shared" si="221"/>
        <v>Proses RBT-RBB</v>
      </c>
      <c r="AT95" s="63" t="str">
        <f t="shared" si="222"/>
        <v>Proses RBT-RBB</v>
      </c>
      <c r="AU95" s="63" t="str">
        <f t="shared" si="223"/>
        <v>Proses RBT-RBTD</v>
      </c>
      <c r="AV95" s="63" t="str">
        <f t="shared" si="224"/>
        <v>Selesai RBT-RBTD</v>
      </c>
      <c r="AW95" s="63" t="str">
        <f t="shared" si="225"/>
        <v>Selesai Pengadaan</v>
      </c>
      <c r="AX95" s="63" t="str">
        <f t="shared" si="226"/>
        <v>Proses Desain</v>
      </c>
      <c r="AY95" s="63" t="str">
        <f t="shared" si="227"/>
        <v>Proses KAK</v>
      </c>
      <c r="AZ95" s="63" t="str">
        <f t="shared" si="228"/>
        <v>Proses Pengadaan</v>
      </c>
      <c r="BA95" s="63" t="str">
        <f t="shared" si="229"/>
        <v>Proses Desain</v>
      </c>
      <c r="BB95" s="63" t="str">
        <f t="shared" si="220"/>
        <v>Proses Desain</v>
      </c>
      <c r="BC95" s="63" t="str">
        <f t="shared" si="217"/>
        <v>Proses SIT</v>
      </c>
      <c r="BD95" s="63" t="str">
        <f t="shared" si="167"/>
        <v>Selesai Implementasi</v>
      </c>
      <c r="BE95" s="351">
        <v>0.03</v>
      </c>
      <c r="BF95" s="43">
        <v>0.03</v>
      </c>
      <c r="BG95" s="351">
        <v>0.125</v>
      </c>
      <c r="BH95" s="351">
        <v>0.15</v>
      </c>
      <c r="BI95" s="351">
        <v>0.3</v>
      </c>
      <c r="BJ95" s="351">
        <v>0.4</v>
      </c>
      <c r="BK95" s="351">
        <v>0.22</v>
      </c>
      <c r="BL95" s="351">
        <v>0.27</v>
      </c>
      <c r="BM95" s="351">
        <v>0.4</v>
      </c>
      <c r="BN95" s="351">
        <v>0.4</v>
      </c>
      <c r="BO95" s="351">
        <v>0.86</v>
      </c>
      <c r="BP95" s="351">
        <v>1</v>
      </c>
      <c r="BQ95" s="63" t="str">
        <f t="shared" si="168"/>
        <v>Selesai Implementasi</v>
      </c>
      <c r="BR95" s="63" t="str">
        <f t="shared" si="169"/>
        <v>Not Started</v>
      </c>
      <c r="BS95" s="63" t="str">
        <f t="shared" si="170"/>
        <v>Not Started</v>
      </c>
      <c r="BT95" s="63" t="str">
        <f t="shared" si="171"/>
        <v>Not Started</v>
      </c>
      <c r="BU95" s="63" t="str">
        <f t="shared" si="172"/>
        <v>Not Started</v>
      </c>
      <c r="BV95" s="63" t="str">
        <f t="shared" si="173"/>
        <v>Not Started</v>
      </c>
      <c r="BW95" s="63" t="str">
        <f t="shared" si="174"/>
        <v>Not Started</v>
      </c>
      <c r="BX95" s="63" t="str">
        <f t="shared" si="175"/>
        <v>Not Started</v>
      </c>
      <c r="BY95" s="63" t="str">
        <f t="shared" si="176"/>
        <v>Not Started</v>
      </c>
      <c r="BZ95" s="63" t="str">
        <f t="shared" si="177"/>
        <v>Not Started</v>
      </c>
      <c r="CA95" s="63" t="str">
        <f t="shared" si="178"/>
        <v>Not Started</v>
      </c>
      <c r="CB95" s="63" t="str">
        <f t="shared" si="179"/>
        <v>Not Started</v>
      </c>
      <c r="CC95" s="44">
        <f t="shared" si="216"/>
        <v>0.99999999999999989</v>
      </c>
      <c r="CD95" s="44"/>
      <c r="CE95" s="44"/>
      <c r="CF95" s="44"/>
      <c r="CG95" s="44"/>
      <c r="CH95" s="44"/>
      <c r="CI95" s="44"/>
      <c r="CJ95" s="44"/>
      <c r="CK95" s="44"/>
      <c r="CL95" s="44"/>
      <c r="CM95" s="44"/>
      <c r="CN95" s="44"/>
      <c r="CO95" s="45">
        <f t="shared" si="181"/>
        <v>33.333333333333329</v>
      </c>
      <c r="CP95" s="45">
        <f t="shared" si="182"/>
        <v>0</v>
      </c>
      <c r="CQ95" s="45">
        <f t="shared" si="183"/>
        <v>0</v>
      </c>
      <c r="CR95" s="45">
        <f t="shared" si="184"/>
        <v>0</v>
      </c>
      <c r="CS95" s="45">
        <f t="shared" si="185"/>
        <v>0</v>
      </c>
      <c r="CT95" s="45">
        <f t="shared" si="186"/>
        <v>0</v>
      </c>
      <c r="CU95" s="45">
        <f t="shared" si="187"/>
        <v>0</v>
      </c>
      <c r="CV95" s="45">
        <f t="shared" si="188"/>
        <v>0</v>
      </c>
      <c r="CW95" s="45">
        <f t="shared" si="189"/>
        <v>0</v>
      </c>
      <c r="CX95" s="45">
        <f t="shared" si="190"/>
        <v>0</v>
      </c>
      <c r="CY95" s="45">
        <f t="shared" si="218"/>
        <v>0</v>
      </c>
      <c r="CZ95" s="45"/>
      <c r="DA95" s="45" t="str">
        <f t="shared" si="191"/>
        <v>DONE</v>
      </c>
      <c r="DB95" s="45" t="str">
        <f t="shared" si="192"/>
        <v>BS</v>
      </c>
      <c r="DC95" s="45" t="str">
        <f t="shared" si="193"/>
        <v>BS</v>
      </c>
      <c r="DD95" s="45" t="str">
        <f t="shared" si="194"/>
        <v>BS</v>
      </c>
      <c r="DE95" s="45" t="str">
        <f t="shared" si="195"/>
        <v>BS</v>
      </c>
      <c r="DF95" s="45" t="str">
        <f t="shared" si="196"/>
        <v>BS</v>
      </c>
      <c r="DG95" s="45" t="str">
        <f t="shared" si="197"/>
        <v>BS</v>
      </c>
      <c r="DH95" s="45" t="str">
        <f t="shared" si="198"/>
        <v>BS</v>
      </c>
      <c r="DI95" s="45" t="str">
        <f t="shared" si="199"/>
        <v>BS</v>
      </c>
      <c r="DJ95" s="45" t="str">
        <f t="shared" si="200"/>
        <v>BS</v>
      </c>
      <c r="DK95" s="45" t="str">
        <f t="shared" si="219"/>
        <v>BS</v>
      </c>
      <c r="DL95" s="45" t="str">
        <f t="shared" si="201"/>
        <v>BS</v>
      </c>
      <c r="DM95" s="45">
        <f t="shared" si="202"/>
        <v>0.99999999999999989</v>
      </c>
      <c r="DN95" s="45">
        <f t="shared" si="203"/>
        <v>0</v>
      </c>
      <c r="DO95" s="45">
        <f t="shared" si="204"/>
        <v>0</v>
      </c>
      <c r="DP95" s="45">
        <f t="shared" si="205"/>
        <v>0</v>
      </c>
      <c r="DQ95" s="45">
        <f t="shared" si="206"/>
        <v>0</v>
      </c>
      <c r="DR95" s="45">
        <f t="shared" si="207"/>
        <v>0</v>
      </c>
      <c r="DS95" s="45">
        <f t="shared" si="208"/>
        <v>0</v>
      </c>
      <c r="DT95" s="45">
        <f t="shared" si="209"/>
        <v>0</v>
      </c>
      <c r="DU95" s="45">
        <f t="shared" si="210"/>
        <v>0</v>
      </c>
      <c r="DV95" s="45">
        <f t="shared" si="211"/>
        <v>0</v>
      </c>
      <c r="DW95" s="45">
        <f t="shared" si="212"/>
        <v>0</v>
      </c>
      <c r="DX95" s="45">
        <f t="shared" si="213"/>
        <v>0</v>
      </c>
      <c r="DY95" s="576">
        <v>1</v>
      </c>
      <c r="DZ95" s="576">
        <v>1</v>
      </c>
      <c r="EA95" s="175">
        <v>1</v>
      </c>
      <c r="EB95" s="577">
        <v>1</v>
      </c>
      <c r="EC95" s="576">
        <v>1</v>
      </c>
      <c r="ED95" s="576">
        <v>1</v>
      </c>
      <c r="EE95" s="576">
        <v>1</v>
      </c>
      <c r="EF95" s="576">
        <v>1</v>
      </c>
      <c r="EG95" s="578">
        <v>1</v>
      </c>
      <c r="EH95" s="564" t="s">
        <v>1490</v>
      </c>
      <c r="EI95" s="230"/>
      <c r="EJ95" s="59">
        <f t="shared" si="214"/>
        <v>46022</v>
      </c>
      <c r="EK95" s="266"/>
      <c r="EL95" s="344"/>
      <c r="EM95" s="344"/>
      <c r="EN95" s="285"/>
      <c r="EO95" s="285"/>
      <c r="EP95" s="346"/>
      <c r="EQ95" s="285"/>
      <c r="ER95" s="346"/>
      <c r="ES95" s="346"/>
      <c r="ET95" s="285"/>
      <c r="EU95" s="285"/>
      <c r="EV95" s="346"/>
      <c r="EW95" s="346"/>
      <c r="EX95" s="346"/>
      <c r="EY95" s="346"/>
      <c r="EZ95" s="346"/>
      <c r="FA95" s="346"/>
      <c r="FB95" s="346"/>
      <c r="FC95" s="285"/>
      <c r="FD95" s="346"/>
      <c r="FE95" s="346"/>
      <c r="FF95" s="285"/>
      <c r="FG95" s="285"/>
      <c r="FH95" s="346"/>
      <c r="FI95" s="346"/>
      <c r="FJ95" s="346"/>
      <c r="FK95" s="346"/>
      <c r="FL95" s="347"/>
      <c r="FM95" s="172" t="s">
        <v>716</v>
      </c>
      <c r="FN95" s="172" t="s">
        <v>299</v>
      </c>
      <c r="FO95" s="224" t="s">
        <v>300</v>
      </c>
      <c r="FP95" s="172" t="s">
        <v>730</v>
      </c>
      <c r="FQ95" s="172" t="s">
        <v>301</v>
      </c>
      <c r="FR95" s="289" t="s">
        <v>549</v>
      </c>
      <c r="FS95" s="267" t="s">
        <v>345</v>
      </c>
      <c r="FT95" s="354" t="s">
        <v>722</v>
      </c>
      <c r="FU95" s="258">
        <v>5</v>
      </c>
    </row>
    <row r="96" spans="1:177" s="16" customFormat="1" ht="144">
      <c r="A96" s="63" t="s">
        <v>731</v>
      </c>
      <c r="B96" s="48" t="s">
        <v>337</v>
      </c>
      <c r="C96" s="64" t="s">
        <v>206</v>
      </c>
      <c r="D96" s="225" t="s">
        <v>207</v>
      </c>
      <c r="E96" s="48" t="s">
        <v>713</v>
      </c>
      <c r="F96" s="227">
        <f t="shared" si="282"/>
        <v>6</v>
      </c>
      <c r="G96" s="65" t="s">
        <v>310</v>
      </c>
      <c r="H96" s="222" t="s">
        <v>310</v>
      </c>
      <c r="I96" s="65" t="s">
        <v>732</v>
      </c>
      <c r="J96" s="48">
        <v>2025</v>
      </c>
      <c r="K96" s="48">
        <v>2026</v>
      </c>
      <c r="L96" s="48" t="s">
        <v>288</v>
      </c>
      <c r="M96" s="48" t="s">
        <v>173</v>
      </c>
      <c r="N96" s="48" t="s">
        <v>174</v>
      </c>
      <c r="O96" s="63" t="s">
        <v>729</v>
      </c>
      <c r="P96" s="63" t="s">
        <v>458</v>
      </c>
      <c r="Q96" s="63" t="s">
        <v>297</v>
      </c>
      <c r="R96" s="63" t="s">
        <v>310</v>
      </c>
      <c r="S96" s="63" t="str">
        <f t="shared" si="153"/>
        <v>Selesai Pengadaan</v>
      </c>
      <c r="T96" s="63" t="str">
        <f t="shared" si="145"/>
        <v>On Progress</v>
      </c>
      <c r="U96" s="63" t="str">
        <f t="shared" si="154"/>
        <v>Pahman Hasibuan</v>
      </c>
      <c r="V96" s="67">
        <f t="shared" si="155"/>
        <v>0.3</v>
      </c>
      <c r="W96" s="66" t="s">
        <v>448</v>
      </c>
      <c r="X96" s="59">
        <f t="shared" si="156"/>
        <v>46295</v>
      </c>
      <c r="Y96" s="68">
        <v>0</v>
      </c>
      <c r="Z96" s="48"/>
      <c r="AA96" s="62">
        <v>45658</v>
      </c>
      <c r="AB96" s="42">
        <v>45884</v>
      </c>
      <c r="AC96" s="42">
        <v>45870</v>
      </c>
      <c r="AD96" s="42">
        <v>45884</v>
      </c>
      <c r="AE96" s="42">
        <v>45885</v>
      </c>
      <c r="AF96" s="245">
        <v>45900</v>
      </c>
      <c r="AG96" s="274"/>
      <c r="AH96" s="274"/>
      <c r="AI96" s="42">
        <v>46023</v>
      </c>
      <c r="AJ96" s="42">
        <v>46081</v>
      </c>
      <c r="AK96" s="42">
        <v>46082</v>
      </c>
      <c r="AL96" s="42">
        <v>46173</v>
      </c>
      <c r="AM96" s="42">
        <v>46174</v>
      </c>
      <c r="AN96" s="42">
        <v>46218</v>
      </c>
      <c r="AO96" s="42">
        <v>46219</v>
      </c>
      <c r="AP96" s="42">
        <v>46280</v>
      </c>
      <c r="AQ96" s="42">
        <v>46281</v>
      </c>
      <c r="AR96" s="42">
        <v>46295</v>
      </c>
      <c r="AS96" s="63" t="str">
        <f t="shared" si="221"/>
        <v>Proses Desain</v>
      </c>
      <c r="AT96" s="63" t="str">
        <f t="shared" si="222"/>
        <v>Selesai Desain</v>
      </c>
      <c r="AU96" s="63" t="str">
        <f t="shared" si="223"/>
        <v>Proses Pengembangan</v>
      </c>
      <c r="AV96" s="63" t="str">
        <f t="shared" si="224"/>
        <v>Proses Pengembangan</v>
      </c>
      <c r="AW96" s="63" t="str">
        <f t="shared" si="225"/>
        <v>Selesai Pengembangan</v>
      </c>
      <c r="AX96" s="63" t="str">
        <f t="shared" si="226"/>
        <v>Proses SIT</v>
      </c>
      <c r="AY96" s="63" t="str">
        <f t="shared" si="227"/>
        <v>Proses SIT</v>
      </c>
      <c r="AZ96" s="63" t="str">
        <f t="shared" si="228"/>
        <v>Proses UAT</v>
      </c>
      <c r="BA96" s="63" t="str">
        <f t="shared" si="229"/>
        <v>Selesai Implementasi</v>
      </c>
      <c r="BB96" s="63" t="str">
        <f t="shared" si="220"/>
        <v>Selesai Implementasi</v>
      </c>
      <c r="BC96" s="63" t="str">
        <f t="shared" si="217"/>
        <v>Selesai Implementasi</v>
      </c>
      <c r="BD96" s="63" t="str">
        <f t="shared" si="167"/>
        <v>Selesai Implementasi</v>
      </c>
      <c r="BE96" s="351">
        <v>0.37</v>
      </c>
      <c r="BF96" s="43">
        <v>0.45</v>
      </c>
      <c r="BG96" s="351">
        <v>0.56999999999999995</v>
      </c>
      <c r="BH96" s="351">
        <v>0.69</v>
      </c>
      <c r="BI96" s="351">
        <v>0.8</v>
      </c>
      <c r="BJ96" s="351">
        <v>0.85</v>
      </c>
      <c r="BK96" s="351">
        <v>0.87</v>
      </c>
      <c r="BL96" s="351">
        <v>0.9</v>
      </c>
      <c r="BM96" s="351">
        <v>1</v>
      </c>
      <c r="BN96" s="351">
        <v>1</v>
      </c>
      <c r="BO96" s="351">
        <v>1</v>
      </c>
      <c r="BP96" s="351">
        <v>1</v>
      </c>
      <c r="BQ96" s="63" t="str">
        <f t="shared" si="168"/>
        <v>Selesai Pengadaan</v>
      </c>
      <c r="BR96" s="63" t="str">
        <f t="shared" si="169"/>
        <v>Not Started</v>
      </c>
      <c r="BS96" s="63" t="str">
        <f t="shared" si="170"/>
        <v>Not Started</v>
      </c>
      <c r="BT96" s="63" t="str">
        <f t="shared" si="171"/>
        <v>Not Started</v>
      </c>
      <c r="BU96" s="63" t="str">
        <f t="shared" si="172"/>
        <v>Not Started</v>
      </c>
      <c r="BV96" s="63" t="str">
        <f t="shared" si="173"/>
        <v>Not Started</v>
      </c>
      <c r="BW96" s="63" t="str">
        <f t="shared" si="174"/>
        <v>Not Started</v>
      </c>
      <c r="BX96" s="63" t="str">
        <f t="shared" si="175"/>
        <v>Not Started</v>
      </c>
      <c r="BY96" s="63" t="str">
        <f t="shared" si="176"/>
        <v>Not Started</v>
      </c>
      <c r="BZ96" s="63" t="str">
        <f t="shared" si="177"/>
        <v>Not Started</v>
      </c>
      <c r="CA96" s="63" t="str">
        <f t="shared" si="178"/>
        <v>Not Started</v>
      </c>
      <c r="CB96" s="63" t="str">
        <f t="shared" si="179"/>
        <v>Not Started</v>
      </c>
      <c r="CC96" s="44">
        <f t="shared" si="216"/>
        <v>0.3</v>
      </c>
      <c r="CD96" s="44"/>
      <c r="CE96" s="44"/>
      <c r="CF96" s="44"/>
      <c r="CG96" s="44"/>
      <c r="CH96" s="44"/>
      <c r="CI96" s="44"/>
      <c r="CJ96" s="44"/>
      <c r="CK96" s="44"/>
      <c r="CL96" s="44"/>
      <c r="CM96" s="44"/>
      <c r="CN96" s="44"/>
      <c r="CO96" s="45">
        <f t="shared" si="181"/>
        <v>0.81081081081081074</v>
      </c>
      <c r="CP96" s="45">
        <f t="shared" si="182"/>
        <v>0</v>
      </c>
      <c r="CQ96" s="45">
        <f t="shared" si="183"/>
        <v>0</v>
      </c>
      <c r="CR96" s="45">
        <f t="shared" si="184"/>
        <v>0</v>
      </c>
      <c r="CS96" s="45">
        <f t="shared" si="185"/>
        <v>0</v>
      </c>
      <c r="CT96" s="45">
        <f t="shared" si="186"/>
        <v>0</v>
      </c>
      <c r="CU96" s="45">
        <f t="shared" si="187"/>
        <v>0</v>
      </c>
      <c r="CV96" s="45">
        <f t="shared" si="188"/>
        <v>0</v>
      </c>
      <c r="CW96" s="45">
        <f t="shared" si="189"/>
        <v>0</v>
      </c>
      <c r="CX96" s="45">
        <f t="shared" si="190"/>
        <v>0</v>
      </c>
      <c r="CY96" s="45">
        <f t="shared" si="218"/>
        <v>0</v>
      </c>
      <c r="CZ96" s="45"/>
      <c r="DA96" s="45" t="str">
        <f t="shared" si="191"/>
        <v>AR</v>
      </c>
      <c r="DB96" s="45" t="str">
        <f t="shared" si="192"/>
        <v>BS</v>
      </c>
      <c r="DC96" s="45" t="str">
        <f t="shared" si="193"/>
        <v>BS</v>
      </c>
      <c r="DD96" s="45" t="str">
        <f t="shared" si="194"/>
        <v>BS</v>
      </c>
      <c r="DE96" s="45" t="str">
        <f t="shared" si="195"/>
        <v>BS</v>
      </c>
      <c r="DF96" s="45" t="str">
        <f t="shared" si="196"/>
        <v>BS</v>
      </c>
      <c r="DG96" s="45" t="str">
        <f t="shared" si="197"/>
        <v>BS</v>
      </c>
      <c r="DH96" s="45" t="str">
        <f t="shared" si="198"/>
        <v>BS</v>
      </c>
      <c r="DI96" s="45" t="str">
        <f t="shared" si="199"/>
        <v>BS</v>
      </c>
      <c r="DJ96" s="45" t="str">
        <f t="shared" si="200"/>
        <v>BS</v>
      </c>
      <c r="DK96" s="45" t="str">
        <f t="shared" si="219"/>
        <v>BS</v>
      </c>
      <c r="DL96" s="45" t="str">
        <f t="shared" si="201"/>
        <v>BS</v>
      </c>
      <c r="DM96" s="45">
        <f t="shared" si="202"/>
        <v>0.3</v>
      </c>
      <c r="DN96" s="45">
        <f t="shared" si="203"/>
        <v>0</v>
      </c>
      <c r="DO96" s="45">
        <f t="shared" si="204"/>
        <v>0</v>
      </c>
      <c r="DP96" s="45">
        <f t="shared" si="205"/>
        <v>0</v>
      </c>
      <c r="DQ96" s="45">
        <f t="shared" si="206"/>
        <v>0</v>
      </c>
      <c r="DR96" s="45">
        <f t="shared" si="207"/>
        <v>0</v>
      </c>
      <c r="DS96" s="45">
        <f t="shared" si="208"/>
        <v>0</v>
      </c>
      <c r="DT96" s="45">
        <f t="shared" si="209"/>
        <v>0</v>
      </c>
      <c r="DU96" s="45">
        <f t="shared" si="210"/>
        <v>0</v>
      </c>
      <c r="DV96" s="45">
        <f t="shared" si="211"/>
        <v>0</v>
      </c>
      <c r="DW96" s="45">
        <f t="shared" si="212"/>
        <v>0</v>
      </c>
      <c r="DX96" s="45">
        <f t="shared" si="213"/>
        <v>0</v>
      </c>
      <c r="DY96" s="576">
        <v>1</v>
      </c>
      <c r="DZ96" s="576">
        <v>1</v>
      </c>
      <c r="EA96" s="576">
        <v>1</v>
      </c>
      <c r="EB96" s="577">
        <v>1</v>
      </c>
      <c r="EC96" s="180">
        <v>0</v>
      </c>
      <c r="ED96" s="180">
        <v>0</v>
      </c>
      <c r="EE96" s="180">
        <v>0</v>
      </c>
      <c r="EF96" s="180">
        <v>0</v>
      </c>
      <c r="EG96" s="189">
        <v>0</v>
      </c>
      <c r="EH96" s="188" t="s">
        <v>1527</v>
      </c>
      <c r="EI96" s="230"/>
      <c r="EJ96" s="59">
        <f t="shared" si="214"/>
        <v>46295</v>
      </c>
      <c r="EK96" s="266"/>
      <c r="EL96" s="344"/>
      <c r="EM96" s="344"/>
      <c r="EN96" s="285"/>
      <c r="EO96" s="285"/>
      <c r="EP96" s="346"/>
      <c r="EQ96" s="285"/>
      <c r="ER96" s="346"/>
      <c r="ES96" s="346"/>
      <c r="ET96" s="285"/>
      <c r="EU96" s="285"/>
      <c r="EV96" s="346"/>
      <c r="EW96" s="346"/>
      <c r="EX96" s="346"/>
      <c r="EY96" s="346"/>
      <c r="EZ96" s="346"/>
      <c r="FA96" s="346"/>
      <c r="FB96" s="346"/>
      <c r="FC96" s="285"/>
      <c r="FD96" s="346"/>
      <c r="FE96" s="346"/>
      <c r="FF96" s="285"/>
      <c r="FG96" s="285"/>
      <c r="FH96" s="346"/>
      <c r="FI96" s="346"/>
      <c r="FJ96" s="346"/>
      <c r="FK96" s="346"/>
      <c r="FL96" s="347"/>
      <c r="FM96" s="172" t="s">
        <v>716</v>
      </c>
      <c r="FN96" s="172" t="s">
        <v>299</v>
      </c>
      <c r="FO96" s="224" t="s">
        <v>300</v>
      </c>
      <c r="FP96" s="172" t="s">
        <v>730</v>
      </c>
      <c r="FQ96" s="172" t="s">
        <v>301</v>
      </c>
      <c r="FR96" s="289" t="s">
        <v>549</v>
      </c>
      <c r="FS96" s="267" t="s">
        <v>345</v>
      </c>
      <c r="FT96" s="354" t="s">
        <v>722</v>
      </c>
      <c r="FU96" s="258">
        <v>5</v>
      </c>
    </row>
    <row r="97" spans="1:177" s="16" customFormat="1" ht="128">
      <c r="A97" s="63" t="s">
        <v>733</v>
      </c>
      <c r="B97" s="48" t="s">
        <v>337</v>
      </c>
      <c r="C97" s="64" t="s">
        <v>206</v>
      </c>
      <c r="D97" s="225" t="s">
        <v>207</v>
      </c>
      <c r="E97" s="48" t="s">
        <v>713</v>
      </c>
      <c r="F97" s="227">
        <f t="shared" si="282"/>
        <v>7</v>
      </c>
      <c r="G97" s="65" t="s">
        <v>310</v>
      </c>
      <c r="H97" s="222" t="s">
        <v>310</v>
      </c>
      <c r="I97" s="65" t="s">
        <v>734</v>
      </c>
      <c r="J97" s="48">
        <v>2025</v>
      </c>
      <c r="K97" s="48">
        <v>2027</v>
      </c>
      <c r="L97" s="48" t="s">
        <v>288</v>
      </c>
      <c r="M97" s="48" t="s">
        <v>173</v>
      </c>
      <c r="N97" s="48" t="s">
        <v>174</v>
      </c>
      <c r="O97" s="63" t="s">
        <v>729</v>
      </c>
      <c r="P97" s="63" t="s">
        <v>458</v>
      </c>
      <c r="Q97" s="63" t="s">
        <v>297</v>
      </c>
      <c r="R97" s="63" t="s">
        <v>310</v>
      </c>
      <c r="S97" s="63" t="str">
        <f t="shared" si="153"/>
        <v>Selesai Pengadaan</v>
      </c>
      <c r="T97" s="63" t="str">
        <f t="shared" si="145"/>
        <v>On Progress</v>
      </c>
      <c r="U97" s="63" t="str">
        <f t="shared" si="154"/>
        <v>Pahman Hasibuan</v>
      </c>
      <c r="V97" s="67">
        <f t="shared" si="155"/>
        <v>0.3</v>
      </c>
      <c r="W97" s="66" t="s">
        <v>448</v>
      </c>
      <c r="X97" s="59">
        <f t="shared" si="156"/>
        <v>46477</v>
      </c>
      <c r="Y97" s="68">
        <v>0</v>
      </c>
      <c r="Z97" s="48"/>
      <c r="AA97" s="62">
        <v>45658</v>
      </c>
      <c r="AB97" s="42">
        <v>45884</v>
      </c>
      <c r="AC97" s="42">
        <v>45870</v>
      </c>
      <c r="AD97" s="42">
        <v>45884</v>
      </c>
      <c r="AE97" s="356"/>
      <c r="AF97" s="356"/>
      <c r="AG97" s="62"/>
      <c r="AH97" s="42"/>
      <c r="AI97" s="42">
        <v>46296</v>
      </c>
      <c r="AJ97" s="42">
        <v>46310</v>
      </c>
      <c r="AK97" s="42">
        <v>46311</v>
      </c>
      <c r="AL97" s="42">
        <v>46387</v>
      </c>
      <c r="AM97" s="42">
        <v>46388</v>
      </c>
      <c r="AN97" s="42">
        <v>46418</v>
      </c>
      <c r="AO97" s="42">
        <v>46419</v>
      </c>
      <c r="AP97" s="42">
        <v>46446</v>
      </c>
      <c r="AQ97" s="42">
        <v>46447</v>
      </c>
      <c r="AR97" s="42">
        <v>46477</v>
      </c>
      <c r="AS97" s="63" t="str">
        <f t="shared" si="221"/>
        <v>Selesai Pengadaan</v>
      </c>
      <c r="AT97" s="63" t="str">
        <f t="shared" si="222"/>
        <v>Selesai Pengadaan</v>
      </c>
      <c r="AU97" s="63" t="str">
        <f t="shared" si="223"/>
        <v>Selesai Pengadaan</v>
      </c>
      <c r="AV97" s="63" t="str">
        <f t="shared" si="224"/>
        <v>Selesai Pengadaan</v>
      </c>
      <c r="AW97" s="63" t="str">
        <f t="shared" si="225"/>
        <v>Selesai Pengadaan</v>
      </c>
      <c r="AX97" s="63" t="str">
        <f t="shared" si="226"/>
        <v>Selesai Pengadaan</v>
      </c>
      <c r="AY97" s="63" t="str">
        <f t="shared" si="227"/>
        <v>Selesai Pengadaan</v>
      </c>
      <c r="AZ97" s="63" t="str">
        <f t="shared" si="228"/>
        <v>Selesai Pengadaan</v>
      </c>
      <c r="BA97" s="63" t="str">
        <f t="shared" si="229"/>
        <v>Selesai Pengadaan</v>
      </c>
      <c r="BB97" s="63" t="str">
        <f t="shared" si="220"/>
        <v>Proses Pengembangan</v>
      </c>
      <c r="BC97" s="63" t="str">
        <f t="shared" si="217"/>
        <v>Proses Pengembangan</v>
      </c>
      <c r="BD97" s="63" t="str">
        <f t="shared" si="167"/>
        <v>Selesai Pengembangan</v>
      </c>
      <c r="BE97" s="351">
        <v>0.3</v>
      </c>
      <c r="BF97" s="351">
        <v>0.3</v>
      </c>
      <c r="BG97" s="351">
        <v>0.3</v>
      </c>
      <c r="BH97" s="351">
        <v>0.3</v>
      </c>
      <c r="BI97" s="351">
        <v>0.3</v>
      </c>
      <c r="BJ97" s="351">
        <v>0.3</v>
      </c>
      <c r="BK97" s="351">
        <v>0.3</v>
      </c>
      <c r="BL97" s="351">
        <v>0.3</v>
      </c>
      <c r="BM97" s="351">
        <v>0.3</v>
      </c>
      <c r="BN97" s="351">
        <v>0.5</v>
      </c>
      <c r="BO97" s="351">
        <v>0.6</v>
      </c>
      <c r="BP97" s="351">
        <v>0.8</v>
      </c>
      <c r="BQ97" s="63" t="str">
        <f t="shared" si="168"/>
        <v>Selesai Pengadaan</v>
      </c>
      <c r="BR97" s="63" t="str">
        <f t="shared" si="169"/>
        <v>Not Started</v>
      </c>
      <c r="BS97" s="63" t="str">
        <f t="shared" si="170"/>
        <v>Not Started</v>
      </c>
      <c r="BT97" s="63" t="str">
        <f t="shared" si="171"/>
        <v>Not Started</v>
      </c>
      <c r="BU97" s="63" t="str">
        <f t="shared" si="172"/>
        <v>Not Started</v>
      </c>
      <c r="BV97" s="63" t="str">
        <f t="shared" si="173"/>
        <v>Not Started</v>
      </c>
      <c r="BW97" s="63" t="str">
        <f t="shared" si="174"/>
        <v>Not Started</v>
      </c>
      <c r="BX97" s="63" t="str">
        <f t="shared" si="175"/>
        <v>Not Started</v>
      </c>
      <c r="BY97" s="63" t="str">
        <f t="shared" si="176"/>
        <v>Not Started</v>
      </c>
      <c r="BZ97" s="63" t="str">
        <f t="shared" si="177"/>
        <v>Not Started</v>
      </c>
      <c r="CA97" s="63" t="str">
        <f t="shared" si="178"/>
        <v>Not Started</v>
      </c>
      <c r="CB97" s="63" t="str">
        <f t="shared" si="179"/>
        <v>Not Started</v>
      </c>
      <c r="CC97" s="44">
        <f t="shared" si="216"/>
        <v>0.3</v>
      </c>
      <c r="CD97" s="44"/>
      <c r="CE97" s="44"/>
      <c r="CF97" s="44"/>
      <c r="CG97" s="44"/>
      <c r="CH97" s="44"/>
      <c r="CI97" s="44"/>
      <c r="CJ97" s="44"/>
      <c r="CK97" s="44"/>
      <c r="CL97" s="44"/>
      <c r="CM97" s="44"/>
      <c r="CN97" s="44"/>
      <c r="CO97" s="45">
        <f t="shared" si="181"/>
        <v>1</v>
      </c>
      <c r="CP97" s="45">
        <f t="shared" si="182"/>
        <v>0</v>
      </c>
      <c r="CQ97" s="45">
        <f t="shared" si="183"/>
        <v>0</v>
      </c>
      <c r="CR97" s="45">
        <f t="shared" si="184"/>
        <v>0</v>
      </c>
      <c r="CS97" s="45">
        <f t="shared" si="185"/>
        <v>0</v>
      </c>
      <c r="CT97" s="45">
        <f t="shared" si="186"/>
        <v>0</v>
      </c>
      <c r="CU97" s="45">
        <f t="shared" si="187"/>
        <v>0</v>
      </c>
      <c r="CV97" s="45">
        <f t="shared" si="188"/>
        <v>0</v>
      </c>
      <c r="CW97" s="45">
        <f t="shared" si="189"/>
        <v>0</v>
      </c>
      <c r="CX97" s="45">
        <f t="shared" si="190"/>
        <v>0</v>
      </c>
      <c r="CY97" s="45">
        <f t="shared" si="218"/>
        <v>0</v>
      </c>
      <c r="CZ97" s="45"/>
      <c r="DA97" s="45" t="str">
        <f t="shared" si="191"/>
        <v>OS</v>
      </c>
      <c r="DB97" s="45" t="str">
        <f t="shared" si="192"/>
        <v>BS</v>
      </c>
      <c r="DC97" s="45" t="str">
        <f t="shared" si="193"/>
        <v>BS</v>
      </c>
      <c r="DD97" s="45" t="str">
        <f t="shared" si="194"/>
        <v>BS</v>
      </c>
      <c r="DE97" s="45" t="str">
        <f t="shared" si="195"/>
        <v>BS</v>
      </c>
      <c r="DF97" s="45" t="str">
        <f t="shared" si="196"/>
        <v>BS</v>
      </c>
      <c r="DG97" s="45" t="str">
        <f t="shared" si="197"/>
        <v>BS</v>
      </c>
      <c r="DH97" s="45" t="str">
        <f t="shared" si="198"/>
        <v>BS</v>
      </c>
      <c r="DI97" s="45" t="str">
        <f t="shared" si="199"/>
        <v>BS</v>
      </c>
      <c r="DJ97" s="45" t="str">
        <f t="shared" si="200"/>
        <v>BS</v>
      </c>
      <c r="DK97" s="45" t="str">
        <f t="shared" si="219"/>
        <v>BS</v>
      </c>
      <c r="DL97" s="45" t="str">
        <f t="shared" si="201"/>
        <v>BS</v>
      </c>
      <c r="DM97" s="45">
        <f t="shared" si="202"/>
        <v>0.37499999999999994</v>
      </c>
      <c r="DN97" s="45">
        <f t="shared" si="203"/>
        <v>0</v>
      </c>
      <c r="DO97" s="45">
        <f t="shared" si="204"/>
        <v>0</v>
      </c>
      <c r="DP97" s="45">
        <f t="shared" si="205"/>
        <v>0</v>
      </c>
      <c r="DQ97" s="45">
        <f t="shared" si="206"/>
        <v>0</v>
      </c>
      <c r="DR97" s="45">
        <f t="shared" si="207"/>
        <v>0</v>
      </c>
      <c r="DS97" s="45">
        <f t="shared" si="208"/>
        <v>0</v>
      </c>
      <c r="DT97" s="45">
        <f t="shared" si="209"/>
        <v>0</v>
      </c>
      <c r="DU97" s="45">
        <f t="shared" si="210"/>
        <v>0</v>
      </c>
      <c r="DV97" s="45">
        <f t="shared" si="211"/>
        <v>0</v>
      </c>
      <c r="DW97" s="45">
        <f t="shared" si="212"/>
        <v>0</v>
      </c>
      <c r="DX97" s="45">
        <f t="shared" si="213"/>
        <v>0</v>
      </c>
      <c r="DY97" s="576">
        <v>1</v>
      </c>
      <c r="DZ97" s="607">
        <v>1</v>
      </c>
      <c r="EA97" s="175">
        <v>1</v>
      </c>
      <c r="EB97" s="577">
        <v>1</v>
      </c>
      <c r="EC97" s="183">
        <v>0</v>
      </c>
      <c r="ED97" s="183">
        <v>0</v>
      </c>
      <c r="EE97" s="183">
        <v>0</v>
      </c>
      <c r="EF97" s="183">
        <v>0</v>
      </c>
      <c r="EG97" s="190">
        <v>0</v>
      </c>
      <c r="EH97" s="188" t="s">
        <v>1512</v>
      </c>
      <c r="EI97" s="59"/>
      <c r="EJ97" s="59">
        <f t="shared" si="214"/>
        <v>46477</v>
      </c>
      <c r="EK97" s="357"/>
      <c r="EL97" s="358"/>
      <c r="EM97" s="358"/>
      <c r="EN97" s="253"/>
      <c r="EO97" s="253"/>
      <c r="EP97" s="359"/>
      <c r="EQ97" s="285"/>
      <c r="ER97" s="346"/>
      <c r="ES97" s="346"/>
      <c r="ET97" s="285"/>
      <c r="EU97" s="285"/>
      <c r="EV97" s="346"/>
      <c r="EW97" s="346"/>
      <c r="EX97" s="346"/>
      <c r="EY97" s="346"/>
      <c r="EZ97" s="347"/>
      <c r="FA97" s="360"/>
      <c r="FB97" s="359"/>
      <c r="FC97" s="285"/>
      <c r="FD97" s="346"/>
      <c r="FE97" s="346"/>
      <c r="FF97" s="285"/>
      <c r="FG97" s="285"/>
      <c r="FH97" s="346"/>
      <c r="FI97" s="346"/>
      <c r="FJ97" s="346"/>
      <c r="FK97" s="346"/>
      <c r="FL97" s="347"/>
      <c r="FM97" s="172" t="s">
        <v>716</v>
      </c>
      <c r="FN97" s="172" t="s">
        <v>299</v>
      </c>
      <c r="FO97" s="224" t="s">
        <v>300</v>
      </c>
      <c r="FP97" s="172" t="s">
        <v>730</v>
      </c>
      <c r="FQ97" s="172" t="s">
        <v>301</v>
      </c>
      <c r="FR97" s="289" t="s">
        <v>549</v>
      </c>
      <c r="FS97" s="267" t="s">
        <v>345</v>
      </c>
      <c r="FT97" s="354" t="s">
        <v>722</v>
      </c>
      <c r="FU97" s="258">
        <v>5</v>
      </c>
    </row>
    <row r="98" spans="1:177" s="16" customFormat="1" ht="288">
      <c r="A98" s="63" t="s">
        <v>735</v>
      </c>
      <c r="B98" s="48" t="s">
        <v>468</v>
      </c>
      <c r="C98" s="64" t="s">
        <v>206</v>
      </c>
      <c r="D98" s="225" t="s">
        <v>179</v>
      </c>
      <c r="E98" s="226" t="s">
        <v>713</v>
      </c>
      <c r="F98" s="227">
        <f t="shared" si="282"/>
        <v>8</v>
      </c>
      <c r="G98" s="222" t="s">
        <v>310</v>
      </c>
      <c r="H98" s="222" t="s">
        <v>310</v>
      </c>
      <c r="I98" s="612" t="s">
        <v>736</v>
      </c>
      <c r="J98" s="48">
        <v>2024</v>
      </c>
      <c r="K98" s="48">
        <v>2025</v>
      </c>
      <c r="L98" s="48" t="s">
        <v>288</v>
      </c>
      <c r="M98" s="48" t="s">
        <v>173</v>
      </c>
      <c r="N98" s="48" t="s">
        <v>174</v>
      </c>
      <c r="O98" s="48" t="s">
        <v>737</v>
      </c>
      <c r="P98" s="63" t="s">
        <v>458</v>
      </c>
      <c r="Q98" s="48" t="s">
        <v>297</v>
      </c>
      <c r="R98" s="63" t="s">
        <v>310</v>
      </c>
      <c r="S98" s="63" t="str">
        <f t="shared" si="153"/>
        <v>Selesai Implementasi</v>
      </c>
      <c r="T98" s="63" t="str">
        <f t="shared" si="145"/>
        <v>DONE</v>
      </c>
      <c r="U98" s="63" t="str">
        <f t="shared" si="154"/>
        <v>Pahman Hasibuan</v>
      </c>
      <c r="V98" s="67">
        <f t="shared" si="155"/>
        <v>0.99999999999999989</v>
      </c>
      <c r="W98" s="66" t="s">
        <v>380</v>
      </c>
      <c r="X98" s="59">
        <f t="shared" si="156"/>
        <v>45807</v>
      </c>
      <c r="Y98" s="68">
        <v>1</v>
      </c>
      <c r="Z98" s="48"/>
      <c r="AA98" s="62">
        <v>45627</v>
      </c>
      <c r="AB98" s="42" t="s">
        <v>560</v>
      </c>
      <c r="AC98" s="42">
        <v>45627</v>
      </c>
      <c r="AD98" s="42">
        <v>45723</v>
      </c>
      <c r="AE98" s="291"/>
      <c r="AF98" s="291"/>
      <c r="AG98" s="42">
        <v>45597</v>
      </c>
      <c r="AH98" s="42">
        <v>45626</v>
      </c>
      <c r="AI98" s="42">
        <v>45642</v>
      </c>
      <c r="AJ98" s="245">
        <v>45723</v>
      </c>
      <c r="AK98" s="42">
        <v>45649</v>
      </c>
      <c r="AL98" s="355">
        <v>45772</v>
      </c>
      <c r="AM98" s="355">
        <v>45726</v>
      </c>
      <c r="AN98" s="361">
        <v>45784</v>
      </c>
      <c r="AO98" s="361">
        <v>45712</v>
      </c>
      <c r="AP98" s="361">
        <v>45792</v>
      </c>
      <c r="AQ98" s="361">
        <v>45695</v>
      </c>
      <c r="AR98" s="361">
        <v>45807</v>
      </c>
      <c r="AS98" s="63" t="str">
        <f t="shared" si="221"/>
        <v>Selesai Implementasi</v>
      </c>
      <c r="AT98" s="63" t="str">
        <f t="shared" si="222"/>
        <v>Selesai Implementasi</v>
      </c>
      <c r="AU98" s="63" t="str">
        <f t="shared" si="223"/>
        <v>Selesai Implementasi</v>
      </c>
      <c r="AV98" s="63" t="str">
        <f t="shared" si="224"/>
        <v>Selesai Implementasi</v>
      </c>
      <c r="AW98" s="63" t="str">
        <f t="shared" si="225"/>
        <v>Selesai Implementasi</v>
      </c>
      <c r="AX98" s="63" t="str">
        <f t="shared" si="226"/>
        <v>Selesai Implementasi</v>
      </c>
      <c r="AY98" s="63" t="str">
        <f t="shared" si="227"/>
        <v>Selesai Implementasi</v>
      </c>
      <c r="AZ98" s="63" t="str">
        <f t="shared" si="228"/>
        <v>Selesai Implementasi</v>
      </c>
      <c r="BA98" s="63" t="str">
        <f t="shared" si="229"/>
        <v>Selesai Implementasi</v>
      </c>
      <c r="BB98" s="63" t="str">
        <f t="shared" si="220"/>
        <v>Selesai Implementasi</v>
      </c>
      <c r="BC98" s="63" t="str">
        <f t="shared" si="217"/>
        <v>Selesai Implementasi</v>
      </c>
      <c r="BD98" s="63" t="str">
        <f t="shared" si="167"/>
        <v>Selesai Implementasi</v>
      </c>
      <c r="BE98" s="351">
        <v>1</v>
      </c>
      <c r="BF98" s="351">
        <v>1</v>
      </c>
      <c r="BG98" s="351">
        <v>1</v>
      </c>
      <c r="BH98" s="351">
        <v>1</v>
      </c>
      <c r="BI98" s="351">
        <v>1</v>
      </c>
      <c r="BJ98" s="351">
        <v>1</v>
      </c>
      <c r="BK98" s="351">
        <v>1</v>
      </c>
      <c r="BL98" s="351">
        <v>1</v>
      </c>
      <c r="BM98" s="351">
        <v>1</v>
      </c>
      <c r="BN98" s="351">
        <v>1</v>
      </c>
      <c r="BO98" s="351">
        <v>1</v>
      </c>
      <c r="BP98" s="351">
        <v>1</v>
      </c>
      <c r="BQ98" s="63" t="str">
        <f t="shared" si="168"/>
        <v>Selesai Implementasi</v>
      </c>
      <c r="BR98" s="63" t="str">
        <f t="shared" si="169"/>
        <v>Not Started</v>
      </c>
      <c r="BS98" s="63" t="str">
        <f t="shared" si="170"/>
        <v>Not Started</v>
      </c>
      <c r="BT98" s="63" t="str">
        <f t="shared" si="171"/>
        <v>Not Started</v>
      </c>
      <c r="BU98" s="63" t="str">
        <f t="shared" si="172"/>
        <v>Not Started</v>
      </c>
      <c r="BV98" s="63" t="str">
        <f t="shared" si="173"/>
        <v>Not Started</v>
      </c>
      <c r="BW98" s="63" t="str">
        <f t="shared" si="174"/>
        <v>Not Started</v>
      </c>
      <c r="BX98" s="63" t="str">
        <f t="shared" si="175"/>
        <v>Not Started</v>
      </c>
      <c r="BY98" s="63" t="str">
        <f t="shared" si="176"/>
        <v>Not Started</v>
      </c>
      <c r="BZ98" s="63" t="str">
        <f t="shared" si="177"/>
        <v>Not Started</v>
      </c>
      <c r="CA98" s="63" t="str">
        <f t="shared" si="178"/>
        <v>Not Started</v>
      </c>
      <c r="CB98" s="63" t="str">
        <f t="shared" si="179"/>
        <v>Not Started</v>
      </c>
      <c r="CC98" s="44">
        <f t="shared" si="216"/>
        <v>0.99999999999999989</v>
      </c>
      <c r="CD98" s="44"/>
      <c r="CE98" s="44"/>
      <c r="CF98" s="44"/>
      <c r="CG98" s="44"/>
      <c r="CH98" s="44"/>
      <c r="CI98" s="44"/>
      <c r="CJ98" s="44"/>
      <c r="CK98" s="44"/>
      <c r="CL98" s="44"/>
      <c r="CM98" s="44"/>
      <c r="CN98" s="44"/>
      <c r="CO98" s="45">
        <f t="shared" si="181"/>
        <v>0.99999999999999989</v>
      </c>
      <c r="CP98" s="45">
        <f t="shared" si="182"/>
        <v>0</v>
      </c>
      <c r="CQ98" s="45">
        <f t="shared" si="183"/>
        <v>0</v>
      </c>
      <c r="CR98" s="45">
        <f t="shared" si="184"/>
        <v>0</v>
      </c>
      <c r="CS98" s="45">
        <f t="shared" si="185"/>
        <v>0</v>
      </c>
      <c r="CT98" s="45">
        <f t="shared" si="186"/>
        <v>0</v>
      </c>
      <c r="CU98" s="45">
        <f t="shared" si="187"/>
        <v>0</v>
      </c>
      <c r="CV98" s="45">
        <f t="shared" si="188"/>
        <v>0</v>
      </c>
      <c r="CW98" s="45">
        <f t="shared" si="189"/>
        <v>0</v>
      </c>
      <c r="CX98" s="45">
        <f t="shared" si="190"/>
        <v>0</v>
      </c>
      <c r="CY98" s="45">
        <f t="shared" si="218"/>
        <v>0</v>
      </c>
      <c r="CZ98" s="45"/>
      <c r="DA98" s="45" t="str">
        <f t="shared" si="191"/>
        <v>DONE</v>
      </c>
      <c r="DB98" s="45" t="str">
        <f t="shared" si="192"/>
        <v>BS</v>
      </c>
      <c r="DC98" s="45" t="str">
        <f t="shared" si="193"/>
        <v>BS</v>
      </c>
      <c r="DD98" s="45" t="str">
        <f t="shared" si="194"/>
        <v>BS</v>
      </c>
      <c r="DE98" s="45" t="str">
        <f t="shared" si="195"/>
        <v>BS</v>
      </c>
      <c r="DF98" s="45" t="str">
        <f t="shared" si="196"/>
        <v>BS</v>
      </c>
      <c r="DG98" s="45" t="str">
        <f t="shared" si="197"/>
        <v>BS</v>
      </c>
      <c r="DH98" s="45" t="str">
        <f t="shared" si="198"/>
        <v>BS</v>
      </c>
      <c r="DI98" s="45" t="str">
        <f t="shared" si="199"/>
        <v>BS</v>
      </c>
      <c r="DJ98" s="45" t="str">
        <f t="shared" si="200"/>
        <v>BS</v>
      </c>
      <c r="DK98" s="45" t="str">
        <f t="shared" si="219"/>
        <v>BS</v>
      </c>
      <c r="DL98" s="45" t="str">
        <f t="shared" si="201"/>
        <v>BS</v>
      </c>
      <c r="DM98" s="45">
        <f t="shared" si="202"/>
        <v>0.99999999999999989</v>
      </c>
      <c r="DN98" s="45">
        <f t="shared" si="203"/>
        <v>0</v>
      </c>
      <c r="DO98" s="45">
        <f t="shared" si="204"/>
        <v>0</v>
      </c>
      <c r="DP98" s="45">
        <f t="shared" si="205"/>
        <v>0</v>
      </c>
      <c r="DQ98" s="45">
        <f t="shared" si="206"/>
        <v>0</v>
      </c>
      <c r="DR98" s="45">
        <f t="shared" si="207"/>
        <v>0</v>
      </c>
      <c r="DS98" s="45">
        <f t="shared" si="208"/>
        <v>0</v>
      </c>
      <c r="DT98" s="45">
        <f t="shared" si="209"/>
        <v>0</v>
      </c>
      <c r="DU98" s="45">
        <f t="shared" si="210"/>
        <v>0</v>
      </c>
      <c r="DV98" s="45">
        <f t="shared" si="211"/>
        <v>0</v>
      </c>
      <c r="DW98" s="45">
        <f t="shared" si="212"/>
        <v>0</v>
      </c>
      <c r="DX98" s="45">
        <f t="shared" si="213"/>
        <v>0</v>
      </c>
      <c r="DY98" s="72">
        <v>1</v>
      </c>
      <c r="DZ98" s="72">
        <v>1</v>
      </c>
      <c r="EA98" s="575">
        <v>1</v>
      </c>
      <c r="EB98" s="46">
        <v>1</v>
      </c>
      <c r="EC98" s="72">
        <v>1</v>
      </c>
      <c r="ED98" s="72">
        <v>1</v>
      </c>
      <c r="EE98" s="72">
        <v>1</v>
      </c>
      <c r="EF98" s="72">
        <v>1</v>
      </c>
      <c r="EG98" s="72">
        <v>1</v>
      </c>
      <c r="EH98" s="565" t="s">
        <v>738</v>
      </c>
      <c r="EI98" s="352">
        <v>45793</v>
      </c>
      <c r="EJ98" s="59">
        <f t="shared" si="214"/>
        <v>45807</v>
      </c>
      <c r="EK98" s="266"/>
      <c r="EL98" s="344"/>
      <c r="EM98" s="344"/>
      <c r="EN98" s="285"/>
      <c r="EO98" s="285"/>
      <c r="EP98" s="346"/>
      <c r="EQ98" s="285"/>
      <c r="ER98" s="346"/>
      <c r="ES98" s="346"/>
      <c r="ET98" s="285"/>
      <c r="EU98" s="285"/>
      <c r="EV98" s="346"/>
      <c r="EW98" s="346"/>
      <c r="EX98" s="346"/>
      <c r="EY98" s="346"/>
      <c r="EZ98" s="346"/>
      <c r="FA98" s="346"/>
      <c r="FB98" s="346"/>
      <c r="FC98" s="285"/>
      <c r="FD98" s="346"/>
      <c r="FE98" s="346"/>
      <c r="FF98" s="285"/>
      <c r="FG98" s="285"/>
      <c r="FH98" s="346"/>
      <c r="FI98" s="346"/>
      <c r="FJ98" s="346"/>
      <c r="FK98" s="346"/>
      <c r="FL98" s="347"/>
      <c r="FM98" s="247"/>
      <c r="FN98" s="248" t="s">
        <v>299</v>
      </c>
      <c r="FO98" s="247"/>
      <c r="FP98" s="172"/>
      <c r="FQ98" s="172"/>
      <c r="FR98" s="289" t="s">
        <v>184</v>
      </c>
      <c r="FS98" s="267" t="s">
        <v>345</v>
      </c>
      <c r="FT98" s="354" t="s">
        <v>335</v>
      </c>
      <c r="FU98" s="258">
        <v>5</v>
      </c>
    </row>
    <row r="99" spans="1:177" s="16" customFormat="1" ht="48">
      <c r="A99" s="63" t="s">
        <v>739</v>
      </c>
      <c r="B99" s="48" t="s">
        <v>468</v>
      </c>
      <c r="C99" s="64" t="s">
        <v>206</v>
      </c>
      <c r="D99" s="225" t="s">
        <v>179</v>
      </c>
      <c r="E99" s="226" t="s">
        <v>713</v>
      </c>
      <c r="F99" s="227">
        <f t="shared" si="282"/>
        <v>9</v>
      </c>
      <c r="G99" s="222" t="s">
        <v>310</v>
      </c>
      <c r="H99" s="222" t="s">
        <v>310</v>
      </c>
      <c r="I99" s="612" t="s">
        <v>740</v>
      </c>
      <c r="J99" s="48">
        <v>2025</v>
      </c>
      <c r="K99" s="48">
        <v>2025</v>
      </c>
      <c r="L99" s="48" t="s">
        <v>288</v>
      </c>
      <c r="M99" s="48" t="s">
        <v>173</v>
      </c>
      <c r="N99" s="48" t="s">
        <v>174</v>
      </c>
      <c r="O99" s="48" t="s">
        <v>720</v>
      </c>
      <c r="P99" s="63" t="s">
        <v>458</v>
      </c>
      <c r="Q99" s="48" t="s">
        <v>297</v>
      </c>
      <c r="R99" s="63" t="s">
        <v>310</v>
      </c>
      <c r="S99" s="63" t="str">
        <f t="shared" si="153"/>
        <v>Selesai Implementasi</v>
      </c>
      <c r="T99" s="63" t="str">
        <f t="shared" si="145"/>
        <v>DONE</v>
      </c>
      <c r="U99" s="63" t="str">
        <f t="shared" si="154"/>
        <v>Pahman Hasibuan</v>
      </c>
      <c r="V99" s="67">
        <f t="shared" si="155"/>
        <v>0.99999999999999989</v>
      </c>
      <c r="W99" s="42" t="s">
        <v>215</v>
      </c>
      <c r="X99" s="59">
        <f t="shared" si="156"/>
        <v>45743</v>
      </c>
      <c r="Y99" s="68">
        <v>0</v>
      </c>
      <c r="Z99" s="48"/>
      <c r="AA99" s="62">
        <v>45658</v>
      </c>
      <c r="AB99" s="42">
        <v>45712</v>
      </c>
      <c r="AC99" s="42">
        <v>45658</v>
      </c>
      <c r="AD99" s="42">
        <v>45712</v>
      </c>
      <c r="AE99" s="291"/>
      <c r="AF99" s="291"/>
      <c r="AG99" s="274"/>
      <c r="AH99" s="274"/>
      <c r="AI99" s="42">
        <v>45658</v>
      </c>
      <c r="AJ99" s="42">
        <v>45712</v>
      </c>
      <c r="AK99" s="361">
        <v>45712</v>
      </c>
      <c r="AL99" s="361">
        <v>45723</v>
      </c>
      <c r="AM99" s="361">
        <v>45726</v>
      </c>
      <c r="AN99" s="361">
        <v>45730</v>
      </c>
      <c r="AO99" s="361">
        <v>45733</v>
      </c>
      <c r="AP99" s="361">
        <v>45737</v>
      </c>
      <c r="AQ99" s="361">
        <v>45740</v>
      </c>
      <c r="AR99" s="361">
        <v>45743</v>
      </c>
      <c r="AS99" s="63" t="str">
        <f t="shared" si="221"/>
        <v>Selesai Implementasi</v>
      </c>
      <c r="AT99" s="63" t="str">
        <f t="shared" si="222"/>
        <v>Selesai Implementasi</v>
      </c>
      <c r="AU99" s="63" t="str">
        <f t="shared" si="223"/>
        <v>Selesai Implementasi</v>
      </c>
      <c r="AV99" s="63" t="str">
        <f t="shared" si="224"/>
        <v>Selesai Implementasi</v>
      </c>
      <c r="AW99" s="63" t="str">
        <f t="shared" si="225"/>
        <v>Selesai Implementasi</v>
      </c>
      <c r="AX99" s="63" t="str">
        <f t="shared" si="226"/>
        <v>Selesai Implementasi</v>
      </c>
      <c r="AY99" s="63" t="str">
        <f t="shared" si="227"/>
        <v>Selesai Implementasi</v>
      </c>
      <c r="AZ99" s="63" t="str">
        <f t="shared" si="228"/>
        <v>Selesai Implementasi</v>
      </c>
      <c r="BA99" s="63" t="str">
        <f t="shared" si="229"/>
        <v>Selesai Implementasi</v>
      </c>
      <c r="BB99" s="63" t="str">
        <f t="shared" si="220"/>
        <v>Selesai Implementasi</v>
      </c>
      <c r="BC99" s="63" t="str">
        <f t="shared" si="217"/>
        <v>Selesai Implementasi</v>
      </c>
      <c r="BD99" s="63" t="str">
        <f t="shared" si="167"/>
        <v>Selesai Implementasi</v>
      </c>
      <c r="BE99" s="351">
        <v>1</v>
      </c>
      <c r="BF99" s="351">
        <v>1</v>
      </c>
      <c r="BG99" s="351">
        <v>1</v>
      </c>
      <c r="BH99" s="351">
        <v>1</v>
      </c>
      <c r="BI99" s="351">
        <v>1</v>
      </c>
      <c r="BJ99" s="351">
        <v>1</v>
      </c>
      <c r="BK99" s="351">
        <v>1</v>
      </c>
      <c r="BL99" s="351">
        <v>1</v>
      </c>
      <c r="BM99" s="351">
        <v>1</v>
      </c>
      <c r="BN99" s="351">
        <v>1</v>
      </c>
      <c r="BO99" s="351">
        <v>1</v>
      </c>
      <c r="BP99" s="351">
        <v>1</v>
      </c>
      <c r="BQ99" s="63" t="str">
        <f t="shared" si="168"/>
        <v>Selesai Implementasi</v>
      </c>
      <c r="BR99" s="63" t="str">
        <f t="shared" si="169"/>
        <v>Not Started</v>
      </c>
      <c r="BS99" s="63" t="str">
        <f t="shared" si="170"/>
        <v>Not Started</v>
      </c>
      <c r="BT99" s="63" t="str">
        <f t="shared" si="171"/>
        <v>Not Started</v>
      </c>
      <c r="BU99" s="63" t="str">
        <f t="shared" si="172"/>
        <v>Not Started</v>
      </c>
      <c r="BV99" s="63" t="str">
        <f t="shared" si="173"/>
        <v>Not Started</v>
      </c>
      <c r="BW99" s="63" t="str">
        <f t="shared" si="174"/>
        <v>Not Started</v>
      </c>
      <c r="BX99" s="63" t="str">
        <f t="shared" si="175"/>
        <v>Not Started</v>
      </c>
      <c r="BY99" s="63" t="str">
        <f t="shared" si="176"/>
        <v>Not Started</v>
      </c>
      <c r="BZ99" s="63" t="str">
        <f t="shared" si="177"/>
        <v>Not Started</v>
      </c>
      <c r="CA99" s="63" t="str">
        <f t="shared" si="178"/>
        <v>Not Started</v>
      </c>
      <c r="CB99" s="63" t="str">
        <f t="shared" si="179"/>
        <v>Not Started</v>
      </c>
      <c r="CC99" s="44">
        <f t="shared" si="216"/>
        <v>0.99999999999999989</v>
      </c>
      <c r="CD99" s="44"/>
      <c r="CE99" s="44"/>
      <c r="CF99" s="44"/>
      <c r="CG99" s="44"/>
      <c r="CH99" s="44"/>
      <c r="CI99" s="44"/>
      <c r="CJ99" s="44"/>
      <c r="CK99" s="44"/>
      <c r="CL99" s="44"/>
      <c r="CM99" s="44"/>
      <c r="CN99" s="44"/>
      <c r="CO99" s="45">
        <f t="shared" si="181"/>
        <v>0.99999999999999989</v>
      </c>
      <c r="CP99" s="45">
        <f t="shared" si="182"/>
        <v>0</v>
      </c>
      <c r="CQ99" s="45">
        <f t="shared" si="183"/>
        <v>0</v>
      </c>
      <c r="CR99" s="45">
        <f t="shared" si="184"/>
        <v>0</v>
      </c>
      <c r="CS99" s="45">
        <f t="shared" si="185"/>
        <v>0</v>
      </c>
      <c r="CT99" s="45">
        <f t="shared" si="186"/>
        <v>0</v>
      </c>
      <c r="CU99" s="45">
        <f t="shared" si="187"/>
        <v>0</v>
      </c>
      <c r="CV99" s="45">
        <f t="shared" si="188"/>
        <v>0</v>
      </c>
      <c r="CW99" s="45">
        <f t="shared" si="189"/>
        <v>0</v>
      </c>
      <c r="CX99" s="45">
        <f t="shared" si="190"/>
        <v>0</v>
      </c>
      <c r="CY99" s="45">
        <f t="shared" si="218"/>
        <v>0</v>
      </c>
      <c r="CZ99" s="45">
        <f>IF(BP99=0%, 100%, (CN99/BP99))</f>
        <v>0</v>
      </c>
      <c r="DA99" s="45" t="str">
        <f t="shared" si="191"/>
        <v>DONE</v>
      </c>
      <c r="DB99" s="45" t="str">
        <f t="shared" si="192"/>
        <v>BS</v>
      </c>
      <c r="DC99" s="45" t="str">
        <f t="shared" si="193"/>
        <v>BS</v>
      </c>
      <c r="DD99" s="45" t="str">
        <f t="shared" si="194"/>
        <v>BS</v>
      </c>
      <c r="DE99" s="45" t="str">
        <f t="shared" si="195"/>
        <v>BS</v>
      </c>
      <c r="DF99" s="45" t="str">
        <f t="shared" si="196"/>
        <v>BS</v>
      </c>
      <c r="DG99" s="45" t="str">
        <f t="shared" si="197"/>
        <v>BS</v>
      </c>
      <c r="DH99" s="45" t="str">
        <f t="shared" si="198"/>
        <v>BS</v>
      </c>
      <c r="DI99" s="45" t="str">
        <f t="shared" si="199"/>
        <v>BS</v>
      </c>
      <c r="DJ99" s="45" t="str">
        <f t="shared" si="200"/>
        <v>BS</v>
      </c>
      <c r="DK99" s="45" t="str">
        <f t="shared" si="219"/>
        <v>BS</v>
      </c>
      <c r="DL99" s="45" t="str">
        <f t="shared" si="201"/>
        <v>BS</v>
      </c>
      <c r="DM99" s="45">
        <f t="shared" si="202"/>
        <v>0.99999999999999989</v>
      </c>
      <c r="DN99" s="45">
        <f t="shared" si="203"/>
        <v>0</v>
      </c>
      <c r="DO99" s="45">
        <f t="shared" si="204"/>
        <v>0</v>
      </c>
      <c r="DP99" s="45">
        <f t="shared" si="205"/>
        <v>0</v>
      </c>
      <c r="DQ99" s="45">
        <f t="shared" si="206"/>
        <v>0</v>
      </c>
      <c r="DR99" s="45">
        <f t="shared" si="207"/>
        <v>0</v>
      </c>
      <c r="DS99" s="45">
        <f t="shared" si="208"/>
        <v>0</v>
      </c>
      <c r="DT99" s="45">
        <f t="shared" si="209"/>
        <v>0</v>
      </c>
      <c r="DU99" s="45">
        <f t="shared" si="210"/>
        <v>0</v>
      </c>
      <c r="DV99" s="45">
        <f t="shared" si="211"/>
        <v>0</v>
      </c>
      <c r="DW99" s="45">
        <f t="shared" si="212"/>
        <v>0</v>
      </c>
      <c r="DX99" s="45">
        <f t="shared" si="213"/>
        <v>0</v>
      </c>
      <c r="DY99" s="72">
        <v>1</v>
      </c>
      <c r="DZ99" s="72">
        <v>1</v>
      </c>
      <c r="EA99" s="72">
        <v>1</v>
      </c>
      <c r="EB99" s="72">
        <v>1</v>
      </c>
      <c r="EC99" s="72">
        <v>1</v>
      </c>
      <c r="ED99" s="72">
        <v>1</v>
      </c>
      <c r="EE99" s="72">
        <v>1</v>
      </c>
      <c r="EF99" s="72">
        <v>1</v>
      </c>
      <c r="EG99" s="72">
        <v>1</v>
      </c>
      <c r="EH99" s="566" t="s">
        <v>741</v>
      </c>
      <c r="EI99" s="352">
        <v>45742</v>
      </c>
      <c r="EJ99" s="59">
        <f t="shared" si="214"/>
        <v>45743</v>
      </c>
      <c r="EK99" s="266"/>
      <c r="EL99" s="344"/>
      <c r="EM99" s="344"/>
      <c r="EN99" s="285"/>
      <c r="EO99" s="285"/>
      <c r="EP99" s="346"/>
      <c r="EQ99" s="285"/>
      <c r="ER99" s="346"/>
      <c r="ES99" s="346"/>
      <c r="ET99" s="285"/>
      <c r="EU99" s="285"/>
      <c r="EV99" s="346"/>
      <c r="EW99" s="346"/>
      <c r="EX99" s="346"/>
      <c r="EY99" s="346"/>
      <c r="EZ99" s="346"/>
      <c r="FA99" s="346"/>
      <c r="FB99" s="346"/>
      <c r="FC99" s="285"/>
      <c r="FD99" s="346"/>
      <c r="FE99" s="346"/>
      <c r="FF99" s="285"/>
      <c r="FG99" s="285"/>
      <c r="FH99" s="346"/>
      <c r="FI99" s="346"/>
      <c r="FJ99" s="346"/>
      <c r="FK99" s="346"/>
      <c r="FL99" s="347"/>
      <c r="FM99" s="247"/>
      <c r="FN99" s="248" t="s">
        <v>299</v>
      </c>
      <c r="FO99" s="247"/>
      <c r="FP99" s="172"/>
      <c r="FQ99" s="172"/>
      <c r="FR99" s="289" t="s">
        <v>549</v>
      </c>
      <c r="FS99" s="267" t="s">
        <v>345</v>
      </c>
      <c r="FT99" s="354"/>
      <c r="FU99" s="258">
        <v>5</v>
      </c>
    </row>
    <row r="100" spans="1:177" s="16" customFormat="1" ht="112">
      <c r="A100" s="63" t="s">
        <v>742</v>
      </c>
      <c r="B100" s="48"/>
      <c r="C100" s="64" t="s">
        <v>206</v>
      </c>
      <c r="D100" s="225" t="s">
        <v>207</v>
      </c>
      <c r="E100" s="48" t="s">
        <v>743</v>
      </c>
      <c r="F100" s="227">
        <v>1</v>
      </c>
      <c r="G100" s="65" t="s">
        <v>744</v>
      </c>
      <c r="H100" s="65" t="s">
        <v>745</v>
      </c>
      <c r="I100" s="65" t="s">
        <v>746</v>
      </c>
      <c r="J100" s="48">
        <v>2025</v>
      </c>
      <c r="K100" s="48">
        <v>2025</v>
      </c>
      <c r="L100" s="48" t="s">
        <v>288</v>
      </c>
      <c r="M100" s="48" t="s">
        <v>173</v>
      </c>
      <c r="N100" s="48" t="s">
        <v>174</v>
      </c>
      <c r="O100" s="48" t="s">
        <v>747</v>
      </c>
      <c r="P100" s="63" t="s">
        <v>458</v>
      </c>
      <c r="Q100" s="63" t="s">
        <v>673</v>
      </c>
      <c r="R100" s="63" t="s">
        <v>744</v>
      </c>
      <c r="S100" s="63" t="str">
        <f t="shared" si="153"/>
        <v>Selesai Implementasi</v>
      </c>
      <c r="T100" s="63" t="str">
        <f t="shared" si="145"/>
        <v>DONE</v>
      </c>
      <c r="U100" s="63" t="str">
        <f t="shared" si="154"/>
        <v>Rangga Dhaniarto</v>
      </c>
      <c r="V100" s="67">
        <f t="shared" si="155"/>
        <v>0.99999999999999989</v>
      </c>
      <c r="W100" s="66" t="s">
        <v>215</v>
      </c>
      <c r="X100" s="59">
        <f t="shared" si="156"/>
        <v>45961</v>
      </c>
      <c r="Y100" s="68">
        <v>1</v>
      </c>
      <c r="Z100" s="48"/>
      <c r="AA100" s="350">
        <v>45658</v>
      </c>
      <c r="AB100" s="245">
        <v>45737</v>
      </c>
      <c r="AC100" s="245">
        <v>45732</v>
      </c>
      <c r="AD100" s="355">
        <v>45747</v>
      </c>
      <c r="AE100" s="300"/>
      <c r="AF100" s="300"/>
      <c r="AG100" s="274"/>
      <c r="AH100" s="274"/>
      <c r="AI100" s="245">
        <v>45823</v>
      </c>
      <c r="AJ100" s="245">
        <v>45829</v>
      </c>
      <c r="AK100" s="355">
        <v>45830</v>
      </c>
      <c r="AL100" s="355">
        <v>45890</v>
      </c>
      <c r="AM100" s="301">
        <v>45894</v>
      </c>
      <c r="AN100" s="301">
        <v>45919</v>
      </c>
      <c r="AO100" s="301">
        <v>45922</v>
      </c>
      <c r="AP100" s="301">
        <v>45947</v>
      </c>
      <c r="AQ100" s="301">
        <v>45950</v>
      </c>
      <c r="AR100" s="362">
        <v>45961</v>
      </c>
      <c r="AS100" s="63" t="str">
        <f t="shared" si="221"/>
        <v>Selesai Implementasi</v>
      </c>
      <c r="AT100" s="63" t="str">
        <f t="shared" si="222"/>
        <v>Selesai Implementasi</v>
      </c>
      <c r="AU100" s="63" t="str">
        <f t="shared" si="223"/>
        <v>Selesai Implementasi</v>
      </c>
      <c r="AV100" s="63" t="str">
        <f t="shared" si="224"/>
        <v>Selesai Implementasi</v>
      </c>
      <c r="AW100" s="63" t="str">
        <f t="shared" si="225"/>
        <v>Selesai Implementasi</v>
      </c>
      <c r="AX100" s="63" t="str">
        <f t="shared" si="226"/>
        <v>Selesai Implementasi</v>
      </c>
      <c r="AY100" s="63" t="str">
        <f t="shared" si="227"/>
        <v>Selesai Implementasi</v>
      </c>
      <c r="AZ100" s="63" t="str">
        <f t="shared" si="228"/>
        <v>Selesai Implementasi</v>
      </c>
      <c r="BA100" s="63" t="str">
        <f t="shared" si="229"/>
        <v>Selesai Implementasi</v>
      </c>
      <c r="BB100" s="63" t="str">
        <f t="shared" si="220"/>
        <v>Selesai Implementasi</v>
      </c>
      <c r="BC100" s="63" t="str">
        <f t="shared" si="217"/>
        <v>Selesai Implementasi</v>
      </c>
      <c r="BD100" s="63" t="str">
        <f t="shared" si="167"/>
        <v>Selesai Implementasi</v>
      </c>
      <c r="BE100" s="351">
        <v>1</v>
      </c>
      <c r="BF100" s="351">
        <v>1</v>
      </c>
      <c r="BG100" s="351">
        <v>1</v>
      </c>
      <c r="BH100" s="351">
        <v>1</v>
      </c>
      <c r="BI100" s="351">
        <v>1</v>
      </c>
      <c r="BJ100" s="351">
        <v>1</v>
      </c>
      <c r="BK100" s="351">
        <v>1</v>
      </c>
      <c r="BL100" s="351">
        <v>1</v>
      </c>
      <c r="BM100" s="351">
        <v>1</v>
      </c>
      <c r="BN100" s="351">
        <v>1</v>
      </c>
      <c r="BO100" s="351">
        <v>1</v>
      </c>
      <c r="BP100" s="351">
        <v>1</v>
      </c>
      <c r="BQ100" s="63" t="str">
        <f t="shared" si="168"/>
        <v>Selesai Implementasi</v>
      </c>
      <c r="BR100" s="63" t="str">
        <f t="shared" si="169"/>
        <v>Not Started</v>
      </c>
      <c r="BS100" s="63" t="str">
        <f t="shared" si="170"/>
        <v>Not Started</v>
      </c>
      <c r="BT100" s="63" t="str">
        <f t="shared" si="171"/>
        <v>Not Started</v>
      </c>
      <c r="BU100" s="63" t="str">
        <f t="shared" si="172"/>
        <v>Not Started</v>
      </c>
      <c r="BV100" s="63" t="str">
        <f t="shared" si="173"/>
        <v>Not Started</v>
      </c>
      <c r="BW100" s="63" t="str">
        <f t="shared" si="174"/>
        <v>Not Started</v>
      </c>
      <c r="BX100" s="63" t="str">
        <f t="shared" si="175"/>
        <v>Not Started</v>
      </c>
      <c r="BY100" s="63" t="str">
        <f t="shared" si="176"/>
        <v>Not Started</v>
      </c>
      <c r="BZ100" s="63" t="str">
        <f t="shared" si="177"/>
        <v>Not Started</v>
      </c>
      <c r="CA100" s="63" t="str">
        <f t="shared" si="178"/>
        <v>Not Started</v>
      </c>
      <c r="CB100" s="63" t="str">
        <f t="shared" si="179"/>
        <v>Not Started</v>
      </c>
      <c r="CC100" s="44">
        <f t="shared" si="216"/>
        <v>0.99999999999999989</v>
      </c>
      <c r="CD100" s="44"/>
      <c r="CE100" s="44"/>
      <c r="CF100" s="44"/>
      <c r="CG100" s="44"/>
      <c r="CH100" s="44"/>
      <c r="CI100" s="44"/>
      <c r="CJ100" s="44"/>
      <c r="CK100" s="44"/>
      <c r="CL100" s="44"/>
      <c r="CM100" s="44"/>
      <c r="CN100" s="44"/>
      <c r="CO100" s="45">
        <f t="shared" si="181"/>
        <v>0.99999999999999989</v>
      </c>
      <c r="CP100" s="45">
        <f t="shared" si="182"/>
        <v>0</v>
      </c>
      <c r="CQ100" s="45">
        <f t="shared" si="183"/>
        <v>0</v>
      </c>
      <c r="CR100" s="45">
        <f t="shared" si="184"/>
        <v>0</v>
      </c>
      <c r="CS100" s="45">
        <f t="shared" si="185"/>
        <v>0</v>
      </c>
      <c r="CT100" s="45">
        <f t="shared" si="186"/>
        <v>0</v>
      </c>
      <c r="CU100" s="45">
        <f t="shared" si="187"/>
        <v>0</v>
      </c>
      <c r="CV100" s="45">
        <f t="shared" si="188"/>
        <v>0</v>
      </c>
      <c r="CW100" s="45">
        <f t="shared" si="189"/>
        <v>0</v>
      </c>
      <c r="CX100" s="45">
        <f t="shared" si="190"/>
        <v>0</v>
      </c>
      <c r="CY100" s="45">
        <f t="shared" si="218"/>
        <v>0</v>
      </c>
      <c r="CZ100" s="45"/>
      <c r="DA100" s="45" t="str">
        <f t="shared" si="191"/>
        <v>DONE</v>
      </c>
      <c r="DB100" s="45" t="str">
        <f t="shared" si="192"/>
        <v>BS</v>
      </c>
      <c r="DC100" s="45" t="str">
        <f t="shared" si="193"/>
        <v>BS</v>
      </c>
      <c r="DD100" s="45" t="str">
        <f t="shared" si="194"/>
        <v>BS</v>
      </c>
      <c r="DE100" s="45" t="str">
        <f t="shared" si="195"/>
        <v>BS</v>
      </c>
      <c r="DF100" s="45" t="str">
        <f t="shared" si="196"/>
        <v>BS</v>
      </c>
      <c r="DG100" s="45" t="str">
        <f t="shared" si="197"/>
        <v>BS</v>
      </c>
      <c r="DH100" s="45" t="str">
        <f t="shared" si="198"/>
        <v>BS</v>
      </c>
      <c r="DI100" s="45" t="str">
        <f t="shared" si="199"/>
        <v>BS</v>
      </c>
      <c r="DJ100" s="45" t="str">
        <f t="shared" si="200"/>
        <v>BS</v>
      </c>
      <c r="DK100" s="45" t="str">
        <f t="shared" si="219"/>
        <v>BS</v>
      </c>
      <c r="DL100" s="45" t="str">
        <f t="shared" si="201"/>
        <v>BS</v>
      </c>
      <c r="DM100" s="45">
        <f t="shared" si="202"/>
        <v>0.99999999999999989</v>
      </c>
      <c r="DN100" s="45">
        <f t="shared" si="203"/>
        <v>0</v>
      </c>
      <c r="DO100" s="45">
        <f t="shared" si="204"/>
        <v>0</v>
      </c>
      <c r="DP100" s="45">
        <f t="shared" si="205"/>
        <v>0</v>
      </c>
      <c r="DQ100" s="45">
        <f t="shared" si="206"/>
        <v>0</v>
      </c>
      <c r="DR100" s="45">
        <f t="shared" si="207"/>
        <v>0</v>
      </c>
      <c r="DS100" s="45">
        <f t="shared" si="208"/>
        <v>0</v>
      </c>
      <c r="DT100" s="45">
        <f t="shared" si="209"/>
        <v>0</v>
      </c>
      <c r="DU100" s="45">
        <f t="shared" si="210"/>
        <v>0</v>
      </c>
      <c r="DV100" s="45">
        <f t="shared" si="211"/>
        <v>0</v>
      </c>
      <c r="DW100" s="45">
        <f t="shared" si="212"/>
        <v>0</v>
      </c>
      <c r="DX100" s="45">
        <f t="shared" si="213"/>
        <v>0</v>
      </c>
      <c r="DY100" s="46">
        <v>1</v>
      </c>
      <c r="DZ100" s="41">
        <v>1</v>
      </c>
      <c r="EA100" s="41">
        <v>1</v>
      </c>
      <c r="EB100" s="41">
        <v>1</v>
      </c>
      <c r="EC100" s="41">
        <v>1</v>
      </c>
      <c r="ED100" s="41">
        <v>1</v>
      </c>
      <c r="EE100" s="41">
        <v>1</v>
      </c>
      <c r="EF100" s="41">
        <v>1</v>
      </c>
      <c r="EG100" s="41">
        <v>1</v>
      </c>
      <c r="EH100" s="204" t="s">
        <v>748</v>
      </c>
      <c r="EI100" s="352">
        <v>45962</v>
      </c>
      <c r="EJ100" s="59">
        <f t="shared" si="214"/>
        <v>45961</v>
      </c>
      <c r="EK100" s="308"/>
      <c r="EL100" s="310"/>
      <c r="EM100" s="310"/>
      <c r="EN100" s="307"/>
      <c r="EO100" s="307"/>
      <c r="EP100" s="346"/>
      <c r="EQ100" s="285"/>
      <c r="ER100" s="346"/>
      <c r="ES100" s="346"/>
      <c r="ET100" s="285"/>
      <c r="EU100" s="285"/>
      <c r="EV100" s="346"/>
      <c r="EW100" s="346"/>
      <c r="EX100" s="346"/>
      <c r="EY100" s="346"/>
      <c r="EZ100" s="346"/>
      <c r="FA100" s="304"/>
      <c r="FB100" s="346"/>
      <c r="FC100" s="285"/>
      <c r="FD100" s="346"/>
      <c r="FE100" s="346"/>
      <c r="FF100" s="285"/>
      <c r="FG100" s="285"/>
      <c r="FH100" s="346"/>
      <c r="FI100" s="346"/>
      <c r="FJ100" s="346"/>
      <c r="FK100" s="346"/>
      <c r="FL100" s="347"/>
      <c r="FM100" s="172" t="s">
        <v>749</v>
      </c>
      <c r="FN100" s="172" t="s">
        <v>563</v>
      </c>
      <c r="FO100" s="172" t="s">
        <v>221</v>
      </c>
      <c r="FP100" s="172" t="s">
        <v>686</v>
      </c>
      <c r="FQ100" s="172" t="s">
        <v>399</v>
      </c>
      <c r="FR100" s="289" t="s">
        <v>184</v>
      </c>
      <c r="FS100" s="267" t="s">
        <v>677</v>
      </c>
      <c r="FT100" s="267" t="s">
        <v>1505</v>
      </c>
      <c r="FU100" s="320">
        <v>5</v>
      </c>
    </row>
    <row r="101" spans="1:177" s="16" customFormat="1" ht="144">
      <c r="A101" s="63" t="s">
        <v>750</v>
      </c>
      <c r="B101" s="48"/>
      <c r="C101" s="64" t="s">
        <v>206</v>
      </c>
      <c r="D101" s="225" t="s">
        <v>207</v>
      </c>
      <c r="E101" s="48" t="s">
        <v>743</v>
      </c>
      <c r="F101" s="227">
        <f>F100+1</f>
        <v>2</v>
      </c>
      <c r="G101" s="65" t="s">
        <v>744</v>
      </c>
      <c r="H101" s="65" t="s">
        <v>745</v>
      </c>
      <c r="I101" s="65" t="s">
        <v>751</v>
      </c>
      <c r="J101" s="48">
        <v>2025</v>
      </c>
      <c r="K101" s="48">
        <v>2026</v>
      </c>
      <c r="L101" s="48" t="s">
        <v>288</v>
      </c>
      <c r="M101" s="48" t="s">
        <v>173</v>
      </c>
      <c r="N101" s="48" t="s">
        <v>174</v>
      </c>
      <c r="O101" s="63" t="s">
        <v>747</v>
      </c>
      <c r="P101" s="63" t="s">
        <v>458</v>
      </c>
      <c r="Q101" s="63" t="s">
        <v>673</v>
      </c>
      <c r="R101" s="63" t="s">
        <v>744</v>
      </c>
      <c r="S101" s="63" t="str">
        <f t="shared" si="153"/>
        <v>Selesai Pengadaan</v>
      </c>
      <c r="T101" s="63" t="str">
        <f t="shared" si="145"/>
        <v>On Progress</v>
      </c>
      <c r="U101" s="63" t="str">
        <f t="shared" si="154"/>
        <v>Rangga Dhaniarto</v>
      </c>
      <c r="V101" s="67">
        <f t="shared" si="155"/>
        <v>0.3</v>
      </c>
      <c r="W101" s="66" t="s">
        <v>215</v>
      </c>
      <c r="X101" s="59">
        <f t="shared" si="156"/>
        <v>46203</v>
      </c>
      <c r="Y101" s="68">
        <v>0</v>
      </c>
      <c r="Z101" s="48"/>
      <c r="AA101" s="350">
        <v>45658</v>
      </c>
      <c r="AB101" s="245">
        <v>45737</v>
      </c>
      <c r="AC101" s="245">
        <v>45732</v>
      </c>
      <c r="AD101" s="355">
        <v>45747</v>
      </c>
      <c r="AE101" s="245"/>
      <c r="AF101" s="245"/>
      <c r="AG101" s="274"/>
      <c r="AH101" s="274"/>
      <c r="AI101" s="245">
        <v>46023</v>
      </c>
      <c r="AJ101" s="245">
        <v>46053</v>
      </c>
      <c r="AK101" s="355">
        <v>46054</v>
      </c>
      <c r="AL101" s="355">
        <v>46112</v>
      </c>
      <c r="AM101" s="355">
        <v>46113</v>
      </c>
      <c r="AN101" s="355">
        <v>46142</v>
      </c>
      <c r="AO101" s="355">
        <v>46143</v>
      </c>
      <c r="AP101" s="355">
        <v>46173</v>
      </c>
      <c r="AQ101" s="355">
        <v>46174</v>
      </c>
      <c r="AR101" s="355">
        <v>46203</v>
      </c>
      <c r="AS101" s="63" t="str">
        <f t="shared" si="221"/>
        <v>Selesai Desain</v>
      </c>
      <c r="AT101" s="63" t="str">
        <f t="shared" si="222"/>
        <v>Proses Pengembangan</v>
      </c>
      <c r="AU101" s="63" t="str">
        <f t="shared" si="223"/>
        <v>Selesai Pengembangan</v>
      </c>
      <c r="AV101" s="63" t="str">
        <f t="shared" si="224"/>
        <v>Proses SIT</v>
      </c>
      <c r="AW101" s="63" t="str">
        <f t="shared" si="225"/>
        <v>Selesai UAT</v>
      </c>
      <c r="AX101" s="63" t="str">
        <f t="shared" si="226"/>
        <v>Selesai Implementasi</v>
      </c>
      <c r="AY101" s="63" t="str">
        <f t="shared" si="227"/>
        <v>Selesai Implementasi</v>
      </c>
      <c r="AZ101" s="63" t="str">
        <f t="shared" si="228"/>
        <v>Selesai Implementasi</v>
      </c>
      <c r="BA101" s="63" t="str">
        <f t="shared" si="229"/>
        <v>Selesai Implementasi</v>
      </c>
      <c r="BB101" s="63" t="str">
        <f t="shared" si="220"/>
        <v>Selesai Implementasi</v>
      </c>
      <c r="BC101" s="63" t="str">
        <f t="shared" si="217"/>
        <v>Selesai Implementasi</v>
      </c>
      <c r="BD101" s="63" t="str">
        <f t="shared" si="167"/>
        <v>Selesai Implementasi</v>
      </c>
      <c r="BE101" s="43">
        <v>0.45</v>
      </c>
      <c r="BF101" s="43">
        <v>0.67</v>
      </c>
      <c r="BG101" s="351">
        <v>0.8</v>
      </c>
      <c r="BH101" s="351">
        <v>0.87</v>
      </c>
      <c r="BI101" s="351">
        <v>0.95</v>
      </c>
      <c r="BJ101" s="351">
        <v>1</v>
      </c>
      <c r="BK101" s="351">
        <v>1</v>
      </c>
      <c r="BL101" s="351">
        <v>1</v>
      </c>
      <c r="BM101" s="351">
        <v>1</v>
      </c>
      <c r="BN101" s="351">
        <v>1</v>
      </c>
      <c r="BO101" s="351">
        <v>1</v>
      </c>
      <c r="BP101" s="351">
        <v>1</v>
      </c>
      <c r="BQ101" s="63" t="str">
        <f t="shared" si="168"/>
        <v>Selesai Pengadaan</v>
      </c>
      <c r="BR101" s="63" t="str">
        <f t="shared" si="169"/>
        <v>Not Started</v>
      </c>
      <c r="BS101" s="63" t="str">
        <f t="shared" si="170"/>
        <v>Not Started</v>
      </c>
      <c r="BT101" s="63" t="str">
        <f t="shared" si="171"/>
        <v>Not Started</v>
      </c>
      <c r="BU101" s="63" t="str">
        <f t="shared" si="172"/>
        <v>Not Started</v>
      </c>
      <c r="BV101" s="63" t="str">
        <f t="shared" si="173"/>
        <v>Not Started</v>
      </c>
      <c r="BW101" s="63" t="str">
        <f t="shared" si="174"/>
        <v>Not Started</v>
      </c>
      <c r="BX101" s="63" t="str">
        <f t="shared" si="175"/>
        <v>Not Started</v>
      </c>
      <c r="BY101" s="63" t="str">
        <f t="shared" si="176"/>
        <v>Not Started</v>
      </c>
      <c r="BZ101" s="63" t="str">
        <f t="shared" si="177"/>
        <v>Not Started</v>
      </c>
      <c r="CA101" s="63" t="str">
        <f t="shared" si="178"/>
        <v>Not Started</v>
      </c>
      <c r="CB101" s="63" t="str">
        <f t="shared" si="179"/>
        <v>Not Started</v>
      </c>
      <c r="CC101" s="44">
        <f t="shared" si="216"/>
        <v>0.3</v>
      </c>
      <c r="CD101" s="44"/>
      <c r="CE101" s="44"/>
      <c r="CF101" s="44"/>
      <c r="CG101" s="44"/>
      <c r="CH101" s="44"/>
      <c r="CI101" s="44"/>
      <c r="CJ101" s="44"/>
      <c r="CK101" s="44"/>
      <c r="CL101" s="44"/>
      <c r="CM101" s="44"/>
      <c r="CN101" s="44"/>
      <c r="CO101" s="45">
        <f t="shared" si="181"/>
        <v>0.66666666666666663</v>
      </c>
      <c r="CP101" s="45">
        <f t="shared" si="182"/>
        <v>0</v>
      </c>
      <c r="CQ101" s="45">
        <f t="shared" si="183"/>
        <v>0</v>
      </c>
      <c r="CR101" s="45">
        <f t="shared" si="184"/>
        <v>0</v>
      </c>
      <c r="CS101" s="45">
        <f t="shared" si="185"/>
        <v>0</v>
      </c>
      <c r="CT101" s="45">
        <f t="shared" si="186"/>
        <v>0</v>
      </c>
      <c r="CU101" s="45">
        <f t="shared" si="187"/>
        <v>0</v>
      </c>
      <c r="CV101" s="45">
        <f t="shared" si="188"/>
        <v>0</v>
      </c>
      <c r="CW101" s="45">
        <f t="shared" si="189"/>
        <v>0</v>
      </c>
      <c r="CX101" s="45">
        <f t="shared" si="190"/>
        <v>0</v>
      </c>
      <c r="CY101" s="45">
        <f t="shared" si="218"/>
        <v>0</v>
      </c>
      <c r="CZ101" s="45"/>
      <c r="DA101" s="45" t="str">
        <f t="shared" si="191"/>
        <v>BS</v>
      </c>
      <c r="DB101" s="45" t="str">
        <f t="shared" si="192"/>
        <v>BS</v>
      </c>
      <c r="DC101" s="45" t="str">
        <f t="shared" si="193"/>
        <v>BS</v>
      </c>
      <c r="DD101" s="45" t="str">
        <f t="shared" si="194"/>
        <v>BS</v>
      </c>
      <c r="DE101" s="45" t="str">
        <f t="shared" si="195"/>
        <v>BS</v>
      </c>
      <c r="DF101" s="45" t="str">
        <f t="shared" si="196"/>
        <v>BS</v>
      </c>
      <c r="DG101" s="45" t="str">
        <f t="shared" si="197"/>
        <v>BS</v>
      </c>
      <c r="DH101" s="45" t="str">
        <f t="shared" si="198"/>
        <v>BS</v>
      </c>
      <c r="DI101" s="45" t="str">
        <f t="shared" si="199"/>
        <v>BS</v>
      </c>
      <c r="DJ101" s="45" t="str">
        <f t="shared" si="200"/>
        <v>BS</v>
      </c>
      <c r="DK101" s="45" t="str">
        <f t="shared" si="219"/>
        <v>BS</v>
      </c>
      <c r="DL101" s="45" t="str">
        <f t="shared" si="201"/>
        <v>BS</v>
      </c>
      <c r="DM101" s="45">
        <f t="shared" si="202"/>
        <v>0.3</v>
      </c>
      <c r="DN101" s="45">
        <f t="shared" si="203"/>
        <v>0</v>
      </c>
      <c r="DO101" s="45">
        <f t="shared" si="204"/>
        <v>0</v>
      </c>
      <c r="DP101" s="45">
        <f t="shared" si="205"/>
        <v>0</v>
      </c>
      <c r="DQ101" s="45">
        <f t="shared" si="206"/>
        <v>0</v>
      </c>
      <c r="DR101" s="45">
        <f t="shared" si="207"/>
        <v>0</v>
      </c>
      <c r="DS101" s="45">
        <f t="shared" si="208"/>
        <v>0</v>
      </c>
      <c r="DT101" s="45">
        <f t="shared" si="209"/>
        <v>0</v>
      </c>
      <c r="DU101" s="45">
        <f t="shared" si="210"/>
        <v>0</v>
      </c>
      <c r="DV101" s="45">
        <f t="shared" si="211"/>
        <v>0</v>
      </c>
      <c r="DW101" s="45">
        <f t="shared" si="212"/>
        <v>0</v>
      </c>
      <c r="DX101" s="45">
        <f t="shared" si="213"/>
        <v>0</v>
      </c>
      <c r="DY101" s="46">
        <v>1</v>
      </c>
      <c r="DZ101" s="41">
        <v>0.7</v>
      </c>
      <c r="EA101" s="41">
        <v>1</v>
      </c>
      <c r="EB101" s="41">
        <v>1</v>
      </c>
      <c r="EC101" s="41">
        <v>0.1</v>
      </c>
      <c r="ED101" s="525"/>
      <c r="EE101" s="41"/>
      <c r="EF101" s="41"/>
      <c r="EG101" s="41"/>
      <c r="EH101" s="173" t="s">
        <v>1500</v>
      </c>
      <c r="EI101" s="59"/>
      <c r="EJ101" s="59">
        <f t="shared" si="214"/>
        <v>46203</v>
      </c>
      <c r="EK101" s="266"/>
      <c r="EL101" s="344"/>
      <c r="EM101" s="344"/>
      <c r="EN101" s="285"/>
      <c r="EO101" s="285"/>
      <c r="EP101" s="346"/>
      <c r="EQ101" s="285"/>
      <c r="ER101" s="346"/>
      <c r="ES101" s="346"/>
      <c r="ET101" s="285"/>
      <c r="EU101" s="285"/>
      <c r="EV101" s="346"/>
      <c r="EW101" s="346"/>
      <c r="EX101" s="346"/>
      <c r="EY101" s="346"/>
      <c r="EZ101" s="346"/>
      <c r="FA101" s="346"/>
      <c r="FB101" s="346"/>
      <c r="FC101" s="285"/>
      <c r="FD101" s="346"/>
      <c r="FE101" s="346"/>
      <c r="FF101" s="285"/>
      <c r="FG101" s="285"/>
      <c r="FH101" s="346"/>
      <c r="FI101" s="346"/>
      <c r="FJ101" s="346"/>
      <c r="FK101" s="346"/>
      <c r="FL101" s="347"/>
      <c r="FM101" s="172" t="s">
        <v>749</v>
      </c>
      <c r="FN101" s="172" t="s">
        <v>563</v>
      </c>
      <c r="FO101" s="172" t="s">
        <v>221</v>
      </c>
      <c r="FP101" s="172" t="s">
        <v>686</v>
      </c>
      <c r="FQ101" s="172" t="s">
        <v>399</v>
      </c>
      <c r="FR101" s="289" t="s">
        <v>184</v>
      </c>
      <c r="FS101" s="267" t="s">
        <v>677</v>
      </c>
      <c r="FT101" s="267" t="s">
        <v>1505</v>
      </c>
      <c r="FU101" s="48">
        <v>4</v>
      </c>
    </row>
    <row r="102" spans="1:177" s="16" customFormat="1" ht="112">
      <c r="A102" s="63" t="s">
        <v>752</v>
      </c>
      <c r="B102" s="48"/>
      <c r="C102" s="64" t="s">
        <v>206</v>
      </c>
      <c r="D102" s="225" t="s">
        <v>207</v>
      </c>
      <c r="E102" s="48" t="s">
        <v>743</v>
      </c>
      <c r="F102" s="227">
        <f>F101+1</f>
        <v>3</v>
      </c>
      <c r="G102" s="65" t="s">
        <v>744</v>
      </c>
      <c r="H102" s="65" t="s">
        <v>745</v>
      </c>
      <c r="I102" s="65" t="s">
        <v>753</v>
      </c>
      <c r="J102" s="48">
        <v>2025</v>
      </c>
      <c r="K102" s="48">
        <v>2026</v>
      </c>
      <c r="L102" s="48" t="s">
        <v>288</v>
      </c>
      <c r="M102" s="48" t="s">
        <v>173</v>
      </c>
      <c r="N102" s="48" t="s">
        <v>174</v>
      </c>
      <c r="O102" s="63" t="s">
        <v>747</v>
      </c>
      <c r="P102" s="63" t="s">
        <v>458</v>
      </c>
      <c r="Q102" s="63" t="s">
        <v>673</v>
      </c>
      <c r="R102" s="63" t="s">
        <v>744</v>
      </c>
      <c r="S102" s="63" t="str">
        <f t="shared" ref="S102:S133" si="283">BQ102</f>
        <v>Proses Pengadaan</v>
      </c>
      <c r="T102" s="63" t="str">
        <f t="shared" si="145"/>
        <v>On Progress</v>
      </c>
      <c r="U102" s="63" t="str">
        <f t="shared" ref="U102:U127" si="284">FN102</f>
        <v>Rangga Dhaniarto</v>
      </c>
      <c r="V102" s="67">
        <f t="shared" ref="V102:V133" si="285">CC102</f>
        <v>0.28499999999999998</v>
      </c>
      <c r="W102" s="66" t="s">
        <v>215</v>
      </c>
      <c r="X102" s="59">
        <f t="shared" si="156"/>
        <v>46387</v>
      </c>
      <c r="Y102" s="68">
        <v>0</v>
      </c>
      <c r="Z102" s="48"/>
      <c r="AA102" s="350">
        <v>45658</v>
      </c>
      <c r="AB102" s="245">
        <v>45737</v>
      </c>
      <c r="AC102" s="245">
        <v>45732</v>
      </c>
      <c r="AD102" s="355">
        <v>45747</v>
      </c>
      <c r="AE102" s="291"/>
      <c r="AF102" s="291"/>
      <c r="AG102" s="274"/>
      <c r="AH102" s="274"/>
      <c r="AI102" s="352">
        <v>46204</v>
      </c>
      <c r="AJ102" s="352">
        <v>46234</v>
      </c>
      <c r="AK102" s="352">
        <v>46235</v>
      </c>
      <c r="AL102" s="352">
        <v>46295</v>
      </c>
      <c r="AM102" s="352">
        <v>46296</v>
      </c>
      <c r="AN102" s="352">
        <v>46326</v>
      </c>
      <c r="AO102" s="352">
        <v>46327</v>
      </c>
      <c r="AP102" s="352">
        <v>46356</v>
      </c>
      <c r="AQ102" s="352">
        <v>46357</v>
      </c>
      <c r="AR102" s="352">
        <v>46387</v>
      </c>
      <c r="AS102" s="63" t="str">
        <f t="shared" si="221"/>
        <v>Selesai Pengadaan</v>
      </c>
      <c r="AT102" s="63" t="str">
        <f t="shared" si="222"/>
        <v>Selesai Pengadaan</v>
      </c>
      <c r="AU102" s="63" t="str">
        <f t="shared" si="223"/>
        <v>Selesai Pengadaan</v>
      </c>
      <c r="AV102" s="63" t="str">
        <f t="shared" si="224"/>
        <v>Selesai Pengadaan</v>
      </c>
      <c r="AW102" s="63" t="str">
        <f t="shared" si="225"/>
        <v>Selesai Pengadaan</v>
      </c>
      <c r="AX102" s="63" t="str">
        <f t="shared" si="226"/>
        <v>Selesai Pengadaan</v>
      </c>
      <c r="AY102" s="63" t="str">
        <f t="shared" si="227"/>
        <v>Selesai Desain</v>
      </c>
      <c r="AZ102" s="63" t="str">
        <f t="shared" si="228"/>
        <v>Proses Pengembangan</v>
      </c>
      <c r="BA102" s="63" t="str">
        <f t="shared" si="229"/>
        <v>Selesai Pengembangan</v>
      </c>
      <c r="BB102" s="63" t="str">
        <f t="shared" si="220"/>
        <v>Proses SIT</v>
      </c>
      <c r="BC102" s="63" t="str">
        <f t="shared" si="217"/>
        <v>Selesai UAT</v>
      </c>
      <c r="BD102" s="63" t="str">
        <f t="shared" si="167"/>
        <v>Selesai Implementasi</v>
      </c>
      <c r="BE102" s="43">
        <v>0.3</v>
      </c>
      <c r="BF102" s="43">
        <v>0.3</v>
      </c>
      <c r="BG102" s="43">
        <v>0.3</v>
      </c>
      <c r="BH102" s="43">
        <v>0.3</v>
      </c>
      <c r="BI102" s="43">
        <v>0.3</v>
      </c>
      <c r="BJ102" s="43">
        <v>0.3</v>
      </c>
      <c r="BK102" s="351">
        <v>0.45</v>
      </c>
      <c r="BL102" s="351">
        <v>0.67</v>
      </c>
      <c r="BM102" s="351">
        <v>0.8</v>
      </c>
      <c r="BN102" s="351">
        <v>0.87</v>
      </c>
      <c r="BO102" s="351">
        <v>0.95</v>
      </c>
      <c r="BP102" s="351">
        <v>1</v>
      </c>
      <c r="BQ102" s="63" t="str">
        <f t="shared" si="168"/>
        <v>Proses Pengadaan</v>
      </c>
      <c r="BR102" s="63" t="str">
        <f t="shared" si="169"/>
        <v>Not Started</v>
      </c>
      <c r="BS102" s="63" t="str">
        <f t="shared" si="170"/>
        <v>Not Started</v>
      </c>
      <c r="BT102" s="63" t="str">
        <f t="shared" si="171"/>
        <v>Not Started</v>
      </c>
      <c r="BU102" s="63" t="str">
        <f t="shared" si="172"/>
        <v>Not Started</v>
      </c>
      <c r="BV102" s="63" t="str">
        <f t="shared" si="173"/>
        <v>Not Started</v>
      </c>
      <c r="BW102" s="63" t="str">
        <f t="shared" si="174"/>
        <v>Not Started</v>
      </c>
      <c r="BX102" s="63" t="str">
        <f t="shared" si="175"/>
        <v>Not Started</v>
      </c>
      <c r="BY102" s="63" t="str">
        <f t="shared" si="176"/>
        <v>Not Started</v>
      </c>
      <c r="BZ102" s="63" t="str">
        <f t="shared" si="177"/>
        <v>Not Started</v>
      </c>
      <c r="CA102" s="63" t="str">
        <f t="shared" si="178"/>
        <v>Not Started</v>
      </c>
      <c r="CB102" s="63" t="str">
        <f t="shared" si="179"/>
        <v>Not Started</v>
      </c>
      <c r="CC102" s="44">
        <f t="shared" si="216"/>
        <v>0.28499999999999998</v>
      </c>
      <c r="CD102" s="44"/>
      <c r="CE102" s="44"/>
      <c r="CF102" s="44"/>
      <c r="CG102" s="44"/>
      <c r="CH102" s="242"/>
      <c r="CI102" s="44"/>
      <c r="CJ102" s="44"/>
      <c r="CK102" s="44"/>
      <c r="CL102" s="44"/>
      <c r="CM102" s="44"/>
      <c r="CN102" s="44"/>
      <c r="CO102" s="45">
        <f t="shared" si="181"/>
        <v>0.95</v>
      </c>
      <c r="CP102" s="45">
        <f t="shared" si="182"/>
        <v>0</v>
      </c>
      <c r="CQ102" s="45">
        <f t="shared" si="183"/>
        <v>0</v>
      </c>
      <c r="CR102" s="45">
        <f t="shared" si="184"/>
        <v>0</v>
      </c>
      <c r="CS102" s="45">
        <f t="shared" si="185"/>
        <v>0</v>
      </c>
      <c r="CT102" s="45">
        <f t="shared" si="186"/>
        <v>0</v>
      </c>
      <c r="CU102" s="45">
        <f t="shared" si="187"/>
        <v>0</v>
      </c>
      <c r="CV102" s="45">
        <f t="shared" si="188"/>
        <v>0</v>
      </c>
      <c r="CW102" s="45">
        <f t="shared" si="189"/>
        <v>0</v>
      </c>
      <c r="CX102" s="45">
        <f t="shared" si="190"/>
        <v>0</v>
      </c>
      <c r="CY102" s="45">
        <f t="shared" si="218"/>
        <v>0</v>
      </c>
      <c r="CZ102" s="45"/>
      <c r="DA102" s="45" t="str">
        <f t="shared" si="191"/>
        <v>OS</v>
      </c>
      <c r="DB102" s="45" t="str">
        <f t="shared" si="192"/>
        <v>BS</v>
      </c>
      <c r="DC102" s="45" t="str">
        <f t="shared" si="193"/>
        <v>BS</v>
      </c>
      <c r="DD102" s="45" t="str">
        <f t="shared" si="194"/>
        <v>BS</v>
      </c>
      <c r="DE102" s="45" t="str">
        <f t="shared" si="195"/>
        <v>BS</v>
      </c>
      <c r="DF102" s="45" t="str">
        <f t="shared" si="196"/>
        <v>BS</v>
      </c>
      <c r="DG102" s="45" t="str">
        <f t="shared" si="197"/>
        <v>BS</v>
      </c>
      <c r="DH102" s="45" t="str">
        <f t="shared" si="198"/>
        <v>BS</v>
      </c>
      <c r="DI102" s="45" t="str">
        <f t="shared" si="199"/>
        <v>BS</v>
      </c>
      <c r="DJ102" s="45" t="str">
        <f t="shared" si="200"/>
        <v>BS</v>
      </c>
      <c r="DK102" s="45" t="str">
        <f t="shared" si="219"/>
        <v>BS</v>
      </c>
      <c r="DL102" s="45" t="str">
        <f t="shared" si="201"/>
        <v>BS</v>
      </c>
      <c r="DM102" s="45">
        <f t="shared" si="202"/>
        <v>0.28499999999999998</v>
      </c>
      <c r="DN102" s="45">
        <f t="shared" si="203"/>
        <v>0</v>
      </c>
      <c r="DO102" s="45">
        <f t="shared" si="204"/>
        <v>0</v>
      </c>
      <c r="DP102" s="45">
        <f t="shared" si="205"/>
        <v>0</v>
      </c>
      <c r="DQ102" s="45">
        <f t="shared" si="206"/>
        <v>0</v>
      </c>
      <c r="DR102" s="45">
        <f t="shared" si="207"/>
        <v>0</v>
      </c>
      <c r="DS102" s="45">
        <f t="shared" si="208"/>
        <v>0</v>
      </c>
      <c r="DT102" s="45">
        <f t="shared" si="209"/>
        <v>0</v>
      </c>
      <c r="DU102" s="45">
        <f t="shared" si="210"/>
        <v>0</v>
      </c>
      <c r="DV102" s="45">
        <f t="shared" si="211"/>
        <v>0</v>
      </c>
      <c r="DW102" s="45">
        <f t="shared" si="212"/>
        <v>0</v>
      </c>
      <c r="DX102" s="45">
        <f t="shared" si="213"/>
        <v>0</v>
      </c>
      <c r="DY102" s="41">
        <v>1</v>
      </c>
      <c r="DZ102" s="41">
        <v>0.7</v>
      </c>
      <c r="EA102" s="41">
        <v>1</v>
      </c>
      <c r="EB102" s="41">
        <v>1</v>
      </c>
      <c r="EC102" s="41"/>
      <c r="ED102" s="41"/>
      <c r="EE102" s="41"/>
      <c r="EF102" s="41"/>
      <c r="EG102" s="41"/>
      <c r="EH102" s="173" t="s">
        <v>1515</v>
      </c>
      <c r="EI102" s="59"/>
      <c r="EJ102" s="59">
        <f t="shared" si="214"/>
        <v>46387</v>
      </c>
      <c r="EK102" s="266"/>
      <c r="EL102" s="344"/>
      <c r="EM102" s="344"/>
      <c r="EN102" s="285"/>
      <c r="EO102" s="285"/>
      <c r="EP102" s="346"/>
      <c r="EQ102" s="285"/>
      <c r="ER102" s="346"/>
      <c r="ES102" s="346"/>
      <c r="ET102" s="285"/>
      <c r="EU102" s="285"/>
      <c r="EV102" s="346"/>
      <c r="EW102" s="346"/>
      <c r="EX102" s="346"/>
      <c r="EY102" s="346"/>
      <c r="EZ102" s="346"/>
      <c r="FA102" s="346"/>
      <c r="FB102" s="346"/>
      <c r="FC102" s="285"/>
      <c r="FD102" s="346"/>
      <c r="FE102" s="346"/>
      <c r="FF102" s="285"/>
      <c r="FG102" s="285"/>
      <c r="FH102" s="346"/>
      <c r="FI102" s="346"/>
      <c r="FJ102" s="346"/>
      <c r="FK102" s="346"/>
      <c r="FL102" s="347"/>
      <c r="FM102" s="172" t="s">
        <v>749</v>
      </c>
      <c r="FN102" s="172" t="s">
        <v>563</v>
      </c>
      <c r="FO102" s="172" t="s">
        <v>221</v>
      </c>
      <c r="FP102" s="172" t="s">
        <v>686</v>
      </c>
      <c r="FQ102" s="172" t="s">
        <v>399</v>
      </c>
      <c r="FR102" s="289" t="s">
        <v>184</v>
      </c>
      <c r="FS102" s="267" t="s">
        <v>677</v>
      </c>
      <c r="FT102" s="267" t="s">
        <v>1505</v>
      </c>
      <c r="FU102" s="48">
        <v>5</v>
      </c>
    </row>
    <row r="103" spans="1:177" s="16" customFormat="1" ht="112">
      <c r="A103" s="63" t="s">
        <v>754</v>
      </c>
      <c r="B103" s="48"/>
      <c r="C103" s="64" t="s">
        <v>206</v>
      </c>
      <c r="D103" s="225" t="s">
        <v>207</v>
      </c>
      <c r="E103" s="48" t="s">
        <v>743</v>
      </c>
      <c r="F103" s="227">
        <f>F102+1</f>
        <v>4</v>
      </c>
      <c r="G103" s="65" t="s">
        <v>744</v>
      </c>
      <c r="H103" s="65" t="s">
        <v>745</v>
      </c>
      <c r="I103" s="65" t="s">
        <v>755</v>
      </c>
      <c r="J103" s="48">
        <v>2025</v>
      </c>
      <c r="K103" s="48">
        <v>2027</v>
      </c>
      <c r="L103" s="48" t="s">
        <v>288</v>
      </c>
      <c r="M103" s="48" t="s">
        <v>173</v>
      </c>
      <c r="N103" s="48" t="s">
        <v>174</v>
      </c>
      <c r="O103" s="63" t="s">
        <v>747</v>
      </c>
      <c r="P103" s="63" t="s">
        <v>458</v>
      </c>
      <c r="Q103" s="63" t="s">
        <v>673</v>
      </c>
      <c r="R103" s="63" t="s">
        <v>744</v>
      </c>
      <c r="S103" s="63" t="str">
        <f t="shared" si="283"/>
        <v>Proses RBT-RBTD</v>
      </c>
      <c r="T103" s="63" t="str">
        <f t="shared" si="145"/>
        <v>On Progress</v>
      </c>
      <c r="U103" s="63" t="str">
        <f t="shared" si="284"/>
        <v>Rangga Dhaniarto</v>
      </c>
      <c r="V103" s="67">
        <f t="shared" si="285"/>
        <v>0.115</v>
      </c>
      <c r="W103" s="66" t="s">
        <v>260</v>
      </c>
      <c r="X103" s="59">
        <f t="shared" si="156"/>
        <v>46752</v>
      </c>
      <c r="Y103" s="68">
        <v>0</v>
      </c>
      <c r="Z103" s="48"/>
      <c r="AA103" s="350">
        <v>45992</v>
      </c>
      <c r="AB103" s="350">
        <v>46081</v>
      </c>
      <c r="AC103" s="350">
        <v>46082</v>
      </c>
      <c r="AD103" s="350">
        <v>46112</v>
      </c>
      <c r="AE103" s="350">
        <v>46082</v>
      </c>
      <c r="AF103" s="350">
        <v>46112</v>
      </c>
      <c r="AG103" s="274"/>
      <c r="AH103" s="274"/>
      <c r="AI103" s="245">
        <v>46113</v>
      </c>
      <c r="AJ103" s="245">
        <v>46203</v>
      </c>
      <c r="AK103" s="245">
        <v>46204</v>
      </c>
      <c r="AL103" s="245">
        <v>46599</v>
      </c>
      <c r="AM103" s="245">
        <v>46600</v>
      </c>
      <c r="AN103" s="245">
        <v>46660</v>
      </c>
      <c r="AO103" s="245">
        <v>46661</v>
      </c>
      <c r="AP103" s="245">
        <v>46721</v>
      </c>
      <c r="AQ103" s="245">
        <v>46722</v>
      </c>
      <c r="AR103" s="245">
        <v>46752</v>
      </c>
      <c r="AS103" s="63" t="str">
        <f t="shared" si="221"/>
        <v>Selesai RBT-RBL</v>
      </c>
      <c r="AT103" s="63" t="str">
        <f t="shared" si="222"/>
        <v>Selesai RBT-RBTD</v>
      </c>
      <c r="AU103" s="63" t="str">
        <f t="shared" si="223"/>
        <v>Selesai Pengadaan</v>
      </c>
      <c r="AV103" s="63" t="str">
        <f t="shared" si="224"/>
        <v>Proses Desain</v>
      </c>
      <c r="AW103" s="63" t="str">
        <f t="shared" si="225"/>
        <v>Proses Desain</v>
      </c>
      <c r="AX103" s="63" t="str">
        <f t="shared" si="226"/>
        <v>Selesai Desain</v>
      </c>
      <c r="AY103" s="63" t="str">
        <f t="shared" si="227"/>
        <v>Proses Pengembangan</v>
      </c>
      <c r="AZ103" s="63" t="str">
        <f t="shared" si="228"/>
        <v>Proses Pengembangan</v>
      </c>
      <c r="BA103" s="63" t="str">
        <f t="shared" si="229"/>
        <v>Proses Pengembangan</v>
      </c>
      <c r="BB103" s="63" t="str">
        <f t="shared" si="220"/>
        <v>Proses Pengembangan</v>
      </c>
      <c r="BC103" s="63" t="str">
        <f t="shared" si="217"/>
        <v>Proses Pengembangan</v>
      </c>
      <c r="BD103" s="63" t="str">
        <f t="shared" si="167"/>
        <v>Proses Pengembangan</v>
      </c>
      <c r="BE103" s="43">
        <v>0.1</v>
      </c>
      <c r="BF103" s="43">
        <v>0.15</v>
      </c>
      <c r="BG103" s="43">
        <v>0.3</v>
      </c>
      <c r="BH103" s="43">
        <v>0.35</v>
      </c>
      <c r="BI103" s="43">
        <v>0.4</v>
      </c>
      <c r="BJ103" s="43">
        <v>0.45</v>
      </c>
      <c r="BK103" s="43">
        <v>0.48</v>
      </c>
      <c r="BL103" s="43">
        <v>0.51</v>
      </c>
      <c r="BM103" s="43">
        <v>0.54</v>
      </c>
      <c r="BN103" s="43">
        <v>0.56999999999999995</v>
      </c>
      <c r="BO103" s="43">
        <v>0.6</v>
      </c>
      <c r="BP103" s="351">
        <v>0.63</v>
      </c>
      <c r="BQ103" s="63" t="str">
        <f t="shared" si="168"/>
        <v>Proses RBT-RBTD</v>
      </c>
      <c r="BR103" s="63" t="str">
        <f t="shared" si="169"/>
        <v>Not Started</v>
      </c>
      <c r="BS103" s="63" t="str">
        <f t="shared" si="170"/>
        <v>Not Started</v>
      </c>
      <c r="BT103" s="63" t="str">
        <f t="shared" si="171"/>
        <v>Not Started</v>
      </c>
      <c r="BU103" s="63" t="str">
        <f t="shared" si="172"/>
        <v>Not Started</v>
      </c>
      <c r="BV103" s="63" t="str">
        <f t="shared" si="173"/>
        <v>Not Started</v>
      </c>
      <c r="BW103" s="63" t="str">
        <f t="shared" si="174"/>
        <v>Not Started</v>
      </c>
      <c r="BX103" s="63" t="str">
        <f t="shared" si="175"/>
        <v>Not Started</v>
      </c>
      <c r="BY103" s="63" t="str">
        <f t="shared" si="176"/>
        <v>Not Started</v>
      </c>
      <c r="BZ103" s="63" t="str">
        <f t="shared" si="177"/>
        <v>Not Started</v>
      </c>
      <c r="CA103" s="63" t="str">
        <f t="shared" si="178"/>
        <v>Not Started</v>
      </c>
      <c r="CB103" s="63" t="str">
        <f t="shared" si="179"/>
        <v>Not Started</v>
      </c>
      <c r="CC103" s="44">
        <f t="shared" si="216"/>
        <v>0.115</v>
      </c>
      <c r="CD103" s="44"/>
      <c r="CE103" s="44"/>
      <c r="CF103" s="44"/>
      <c r="CG103" s="44"/>
      <c r="CH103" s="44"/>
      <c r="CI103" s="44"/>
      <c r="CJ103" s="44"/>
      <c r="CK103" s="44"/>
      <c r="CL103" s="44"/>
      <c r="CM103" s="44"/>
      <c r="CN103" s="44"/>
      <c r="CO103" s="45">
        <f t="shared" si="181"/>
        <v>1.1499999999999999</v>
      </c>
      <c r="CP103" s="45">
        <f t="shared" si="182"/>
        <v>0</v>
      </c>
      <c r="CQ103" s="45">
        <f t="shared" si="183"/>
        <v>0</v>
      </c>
      <c r="CR103" s="45">
        <f t="shared" si="184"/>
        <v>0</v>
      </c>
      <c r="CS103" s="45">
        <f t="shared" si="185"/>
        <v>0</v>
      </c>
      <c r="CT103" s="45">
        <f t="shared" si="186"/>
        <v>0</v>
      </c>
      <c r="CU103" s="45">
        <f t="shared" si="187"/>
        <v>0</v>
      </c>
      <c r="CV103" s="45">
        <f t="shared" si="188"/>
        <v>0</v>
      </c>
      <c r="CW103" s="45">
        <f t="shared" si="189"/>
        <v>0</v>
      </c>
      <c r="CX103" s="45">
        <f t="shared" si="190"/>
        <v>0</v>
      </c>
      <c r="CY103" s="45">
        <f t="shared" si="218"/>
        <v>0</v>
      </c>
      <c r="CZ103" s="45"/>
      <c r="DA103" s="45" t="str">
        <f t="shared" si="191"/>
        <v>AS</v>
      </c>
      <c r="DB103" s="45" t="str">
        <f t="shared" si="192"/>
        <v>BS</v>
      </c>
      <c r="DC103" s="45" t="str">
        <f t="shared" si="193"/>
        <v>BS</v>
      </c>
      <c r="DD103" s="45" t="str">
        <f t="shared" si="194"/>
        <v>BS</v>
      </c>
      <c r="DE103" s="45" t="str">
        <f t="shared" si="195"/>
        <v>BS</v>
      </c>
      <c r="DF103" s="45" t="str">
        <f t="shared" si="196"/>
        <v>BS</v>
      </c>
      <c r="DG103" s="45" t="str">
        <f t="shared" si="197"/>
        <v>BS</v>
      </c>
      <c r="DH103" s="45" t="str">
        <f t="shared" si="198"/>
        <v>BS</v>
      </c>
      <c r="DI103" s="45" t="str">
        <f t="shared" si="199"/>
        <v>BS</v>
      </c>
      <c r="DJ103" s="45" t="str">
        <f t="shared" si="200"/>
        <v>BS</v>
      </c>
      <c r="DK103" s="45" t="str">
        <f t="shared" si="219"/>
        <v>BS</v>
      </c>
      <c r="DL103" s="45" t="str">
        <f t="shared" si="201"/>
        <v>BS</v>
      </c>
      <c r="DM103" s="45">
        <f t="shared" si="202"/>
        <v>0.18253968253968256</v>
      </c>
      <c r="DN103" s="45">
        <f t="shared" si="203"/>
        <v>0</v>
      </c>
      <c r="DO103" s="45">
        <f t="shared" si="204"/>
        <v>0</v>
      </c>
      <c r="DP103" s="45">
        <f t="shared" si="205"/>
        <v>0</v>
      </c>
      <c r="DQ103" s="45">
        <f t="shared" si="206"/>
        <v>0</v>
      </c>
      <c r="DR103" s="45">
        <f t="shared" si="207"/>
        <v>0</v>
      </c>
      <c r="DS103" s="45">
        <f t="shared" si="208"/>
        <v>0</v>
      </c>
      <c r="DT103" s="45">
        <f t="shared" si="209"/>
        <v>0</v>
      </c>
      <c r="DU103" s="45">
        <f t="shared" si="210"/>
        <v>0</v>
      </c>
      <c r="DV103" s="45">
        <f t="shared" si="211"/>
        <v>0</v>
      </c>
      <c r="DW103" s="45">
        <f t="shared" si="212"/>
        <v>0</v>
      </c>
      <c r="DX103" s="45">
        <f t="shared" si="213"/>
        <v>0</v>
      </c>
      <c r="DY103" s="41">
        <v>0.1</v>
      </c>
      <c r="DZ103" s="41"/>
      <c r="EA103" s="41">
        <v>1</v>
      </c>
      <c r="EB103" s="41">
        <v>1</v>
      </c>
      <c r="EC103" s="41"/>
      <c r="ED103" s="41"/>
      <c r="EE103" s="41"/>
      <c r="EF103" s="41"/>
      <c r="EG103" s="41"/>
      <c r="EH103" s="174" t="s">
        <v>1501</v>
      </c>
      <c r="EI103" s="59"/>
      <c r="EJ103" s="59">
        <f t="shared" si="214"/>
        <v>46752</v>
      </c>
      <c r="EK103" s="266"/>
      <c r="EL103" s="344"/>
      <c r="EM103" s="344"/>
      <c r="EN103" s="285"/>
      <c r="EO103" s="285"/>
      <c r="EP103" s="346"/>
      <c r="EQ103" s="285"/>
      <c r="ER103" s="346"/>
      <c r="ES103" s="346"/>
      <c r="ET103" s="285"/>
      <c r="EU103" s="285"/>
      <c r="EV103" s="346"/>
      <c r="EW103" s="346"/>
      <c r="EX103" s="346"/>
      <c r="EY103" s="346"/>
      <c r="EZ103" s="346"/>
      <c r="FA103" s="346"/>
      <c r="FB103" s="346"/>
      <c r="FC103" s="285"/>
      <c r="FD103" s="346"/>
      <c r="FE103" s="346"/>
      <c r="FF103" s="285"/>
      <c r="FG103" s="285"/>
      <c r="FH103" s="346"/>
      <c r="FI103" s="346"/>
      <c r="FJ103" s="346"/>
      <c r="FK103" s="346"/>
      <c r="FL103" s="347"/>
      <c r="FM103" s="172" t="s">
        <v>749</v>
      </c>
      <c r="FN103" s="172" t="s">
        <v>563</v>
      </c>
      <c r="FO103" s="172" t="s">
        <v>221</v>
      </c>
      <c r="FP103" s="172" t="s">
        <v>686</v>
      </c>
      <c r="FQ103" s="172" t="s">
        <v>756</v>
      </c>
      <c r="FR103" s="289" t="s">
        <v>184</v>
      </c>
      <c r="FS103" s="267" t="s">
        <v>677</v>
      </c>
      <c r="FT103" s="267" t="s">
        <v>1505</v>
      </c>
      <c r="FU103" s="48">
        <v>5</v>
      </c>
    </row>
    <row r="104" spans="1:177" s="16" customFormat="1" ht="112">
      <c r="A104" s="63"/>
      <c r="B104" s="48"/>
      <c r="C104" s="64"/>
      <c r="D104" s="225" t="s">
        <v>207</v>
      </c>
      <c r="E104" s="48" t="s">
        <v>743</v>
      </c>
      <c r="F104" s="227">
        <f>F103+1</f>
        <v>5</v>
      </c>
      <c r="G104" s="293" t="s">
        <v>744</v>
      </c>
      <c r="H104" s="293" t="s">
        <v>745</v>
      </c>
      <c r="I104" s="65" t="s">
        <v>757</v>
      </c>
      <c r="J104" s="63">
        <v>2024</v>
      </c>
      <c r="K104" s="63">
        <v>2025</v>
      </c>
      <c r="L104" s="48" t="s">
        <v>288</v>
      </c>
      <c r="M104" s="48" t="s">
        <v>173</v>
      </c>
      <c r="N104" s="48" t="s">
        <v>174</v>
      </c>
      <c r="O104" s="48" t="s">
        <v>747</v>
      </c>
      <c r="P104" s="63" t="s">
        <v>458</v>
      </c>
      <c r="Q104" s="48" t="s">
        <v>673</v>
      </c>
      <c r="R104" s="48" t="s">
        <v>758</v>
      </c>
      <c r="S104" s="63" t="str">
        <f t="shared" si="283"/>
        <v>Selesai Implementasi</v>
      </c>
      <c r="T104" s="63" t="str">
        <f t="shared" si="145"/>
        <v>DONE</v>
      </c>
      <c r="U104" s="63" t="str">
        <f t="shared" si="284"/>
        <v>Rangga Dhaniarto</v>
      </c>
      <c r="V104" s="67">
        <f t="shared" si="285"/>
        <v>0.99999999999999989</v>
      </c>
      <c r="W104" s="59" t="s">
        <v>215</v>
      </c>
      <c r="X104" s="59">
        <f t="shared" si="156"/>
        <v>46022</v>
      </c>
      <c r="Y104" s="68"/>
      <c r="Z104" s="48" t="s">
        <v>179</v>
      </c>
      <c r="AA104" s="350">
        <v>45658</v>
      </c>
      <c r="AB104" s="245">
        <v>45747</v>
      </c>
      <c r="AC104" s="245"/>
      <c r="AD104" s="355"/>
      <c r="AE104" s="291"/>
      <c r="AF104" s="291"/>
      <c r="AG104" s="291"/>
      <c r="AH104" s="291"/>
      <c r="AI104" s="245">
        <v>45839</v>
      </c>
      <c r="AJ104" s="245">
        <v>45869</v>
      </c>
      <c r="AK104" s="245">
        <v>45870</v>
      </c>
      <c r="AL104" s="245">
        <v>45945</v>
      </c>
      <c r="AM104" s="245">
        <v>45946</v>
      </c>
      <c r="AN104" s="245">
        <v>45978</v>
      </c>
      <c r="AO104" s="245">
        <v>45979</v>
      </c>
      <c r="AP104" s="245">
        <v>46006</v>
      </c>
      <c r="AQ104" s="245">
        <v>46007</v>
      </c>
      <c r="AR104" s="245">
        <v>46022</v>
      </c>
      <c r="AS104" s="63" t="str">
        <f t="shared" si="221"/>
        <v>Selesai Implementasi</v>
      </c>
      <c r="AT104" s="63" t="str">
        <f t="shared" si="222"/>
        <v>Selesai Implementasi</v>
      </c>
      <c r="AU104" s="63" t="str">
        <f t="shared" si="223"/>
        <v>Selesai Implementasi</v>
      </c>
      <c r="AV104" s="63" t="str">
        <f t="shared" si="224"/>
        <v>Selesai Implementasi</v>
      </c>
      <c r="AW104" s="63" t="str">
        <f t="shared" si="225"/>
        <v>Selesai Implementasi</v>
      </c>
      <c r="AX104" s="63" t="str">
        <f t="shared" si="226"/>
        <v>Selesai Implementasi</v>
      </c>
      <c r="AY104" s="63" t="str">
        <f t="shared" si="227"/>
        <v>Selesai Implementasi</v>
      </c>
      <c r="AZ104" s="63" t="str">
        <f t="shared" si="228"/>
        <v>Selesai Implementasi</v>
      </c>
      <c r="BA104" s="63" t="str">
        <f t="shared" si="229"/>
        <v>Selesai Implementasi</v>
      </c>
      <c r="BB104" s="63" t="str">
        <f t="shared" si="220"/>
        <v>Selesai Implementasi</v>
      </c>
      <c r="BC104" s="63" t="str">
        <f t="shared" si="217"/>
        <v>Selesai Implementasi</v>
      </c>
      <c r="BD104" s="63" t="str">
        <f t="shared" si="167"/>
        <v>Selesai Implementasi</v>
      </c>
      <c r="BE104" s="351">
        <v>1</v>
      </c>
      <c r="BF104" s="351">
        <v>1</v>
      </c>
      <c r="BG104" s="351">
        <v>1</v>
      </c>
      <c r="BH104" s="351">
        <v>1</v>
      </c>
      <c r="BI104" s="351">
        <v>1</v>
      </c>
      <c r="BJ104" s="351">
        <v>1</v>
      </c>
      <c r="BK104" s="351">
        <v>1</v>
      </c>
      <c r="BL104" s="351">
        <v>1</v>
      </c>
      <c r="BM104" s="351">
        <v>1</v>
      </c>
      <c r="BN104" s="351">
        <v>1</v>
      </c>
      <c r="BO104" s="351">
        <v>1</v>
      </c>
      <c r="BP104" s="351">
        <v>1</v>
      </c>
      <c r="BQ104" s="63" t="str">
        <f t="shared" si="168"/>
        <v>Selesai Implementasi</v>
      </c>
      <c r="BR104" s="63" t="str">
        <f t="shared" si="169"/>
        <v>Not Started</v>
      </c>
      <c r="BS104" s="63" t="str">
        <f t="shared" si="170"/>
        <v>Not Started</v>
      </c>
      <c r="BT104" s="63" t="str">
        <f t="shared" si="171"/>
        <v>Not Started</v>
      </c>
      <c r="BU104" s="63" t="str">
        <f t="shared" si="172"/>
        <v>Not Started</v>
      </c>
      <c r="BV104" s="63" t="str">
        <f t="shared" si="173"/>
        <v>Not Started</v>
      </c>
      <c r="BW104" s="63" t="str">
        <f t="shared" si="174"/>
        <v>Not Started</v>
      </c>
      <c r="BX104" s="63" t="str">
        <f t="shared" si="175"/>
        <v>Not Started</v>
      </c>
      <c r="BY104" s="63" t="str">
        <f t="shared" si="176"/>
        <v>Not Started</v>
      </c>
      <c r="BZ104" s="63" t="str">
        <f t="shared" si="177"/>
        <v>Not Started</v>
      </c>
      <c r="CA104" s="63" t="str">
        <f t="shared" si="178"/>
        <v>Not Started</v>
      </c>
      <c r="CB104" s="63" t="str">
        <f t="shared" si="179"/>
        <v>Not Started</v>
      </c>
      <c r="CC104" s="44">
        <f t="shared" si="216"/>
        <v>0.99999999999999989</v>
      </c>
      <c r="CD104" s="44"/>
      <c r="CE104" s="44"/>
      <c r="CF104" s="44"/>
      <c r="CG104" s="44"/>
      <c r="CH104" s="44"/>
      <c r="CI104" s="44"/>
      <c r="CJ104" s="44"/>
      <c r="CK104" s="44"/>
      <c r="CL104" s="44"/>
      <c r="CM104" s="44"/>
      <c r="CN104" s="44"/>
      <c r="CO104" s="45">
        <f t="shared" si="181"/>
        <v>0.99999999999999989</v>
      </c>
      <c r="CP104" s="45">
        <f t="shared" si="182"/>
        <v>0</v>
      </c>
      <c r="CQ104" s="45">
        <f t="shared" si="183"/>
        <v>0</v>
      </c>
      <c r="CR104" s="45">
        <f t="shared" si="184"/>
        <v>0</v>
      </c>
      <c r="CS104" s="45">
        <f t="shared" si="185"/>
        <v>0</v>
      </c>
      <c r="CT104" s="45">
        <f t="shared" si="186"/>
        <v>0</v>
      </c>
      <c r="CU104" s="45">
        <f t="shared" si="187"/>
        <v>0</v>
      </c>
      <c r="CV104" s="45">
        <f t="shared" si="188"/>
        <v>0</v>
      </c>
      <c r="CW104" s="45">
        <f t="shared" si="189"/>
        <v>0</v>
      </c>
      <c r="CX104" s="45">
        <f t="shared" si="190"/>
        <v>0</v>
      </c>
      <c r="CY104" s="45">
        <f t="shared" si="218"/>
        <v>0</v>
      </c>
      <c r="CZ104" s="45"/>
      <c r="DA104" s="45" t="str">
        <f t="shared" si="191"/>
        <v>DONE</v>
      </c>
      <c r="DB104" s="45" t="str">
        <f t="shared" si="192"/>
        <v>BS</v>
      </c>
      <c r="DC104" s="45" t="str">
        <f t="shared" si="193"/>
        <v>BS</v>
      </c>
      <c r="DD104" s="45" t="str">
        <f t="shared" si="194"/>
        <v>BS</v>
      </c>
      <c r="DE104" s="45" t="str">
        <f t="shared" si="195"/>
        <v>BS</v>
      </c>
      <c r="DF104" s="45" t="str">
        <f t="shared" si="196"/>
        <v>BS</v>
      </c>
      <c r="DG104" s="45" t="str">
        <f t="shared" si="197"/>
        <v>BS</v>
      </c>
      <c r="DH104" s="45" t="str">
        <f t="shared" si="198"/>
        <v>BS</v>
      </c>
      <c r="DI104" s="45" t="str">
        <f t="shared" si="199"/>
        <v>BS</v>
      </c>
      <c r="DJ104" s="45" t="str">
        <f t="shared" si="200"/>
        <v>BS</v>
      </c>
      <c r="DK104" s="45" t="str">
        <f>IF(BN104=0%,"NS",IF(CM104=100%,"DONE",IF(CY104&gt;100%,"AS",IF(CY104&lt;75%,"BS",IF(CY104&lt;89.9%,"AR","OS")))))</f>
        <v>BS</v>
      </c>
      <c r="DL104" s="45" t="str">
        <f t="shared" si="201"/>
        <v>BS</v>
      </c>
      <c r="DM104" s="45">
        <f t="shared" si="202"/>
        <v>0.99999999999999989</v>
      </c>
      <c r="DN104" s="45">
        <f t="shared" si="203"/>
        <v>0</v>
      </c>
      <c r="DO104" s="45">
        <f t="shared" si="204"/>
        <v>0</v>
      </c>
      <c r="DP104" s="45">
        <f t="shared" si="205"/>
        <v>0</v>
      </c>
      <c r="DQ104" s="45">
        <f t="shared" si="206"/>
        <v>0</v>
      </c>
      <c r="DR104" s="45">
        <f t="shared" si="207"/>
        <v>0</v>
      </c>
      <c r="DS104" s="45">
        <f t="shared" si="208"/>
        <v>0</v>
      </c>
      <c r="DT104" s="45">
        <f t="shared" si="209"/>
        <v>0</v>
      </c>
      <c r="DU104" s="45">
        <f t="shared" si="210"/>
        <v>0</v>
      </c>
      <c r="DV104" s="45">
        <f t="shared" si="211"/>
        <v>0</v>
      </c>
      <c r="DW104" s="45">
        <f t="shared" si="212"/>
        <v>0</v>
      </c>
      <c r="DX104" s="45">
        <f t="shared" si="213"/>
        <v>0</v>
      </c>
      <c r="DY104" s="41">
        <v>1</v>
      </c>
      <c r="DZ104" s="41">
        <v>1</v>
      </c>
      <c r="EA104" s="41">
        <v>1</v>
      </c>
      <c r="EB104" s="41">
        <v>1</v>
      </c>
      <c r="EC104" s="41">
        <v>1</v>
      </c>
      <c r="ED104" s="41">
        <v>1</v>
      </c>
      <c r="EE104" s="41">
        <v>1</v>
      </c>
      <c r="EF104" s="41">
        <v>1</v>
      </c>
      <c r="EG104" s="41">
        <v>1</v>
      </c>
      <c r="EH104" s="472" t="s">
        <v>1610</v>
      </c>
      <c r="EI104" s="59"/>
      <c r="EJ104" s="59">
        <f t="shared" si="214"/>
        <v>46022</v>
      </c>
      <c r="EK104" s="266"/>
      <c r="EL104" s="344"/>
      <c r="EM104" s="344"/>
      <c r="EN104" s="285"/>
      <c r="EO104" s="285"/>
      <c r="EP104" s="346"/>
      <c r="EQ104" s="285"/>
      <c r="ER104" s="346"/>
      <c r="ES104" s="346"/>
      <c r="ET104" s="285"/>
      <c r="EU104" s="285"/>
      <c r="EV104" s="346"/>
      <c r="EW104" s="346"/>
      <c r="EX104" s="346"/>
      <c r="EY104" s="346"/>
      <c r="EZ104" s="346"/>
      <c r="FA104" s="346"/>
      <c r="FB104" s="346"/>
      <c r="FC104" s="285"/>
      <c r="FD104" s="346"/>
      <c r="FE104" s="346"/>
      <c r="FF104" s="285"/>
      <c r="FG104" s="285"/>
      <c r="FH104" s="346"/>
      <c r="FI104" s="346"/>
      <c r="FJ104" s="346"/>
      <c r="FK104" s="346"/>
      <c r="FL104" s="347"/>
      <c r="FM104" s="172" t="s">
        <v>749</v>
      </c>
      <c r="FN104" s="340" t="s">
        <v>563</v>
      </c>
      <c r="FO104" s="247"/>
      <c r="FP104" s="172" t="s">
        <v>686</v>
      </c>
      <c r="FQ104" s="247"/>
      <c r="FR104" s="289"/>
      <c r="FS104" s="267"/>
      <c r="FT104" s="267" t="s">
        <v>1505</v>
      </c>
      <c r="FU104" s="48"/>
    </row>
    <row r="105" spans="1:177" s="13" customFormat="1" ht="208">
      <c r="A105" s="63" t="s">
        <v>759</v>
      </c>
      <c r="B105" s="48" t="s">
        <v>468</v>
      </c>
      <c r="C105" s="64" t="s">
        <v>206</v>
      </c>
      <c r="D105" s="225" t="s">
        <v>207</v>
      </c>
      <c r="E105" s="63" t="s">
        <v>760</v>
      </c>
      <c r="F105" s="279">
        <v>1</v>
      </c>
      <c r="G105" s="220" t="s">
        <v>761</v>
      </c>
      <c r="H105" s="220" t="s">
        <v>762</v>
      </c>
      <c r="I105" s="185" t="s">
        <v>763</v>
      </c>
      <c r="J105" s="48">
        <v>2025</v>
      </c>
      <c r="K105" s="48">
        <v>2026</v>
      </c>
      <c r="L105" s="48" t="s">
        <v>352</v>
      </c>
      <c r="M105" s="48" t="s">
        <v>173</v>
      </c>
      <c r="N105" s="48" t="s">
        <v>174</v>
      </c>
      <c r="O105" s="63" t="s">
        <v>764</v>
      </c>
      <c r="P105" s="63" t="s">
        <v>458</v>
      </c>
      <c r="Q105" s="63" t="s">
        <v>297</v>
      </c>
      <c r="R105" s="63" t="s">
        <v>765</v>
      </c>
      <c r="S105" s="63" t="str">
        <f t="shared" si="283"/>
        <v>Proses RBT-RBL</v>
      </c>
      <c r="T105" s="63" t="str">
        <f t="shared" si="145"/>
        <v>On Progress</v>
      </c>
      <c r="U105" s="63" t="str">
        <f t="shared" si="284"/>
        <v>Helen Desyani</v>
      </c>
      <c r="V105" s="67">
        <f t="shared" si="285"/>
        <v>0.09</v>
      </c>
      <c r="W105" s="66" t="s">
        <v>260</v>
      </c>
      <c r="X105" s="59">
        <f t="shared" si="156"/>
        <v>46387</v>
      </c>
      <c r="Y105" s="68">
        <v>1</v>
      </c>
      <c r="Z105" s="48"/>
      <c r="AA105" s="62">
        <v>45931</v>
      </c>
      <c r="AB105" s="42">
        <v>46053</v>
      </c>
      <c r="AC105" s="42">
        <v>46054</v>
      </c>
      <c r="AD105" s="42">
        <v>46081</v>
      </c>
      <c r="AE105" s="42">
        <v>46082</v>
      </c>
      <c r="AF105" s="42">
        <v>46112</v>
      </c>
      <c r="AG105" s="42"/>
      <c r="AH105" s="42"/>
      <c r="AI105" s="42">
        <v>46113</v>
      </c>
      <c r="AJ105" s="42">
        <v>46142</v>
      </c>
      <c r="AK105" s="42">
        <v>46143</v>
      </c>
      <c r="AL105" s="42">
        <v>46265</v>
      </c>
      <c r="AM105" s="42">
        <v>46266</v>
      </c>
      <c r="AN105" s="42">
        <v>46310</v>
      </c>
      <c r="AO105" s="42">
        <v>46311</v>
      </c>
      <c r="AP105" s="42">
        <v>46356</v>
      </c>
      <c r="AQ105" s="42">
        <v>46357</v>
      </c>
      <c r="AR105" s="339">
        <v>46387</v>
      </c>
      <c r="AS105" s="63" t="str">
        <f t="shared" si="221"/>
        <v>Selesai RBT-RBTD</v>
      </c>
      <c r="AT105" s="63" t="str">
        <f t="shared" si="222"/>
        <v>Selesai RPP</v>
      </c>
      <c r="AU105" s="63" t="str">
        <f t="shared" si="223"/>
        <v>Selesai Pengadaan</v>
      </c>
      <c r="AV105" s="63" t="str">
        <f t="shared" si="224"/>
        <v>Selesai Desain</v>
      </c>
      <c r="AW105" s="63" t="str">
        <f t="shared" si="225"/>
        <v>Proses Pengembangan</v>
      </c>
      <c r="AX105" s="63" t="str">
        <f t="shared" si="226"/>
        <v>Proses Pengembangan</v>
      </c>
      <c r="AY105" s="63" t="str">
        <f t="shared" si="227"/>
        <v>Proses Pengembangan</v>
      </c>
      <c r="AZ105" s="63" t="str">
        <f t="shared" si="228"/>
        <v>Selesai Pengembangan</v>
      </c>
      <c r="BA105" s="63" t="str">
        <f t="shared" si="229"/>
        <v>Proses SIT</v>
      </c>
      <c r="BB105" s="63" t="str">
        <f t="shared" si="220"/>
        <v>Proses UAT</v>
      </c>
      <c r="BC105" s="63" t="str">
        <f t="shared" si="217"/>
        <v>Selesai UAT</v>
      </c>
      <c r="BD105" s="63" t="str">
        <f t="shared" si="167"/>
        <v>Selesai Implementasi</v>
      </c>
      <c r="BE105" s="43">
        <v>0.15</v>
      </c>
      <c r="BF105" s="43">
        <v>0.2</v>
      </c>
      <c r="BG105" s="43">
        <v>0.3</v>
      </c>
      <c r="BH105" s="43">
        <v>0.45</v>
      </c>
      <c r="BI105" s="509">
        <v>0.54</v>
      </c>
      <c r="BJ105" s="43">
        <v>0.63</v>
      </c>
      <c r="BK105" s="43">
        <v>0.72</v>
      </c>
      <c r="BL105" s="43">
        <v>0.8</v>
      </c>
      <c r="BM105" s="43">
        <v>0.84</v>
      </c>
      <c r="BN105" s="43">
        <v>0.9</v>
      </c>
      <c r="BO105" s="43">
        <v>0.95</v>
      </c>
      <c r="BP105" s="43">
        <v>1</v>
      </c>
      <c r="BQ105" s="63" t="str">
        <f t="shared" si="168"/>
        <v>Proses RBT-RBL</v>
      </c>
      <c r="BR105" s="63" t="str">
        <f t="shared" si="169"/>
        <v>Not Started</v>
      </c>
      <c r="BS105" s="63" t="str">
        <f t="shared" si="170"/>
        <v>Not Started</v>
      </c>
      <c r="BT105" s="63" t="str">
        <f t="shared" si="171"/>
        <v>Not Started</v>
      </c>
      <c r="BU105" s="63" t="str">
        <f t="shared" si="172"/>
        <v>Not Started</v>
      </c>
      <c r="BV105" s="63" t="str">
        <f t="shared" si="173"/>
        <v>Not Started</v>
      </c>
      <c r="BW105" s="63" t="str">
        <f t="shared" si="174"/>
        <v>Not Started</v>
      </c>
      <c r="BX105" s="63" t="str">
        <f t="shared" si="175"/>
        <v>Not Started</v>
      </c>
      <c r="BY105" s="63" t="str">
        <f t="shared" si="176"/>
        <v>Not Started</v>
      </c>
      <c r="BZ105" s="63" t="str">
        <f t="shared" si="177"/>
        <v>Not Started</v>
      </c>
      <c r="CA105" s="63" t="str">
        <f t="shared" si="178"/>
        <v>Not Started</v>
      </c>
      <c r="CB105" s="63" t="str">
        <f t="shared" si="179"/>
        <v>Not Started</v>
      </c>
      <c r="CC105" s="44">
        <f t="shared" si="216"/>
        <v>0.09</v>
      </c>
      <c r="CD105" s="44"/>
      <c r="CE105" s="44"/>
      <c r="CF105" s="44"/>
      <c r="CG105" s="44"/>
      <c r="CH105" s="44"/>
      <c r="CI105" s="44"/>
      <c r="CJ105" s="44"/>
      <c r="CK105" s="44"/>
      <c r="CL105" s="44"/>
      <c r="CM105" s="44"/>
      <c r="CN105" s="44"/>
      <c r="CO105" s="45">
        <f t="shared" si="181"/>
        <v>0.6</v>
      </c>
      <c r="CP105" s="45">
        <f t="shared" si="182"/>
        <v>0</v>
      </c>
      <c r="CQ105" s="45">
        <f t="shared" si="183"/>
        <v>0</v>
      </c>
      <c r="CR105" s="45">
        <f t="shared" si="184"/>
        <v>0</v>
      </c>
      <c r="CS105" s="45">
        <f t="shared" si="185"/>
        <v>0</v>
      </c>
      <c r="CT105" s="45">
        <f t="shared" si="186"/>
        <v>0</v>
      </c>
      <c r="CU105" s="45">
        <f t="shared" si="187"/>
        <v>0</v>
      </c>
      <c r="CV105" s="45">
        <f t="shared" si="188"/>
        <v>0</v>
      </c>
      <c r="CW105" s="45">
        <f t="shared" si="189"/>
        <v>0</v>
      </c>
      <c r="CX105" s="45">
        <f t="shared" si="190"/>
        <v>0</v>
      </c>
      <c r="CY105" s="45">
        <f t="shared" si="218"/>
        <v>0</v>
      </c>
      <c r="CZ105" s="45"/>
      <c r="DA105" s="45" t="str">
        <f t="shared" si="191"/>
        <v>BS</v>
      </c>
      <c r="DB105" s="45" t="str">
        <f t="shared" si="192"/>
        <v>BS</v>
      </c>
      <c r="DC105" s="45" t="str">
        <f t="shared" si="193"/>
        <v>BS</v>
      </c>
      <c r="DD105" s="45" t="str">
        <f t="shared" si="194"/>
        <v>BS</v>
      </c>
      <c r="DE105" s="45" t="str">
        <f t="shared" si="195"/>
        <v>BS</v>
      </c>
      <c r="DF105" s="45" t="str">
        <f t="shared" si="196"/>
        <v>BS</v>
      </c>
      <c r="DG105" s="45" t="str">
        <f t="shared" si="197"/>
        <v>BS</v>
      </c>
      <c r="DH105" s="45" t="str">
        <f t="shared" si="198"/>
        <v>BS</v>
      </c>
      <c r="DI105" s="45" t="str">
        <f t="shared" si="199"/>
        <v>BS</v>
      </c>
      <c r="DJ105" s="45" t="str">
        <f t="shared" si="200"/>
        <v>BS</v>
      </c>
      <c r="DK105" s="45" t="str">
        <f t="shared" ref="DK105:DK136" si="286">IF(BO105=0%,"NS",IF(CM105=100%,"DONE",IF(CY105&gt;100%,"AS",IF(CY105&lt;75%,"BS",IF(CY105&lt;89.9%,"AR","OS")))))</f>
        <v>BS</v>
      </c>
      <c r="DL105" s="45" t="str">
        <f t="shared" si="201"/>
        <v>BS</v>
      </c>
      <c r="DM105" s="45">
        <f t="shared" si="202"/>
        <v>0.09</v>
      </c>
      <c r="DN105" s="45">
        <f t="shared" si="203"/>
        <v>0</v>
      </c>
      <c r="DO105" s="45">
        <f t="shared" si="204"/>
        <v>0</v>
      </c>
      <c r="DP105" s="45">
        <f t="shared" si="205"/>
        <v>0</v>
      </c>
      <c r="DQ105" s="45">
        <f t="shared" si="206"/>
        <v>0</v>
      </c>
      <c r="DR105" s="45">
        <f t="shared" si="207"/>
        <v>0</v>
      </c>
      <c r="DS105" s="45">
        <f t="shared" si="208"/>
        <v>0</v>
      </c>
      <c r="DT105" s="45">
        <f t="shared" si="209"/>
        <v>0</v>
      </c>
      <c r="DU105" s="45">
        <f t="shared" si="210"/>
        <v>0</v>
      </c>
      <c r="DV105" s="45">
        <f t="shared" si="211"/>
        <v>0</v>
      </c>
      <c r="DW105" s="45">
        <f t="shared" si="212"/>
        <v>0</v>
      </c>
      <c r="DX105" s="45">
        <f t="shared" si="213"/>
        <v>0</v>
      </c>
      <c r="DY105" s="41">
        <v>0.6</v>
      </c>
      <c r="DZ105" s="41"/>
      <c r="EA105" s="41"/>
      <c r="EB105" s="41"/>
      <c r="EC105" s="41"/>
      <c r="ED105" s="41"/>
      <c r="EE105" s="41"/>
      <c r="EF105" s="41"/>
      <c r="EG105" s="441"/>
      <c r="EH105" s="133" t="s">
        <v>1488</v>
      </c>
      <c r="EI105" s="222"/>
      <c r="EJ105" s="59">
        <f t="shared" si="214"/>
        <v>46387</v>
      </c>
      <c r="EK105" s="229"/>
      <c r="EL105" s="230"/>
      <c r="EM105" s="229"/>
      <c r="EN105" s="222"/>
      <c r="EO105" s="222"/>
      <c r="EP105" s="222"/>
      <c r="EQ105" s="231"/>
      <c r="ER105" s="213"/>
      <c r="ES105" s="220"/>
      <c r="ET105" s="220"/>
      <c r="EU105" s="220"/>
      <c r="EV105" s="220"/>
      <c r="EW105" s="220"/>
      <c r="EX105" s="220"/>
      <c r="EY105" s="220"/>
      <c r="EZ105" s="220"/>
      <c r="FA105" s="220"/>
      <c r="FB105" s="222"/>
      <c r="FC105" s="222"/>
      <c r="FD105" s="222"/>
      <c r="FE105" s="220"/>
      <c r="FF105" s="220"/>
      <c r="FG105" s="222"/>
      <c r="FH105" s="220"/>
      <c r="FI105" s="220"/>
      <c r="FJ105" s="220"/>
      <c r="FK105" s="220"/>
      <c r="FL105" s="215"/>
      <c r="FM105" s="172" t="s">
        <v>1584</v>
      </c>
      <c r="FN105" s="237" t="s">
        <v>230</v>
      </c>
      <c r="FO105" s="224" t="s">
        <v>300</v>
      </c>
      <c r="FP105" s="172" t="s">
        <v>766</v>
      </c>
      <c r="FQ105" s="172" t="s">
        <v>328</v>
      </c>
      <c r="FR105" s="289" t="s">
        <v>549</v>
      </c>
      <c r="FS105" s="267" t="s">
        <v>767</v>
      </c>
      <c r="FT105" s="354" t="s">
        <v>346</v>
      </c>
      <c r="FU105" s="48">
        <v>4</v>
      </c>
    </row>
    <row r="106" spans="1:177" s="16" customFormat="1" ht="144">
      <c r="A106" s="63" t="s">
        <v>768</v>
      </c>
      <c r="B106" s="48" t="s">
        <v>468</v>
      </c>
      <c r="C106" s="64" t="s">
        <v>206</v>
      </c>
      <c r="D106" s="225" t="s">
        <v>207</v>
      </c>
      <c r="E106" s="63" t="s">
        <v>769</v>
      </c>
      <c r="F106" s="279">
        <v>1</v>
      </c>
      <c r="G106" s="220" t="s">
        <v>770</v>
      </c>
      <c r="H106" s="220" t="s">
        <v>770</v>
      </c>
      <c r="I106" s="185" t="s">
        <v>771</v>
      </c>
      <c r="J106" s="48">
        <v>2025</v>
      </c>
      <c r="K106" s="48">
        <v>2027</v>
      </c>
      <c r="L106" s="48" t="s">
        <v>288</v>
      </c>
      <c r="M106" s="48" t="s">
        <v>173</v>
      </c>
      <c r="N106" s="48" t="s">
        <v>174</v>
      </c>
      <c r="O106" s="63" t="s">
        <v>772</v>
      </c>
      <c r="P106" s="63" t="s">
        <v>458</v>
      </c>
      <c r="Q106" s="63" t="s">
        <v>213</v>
      </c>
      <c r="R106" s="48" t="s">
        <v>770</v>
      </c>
      <c r="S106" s="63" t="str">
        <f t="shared" si="283"/>
        <v>Selesai KAK</v>
      </c>
      <c r="T106" s="63" t="str">
        <f t="shared" si="145"/>
        <v>On Progress</v>
      </c>
      <c r="U106" s="63" t="str">
        <f t="shared" si="284"/>
        <v>Helen Desyani</v>
      </c>
      <c r="V106" s="67">
        <f t="shared" si="285"/>
        <v>0.25</v>
      </c>
      <c r="W106" s="66" t="s">
        <v>243</v>
      </c>
      <c r="X106" s="59">
        <f t="shared" si="156"/>
        <v>46477</v>
      </c>
      <c r="Y106" s="68">
        <v>1</v>
      </c>
      <c r="Z106" s="48"/>
      <c r="AA106" s="62">
        <v>45748</v>
      </c>
      <c r="AB106" s="42">
        <v>45838</v>
      </c>
      <c r="AC106" s="42">
        <v>45839</v>
      </c>
      <c r="AD106" s="42">
        <v>45900</v>
      </c>
      <c r="AE106" s="42">
        <v>45839</v>
      </c>
      <c r="AF106" s="42">
        <v>45900</v>
      </c>
      <c r="AG106" s="42">
        <v>45901</v>
      </c>
      <c r="AH106" s="42">
        <v>46112</v>
      </c>
      <c r="AI106" s="42">
        <v>46113</v>
      </c>
      <c r="AJ106" s="42">
        <v>46142</v>
      </c>
      <c r="AK106" s="42">
        <v>46143</v>
      </c>
      <c r="AL106" s="42">
        <v>46326</v>
      </c>
      <c r="AM106" s="42">
        <v>46327</v>
      </c>
      <c r="AN106" s="42">
        <v>46387</v>
      </c>
      <c r="AO106" s="42">
        <v>46388</v>
      </c>
      <c r="AP106" s="42">
        <v>46446</v>
      </c>
      <c r="AQ106" s="42">
        <v>46447</v>
      </c>
      <c r="AR106" s="42">
        <v>46477</v>
      </c>
      <c r="AS106" s="63" t="str">
        <f t="shared" si="221"/>
        <v>Proses Pengadaan</v>
      </c>
      <c r="AT106" s="63" t="str">
        <f t="shared" si="222"/>
        <v>Proses Pengadaan</v>
      </c>
      <c r="AU106" s="63" t="str">
        <f t="shared" si="223"/>
        <v>Selesai Pengadaan</v>
      </c>
      <c r="AV106" s="63" t="str">
        <f t="shared" si="224"/>
        <v>Selesai Desain</v>
      </c>
      <c r="AW106" s="63" t="str">
        <f t="shared" si="225"/>
        <v>Proses Pengembangan</v>
      </c>
      <c r="AX106" s="63" t="str">
        <f t="shared" si="226"/>
        <v>Proses Pengembangan</v>
      </c>
      <c r="AY106" s="63" t="str">
        <f t="shared" si="227"/>
        <v>Proses Pengembangan</v>
      </c>
      <c r="AZ106" s="63" t="str">
        <f t="shared" si="228"/>
        <v>Proses Pengembangan</v>
      </c>
      <c r="BA106" s="63" t="str">
        <f t="shared" si="229"/>
        <v>Proses Pengembangan</v>
      </c>
      <c r="BB106" s="63" t="str">
        <f t="shared" si="220"/>
        <v>Selesai Pengembangan</v>
      </c>
      <c r="BC106" s="63" t="str">
        <f t="shared" si="217"/>
        <v>Proses SIT</v>
      </c>
      <c r="BD106" s="63" t="str">
        <f t="shared" si="167"/>
        <v>Proses SIT</v>
      </c>
      <c r="BE106" s="43">
        <v>0.28000000000000003</v>
      </c>
      <c r="BF106" s="43">
        <v>0.28999999999999998</v>
      </c>
      <c r="BG106" s="43">
        <v>0.3</v>
      </c>
      <c r="BH106" s="43">
        <v>0.45</v>
      </c>
      <c r="BI106" s="43">
        <v>0.51</v>
      </c>
      <c r="BJ106" s="43">
        <v>0.56999999999999995</v>
      </c>
      <c r="BK106" s="43">
        <v>0.63</v>
      </c>
      <c r="BL106" s="43">
        <v>0.69</v>
      </c>
      <c r="BM106" s="43">
        <v>0.75</v>
      </c>
      <c r="BN106" s="43">
        <v>0.8</v>
      </c>
      <c r="BO106" s="43">
        <v>0.84</v>
      </c>
      <c r="BP106" s="43">
        <v>0.87</v>
      </c>
      <c r="BQ106" s="63" t="str">
        <f t="shared" si="168"/>
        <v>Selesai KAK</v>
      </c>
      <c r="BR106" s="63" t="str">
        <f t="shared" si="169"/>
        <v>Not Started</v>
      </c>
      <c r="BS106" s="63" t="str">
        <f t="shared" si="170"/>
        <v>Not Started</v>
      </c>
      <c r="BT106" s="63" t="str">
        <f t="shared" si="171"/>
        <v>Not Started</v>
      </c>
      <c r="BU106" s="63" t="str">
        <f t="shared" si="172"/>
        <v>Not Started</v>
      </c>
      <c r="BV106" s="63" t="str">
        <f t="shared" si="173"/>
        <v>Not Started</v>
      </c>
      <c r="BW106" s="63" t="str">
        <f t="shared" si="174"/>
        <v>Not Started</v>
      </c>
      <c r="BX106" s="63" t="str">
        <f t="shared" si="175"/>
        <v>Not Started</v>
      </c>
      <c r="BY106" s="63" t="str">
        <f t="shared" si="176"/>
        <v>Not Started</v>
      </c>
      <c r="BZ106" s="63" t="str">
        <f t="shared" si="177"/>
        <v>Not Started</v>
      </c>
      <c r="CA106" s="63" t="str">
        <f t="shared" si="178"/>
        <v>Not Started</v>
      </c>
      <c r="CB106" s="63" t="str">
        <f t="shared" si="179"/>
        <v>Not Started</v>
      </c>
      <c r="CC106" s="44">
        <f t="shared" si="216"/>
        <v>0.25</v>
      </c>
      <c r="CD106" s="44"/>
      <c r="CE106" s="44"/>
      <c r="CF106" s="44"/>
      <c r="CG106" s="44"/>
      <c r="CH106" s="44"/>
      <c r="CI106" s="44"/>
      <c r="CJ106" s="44"/>
      <c r="CK106" s="44"/>
      <c r="CL106" s="44"/>
      <c r="CM106" s="44"/>
      <c r="CN106" s="44"/>
      <c r="CO106" s="45">
        <f t="shared" si="181"/>
        <v>0.89285714285714279</v>
      </c>
      <c r="CP106" s="45">
        <f t="shared" si="182"/>
        <v>0</v>
      </c>
      <c r="CQ106" s="45">
        <f t="shared" si="183"/>
        <v>0</v>
      </c>
      <c r="CR106" s="45">
        <f t="shared" si="184"/>
        <v>0</v>
      </c>
      <c r="CS106" s="45">
        <f t="shared" si="185"/>
        <v>0</v>
      </c>
      <c r="CT106" s="45">
        <f t="shared" si="186"/>
        <v>0</v>
      </c>
      <c r="CU106" s="45">
        <f t="shared" si="187"/>
        <v>0</v>
      </c>
      <c r="CV106" s="45">
        <f t="shared" si="188"/>
        <v>0</v>
      </c>
      <c r="CW106" s="45">
        <f t="shared" si="189"/>
        <v>0</v>
      </c>
      <c r="CX106" s="45">
        <f t="shared" si="190"/>
        <v>0</v>
      </c>
      <c r="CY106" s="45">
        <f t="shared" si="218"/>
        <v>0</v>
      </c>
      <c r="CZ106" s="45"/>
      <c r="DA106" s="45" t="str">
        <f t="shared" si="191"/>
        <v>AR</v>
      </c>
      <c r="DB106" s="45" t="str">
        <f t="shared" si="192"/>
        <v>BS</v>
      </c>
      <c r="DC106" s="45" t="str">
        <f t="shared" si="193"/>
        <v>BS</v>
      </c>
      <c r="DD106" s="45" t="str">
        <f t="shared" si="194"/>
        <v>BS</v>
      </c>
      <c r="DE106" s="45" t="str">
        <f t="shared" si="195"/>
        <v>BS</v>
      </c>
      <c r="DF106" s="45" t="str">
        <f t="shared" si="196"/>
        <v>BS</v>
      </c>
      <c r="DG106" s="45" t="str">
        <f t="shared" si="197"/>
        <v>BS</v>
      </c>
      <c r="DH106" s="45" t="str">
        <f t="shared" si="198"/>
        <v>BS</v>
      </c>
      <c r="DI106" s="45" t="str">
        <f t="shared" si="199"/>
        <v>BS</v>
      </c>
      <c r="DJ106" s="45" t="str">
        <f t="shared" si="200"/>
        <v>BS</v>
      </c>
      <c r="DK106" s="45" t="str">
        <f t="shared" si="286"/>
        <v>BS</v>
      </c>
      <c r="DL106" s="45" t="str">
        <f t="shared" si="201"/>
        <v>BS</v>
      </c>
      <c r="DM106" s="45">
        <f t="shared" si="202"/>
        <v>0.28735632183908044</v>
      </c>
      <c r="DN106" s="45">
        <f t="shared" si="203"/>
        <v>0</v>
      </c>
      <c r="DO106" s="45">
        <f t="shared" si="204"/>
        <v>0</v>
      </c>
      <c r="DP106" s="45">
        <f t="shared" si="205"/>
        <v>0</v>
      </c>
      <c r="DQ106" s="45">
        <f t="shared" si="206"/>
        <v>0</v>
      </c>
      <c r="DR106" s="45">
        <f t="shared" si="207"/>
        <v>0</v>
      </c>
      <c r="DS106" s="45">
        <f t="shared" si="208"/>
        <v>0</v>
      </c>
      <c r="DT106" s="45">
        <f t="shared" si="209"/>
        <v>0</v>
      </c>
      <c r="DU106" s="45">
        <f t="shared" si="210"/>
        <v>0</v>
      </c>
      <c r="DV106" s="45">
        <f t="shared" si="211"/>
        <v>0</v>
      </c>
      <c r="DW106" s="45">
        <f t="shared" si="212"/>
        <v>0</v>
      </c>
      <c r="DX106" s="45">
        <f t="shared" si="213"/>
        <v>0</v>
      </c>
      <c r="DY106" s="46">
        <v>1</v>
      </c>
      <c r="DZ106" s="41">
        <v>0.8</v>
      </c>
      <c r="EA106" s="41">
        <v>1</v>
      </c>
      <c r="EB106" s="41">
        <v>0.2</v>
      </c>
      <c r="EC106" s="41"/>
      <c r="ED106" s="41"/>
      <c r="EE106" s="41"/>
      <c r="EF106" s="41"/>
      <c r="EG106" s="41"/>
      <c r="EH106" s="133" t="s">
        <v>1586</v>
      </c>
      <c r="EI106" s="222"/>
      <c r="EJ106" s="59">
        <f t="shared" si="214"/>
        <v>46477</v>
      </c>
      <c r="EK106" s="229"/>
      <c r="EL106" s="230"/>
      <c r="EM106" s="229"/>
      <c r="EN106" s="222"/>
      <c r="EO106" s="222"/>
      <c r="EP106" s="222"/>
      <c r="EQ106" s="231"/>
      <c r="ER106" s="213"/>
      <c r="ES106" s="220"/>
      <c r="ET106" s="220"/>
      <c r="EU106" s="220"/>
      <c r="EV106" s="220"/>
      <c r="EW106" s="220"/>
      <c r="EX106" s="220"/>
      <c r="EY106" s="220"/>
      <c r="EZ106" s="220"/>
      <c r="FA106" s="220"/>
      <c r="FB106" s="222"/>
      <c r="FC106" s="222"/>
      <c r="FD106" s="222"/>
      <c r="FE106" s="220"/>
      <c r="FF106" s="220"/>
      <c r="FG106" s="222"/>
      <c r="FH106" s="220"/>
      <c r="FI106" s="220"/>
      <c r="FJ106" s="220"/>
      <c r="FK106" s="220"/>
      <c r="FL106" s="215"/>
      <c r="FM106" s="172" t="s">
        <v>773</v>
      </c>
      <c r="FN106" s="237" t="s">
        <v>230</v>
      </c>
      <c r="FO106" s="172" t="s">
        <v>221</v>
      </c>
      <c r="FP106" s="172" t="s">
        <v>222</v>
      </c>
      <c r="FQ106" s="172" t="s">
        <v>756</v>
      </c>
      <c r="FR106" s="289" t="s">
        <v>549</v>
      </c>
      <c r="FS106" s="267"/>
      <c r="FT106" s="261" t="s">
        <v>774</v>
      </c>
      <c r="FU106" s="48">
        <v>6</v>
      </c>
    </row>
    <row r="107" spans="1:177" s="16" customFormat="1" ht="144">
      <c r="A107" s="63"/>
      <c r="B107" s="48" t="s">
        <v>468</v>
      </c>
      <c r="C107" s="64" t="s">
        <v>206</v>
      </c>
      <c r="D107" s="225" t="s">
        <v>207</v>
      </c>
      <c r="E107" s="63" t="s">
        <v>769</v>
      </c>
      <c r="F107" s="279">
        <f>F106+1</f>
        <v>2</v>
      </c>
      <c r="G107" s="220" t="s">
        <v>770</v>
      </c>
      <c r="H107" s="220" t="s">
        <v>770</v>
      </c>
      <c r="I107" s="185" t="s">
        <v>775</v>
      </c>
      <c r="J107" s="48">
        <v>2026</v>
      </c>
      <c r="K107" s="48">
        <v>2027</v>
      </c>
      <c r="L107" s="48" t="s">
        <v>288</v>
      </c>
      <c r="M107" s="48" t="s">
        <v>173</v>
      </c>
      <c r="N107" s="48" t="s">
        <v>174</v>
      </c>
      <c r="O107" s="63" t="s">
        <v>772</v>
      </c>
      <c r="P107" s="63" t="s">
        <v>458</v>
      </c>
      <c r="Q107" s="63" t="s">
        <v>213</v>
      </c>
      <c r="R107" s="48" t="s">
        <v>770</v>
      </c>
      <c r="S107" s="63" t="str">
        <f t="shared" si="283"/>
        <v>Not Started</v>
      </c>
      <c r="T107" s="63" t="str">
        <f t="shared" si="145"/>
        <v>Not Started</v>
      </c>
      <c r="U107" s="63" t="str">
        <f t="shared" si="284"/>
        <v>Helen Desyani</v>
      </c>
      <c r="V107" s="67">
        <f t="shared" si="285"/>
        <v>0</v>
      </c>
      <c r="W107" s="66" t="s">
        <v>237</v>
      </c>
      <c r="X107" s="59">
        <f t="shared" si="156"/>
        <v>46660</v>
      </c>
      <c r="Y107" s="68"/>
      <c r="Z107" s="48" t="s">
        <v>179</v>
      </c>
      <c r="AA107" s="62">
        <v>46296</v>
      </c>
      <c r="AB107" s="62">
        <v>46387</v>
      </c>
      <c r="AC107" s="62">
        <v>46388</v>
      </c>
      <c r="AD107" s="62">
        <v>46402</v>
      </c>
      <c r="AE107" s="62">
        <v>46403</v>
      </c>
      <c r="AF107" s="62">
        <v>46418</v>
      </c>
      <c r="AG107" s="42"/>
      <c r="AH107" s="42"/>
      <c r="AI107" s="62">
        <v>46419</v>
      </c>
      <c r="AJ107" s="62">
        <v>46433</v>
      </c>
      <c r="AK107" s="62">
        <v>46434</v>
      </c>
      <c r="AL107" s="62">
        <v>46538</v>
      </c>
      <c r="AM107" s="62">
        <v>46539</v>
      </c>
      <c r="AN107" s="62">
        <v>46583</v>
      </c>
      <c r="AO107" s="62">
        <v>46584</v>
      </c>
      <c r="AP107" s="62">
        <v>46630</v>
      </c>
      <c r="AQ107" s="62">
        <v>46631</v>
      </c>
      <c r="AR107" s="62">
        <v>46660</v>
      </c>
      <c r="AS107" s="63" t="str">
        <f t="shared" si="221"/>
        <v>Not Started</v>
      </c>
      <c r="AT107" s="63" t="str">
        <f t="shared" si="222"/>
        <v>Not Started</v>
      </c>
      <c r="AU107" s="63" t="str">
        <f t="shared" si="223"/>
        <v>Not Started</v>
      </c>
      <c r="AV107" s="63" t="str">
        <f t="shared" si="224"/>
        <v>Not Started</v>
      </c>
      <c r="AW107" s="63" t="str">
        <f t="shared" si="225"/>
        <v>Not Started</v>
      </c>
      <c r="AX107" s="63" t="str">
        <f t="shared" si="226"/>
        <v>Not Started</v>
      </c>
      <c r="AY107" s="63" t="str">
        <f t="shared" si="227"/>
        <v>Not Started</v>
      </c>
      <c r="AZ107" s="63" t="str">
        <f t="shared" si="228"/>
        <v>Not Started</v>
      </c>
      <c r="BA107" s="63" t="str">
        <f t="shared" si="229"/>
        <v>Not Started</v>
      </c>
      <c r="BB107" s="63" t="str">
        <f t="shared" si="220"/>
        <v>Selesai RBT-RBB</v>
      </c>
      <c r="BC107" s="63" t="str">
        <f t="shared" si="217"/>
        <v>Selesai RBT-RBL</v>
      </c>
      <c r="BD107" s="63" t="str">
        <f t="shared" si="167"/>
        <v>Selesai RBT-RBTD</v>
      </c>
      <c r="BE107" s="43">
        <v>0</v>
      </c>
      <c r="BF107" s="43">
        <v>0</v>
      </c>
      <c r="BG107" s="43">
        <v>0</v>
      </c>
      <c r="BH107" s="43">
        <v>0</v>
      </c>
      <c r="BI107" s="43">
        <v>0</v>
      </c>
      <c r="BJ107" s="43">
        <v>0</v>
      </c>
      <c r="BK107" s="43">
        <v>0</v>
      </c>
      <c r="BL107" s="43">
        <v>0</v>
      </c>
      <c r="BM107" s="43">
        <v>0</v>
      </c>
      <c r="BN107" s="43">
        <v>0.05</v>
      </c>
      <c r="BO107" s="43">
        <v>0.1</v>
      </c>
      <c r="BP107" s="43">
        <v>0.15</v>
      </c>
      <c r="BQ107" s="63" t="str">
        <f t="shared" si="168"/>
        <v>Not Started</v>
      </c>
      <c r="BR107" s="63" t="str">
        <f t="shared" si="169"/>
        <v>Not Started</v>
      </c>
      <c r="BS107" s="63" t="str">
        <f t="shared" si="170"/>
        <v>Not Started</v>
      </c>
      <c r="BT107" s="63" t="str">
        <f t="shared" si="171"/>
        <v>Not Started</v>
      </c>
      <c r="BU107" s="63" t="str">
        <f t="shared" si="172"/>
        <v>Not Started</v>
      </c>
      <c r="BV107" s="63" t="str">
        <f t="shared" si="173"/>
        <v>Not Started</v>
      </c>
      <c r="BW107" s="63" t="str">
        <f t="shared" si="174"/>
        <v>Not Started</v>
      </c>
      <c r="BX107" s="63" t="str">
        <f t="shared" si="175"/>
        <v>Not Started</v>
      </c>
      <c r="BY107" s="63" t="str">
        <f t="shared" si="176"/>
        <v>Not Started</v>
      </c>
      <c r="BZ107" s="63" t="str">
        <f t="shared" si="177"/>
        <v>Not Started</v>
      </c>
      <c r="CA107" s="63" t="str">
        <f t="shared" si="178"/>
        <v>Not Started</v>
      </c>
      <c r="CB107" s="63" t="str">
        <f t="shared" si="179"/>
        <v>Not Started</v>
      </c>
      <c r="CC107" s="44">
        <f t="shared" si="216"/>
        <v>0</v>
      </c>
      <c r="CD107" s="44"/>
      <c r="CE107" s="44"/>
      <c r="CF107" s="44"/>
      <c r="CG107" s="44"/>
      <c r="CH107" s="44"/>
      <c r="CI107" s="44"/>
      <c r="CJ107" s="44"/>
      <c r="CK107" s="44"/>
      <c r="CL107" s="44"/>
      <c r="CM107" s="44"/>
      <c r="CN107" s="44"/>
      <c r="CO107" s="45">
        <f t="shared" si="181"/>
        <v>1</v>
      </c>
      <c r="CP107" s="45">
        <f t="shared" si="182"/>
        <v>1</v>
      </c>
      <c r="CQ107" s="45">
        <f t="shared" si="183"/>
        <v>1</v>
      </c>
      <c r="CR107" s="45">
        <f t="shared" si="184"/>
        <v>1</v>
      </c>
      <c r="CS107" s="45">
        <f t="shared" si="185"/>
        <v>1</v>
      </c>
      <c r="CT107" s="45">
        <f t="shared" si="186"/>
        <v>1</v>
      </c>
      <c r="CU107" s="45">
        <f t="shared" si="187"/>
        <v>1</v>
      </c>
      <c r="CV107" s="45">
        <f t="shared" si="188"/>
        <v>1</v>
      </c>
      <c r="CW107" s="45">
        <f t="shared" si="189"/>
        <v>1</v>
      </c>
      <c r="CX107" s="45">
        <f t="shared" si="190"/>
        <v>0</v>
      </c>
      <c r="CY107" s="45">
        <f t="shared" si="218"/>
        <v>0</v>
      </c>
      <c r="CZ107" s="45"/>
      <c r="DA107" s="45" t="str">
        <f t="shared" si="191"/>
        <v>NS</v>
      </c>
      <c r="DB107" s="45" t="str">
        <f t="shared" si="192"/>
        <v>NS</v>
      </c>
      <c r="DC107" s="45" t="str">
        <f t="shared" si="193"/>
        <v>NS</v>
      </c>
      <c r="DD107" s="45" t="str">
        <f t="shared" si="194"/>
        <v>NS</v>
      </c>
      <c r="DE107" s="45" t="str">
        <f t="shared" si="195"/>
        <v>NS</v>
      </c>
      <c r="DF107" s="45" t="str">
        <f t="shared" si="196"/>
        <v>NS</v>
      </c>
      <c r="DG107" s="45" t="str">
        <f t="shared" si="197"/>
        <v>NS</v>
      </c>
      <c r="DH107" s="45" t="str">
        <f t="shared" si="198"/>
        <v>NS</v>
      </c>
      <c r="DI107" s="45" t="str">
        <f t="shared" si="199"/>
        <v>NS</v>
      </c>
      <c r="DJ107" s="45" t="str">
        <f t="shared" si="200"/>
        <v>BS</v>
      </c>
      <c r="DK107" s="45" t="str">
        <f t="shared" si="286"/>
        <v>BS</v>
      </c>
      <c r="DL107" s="45" t="str">
        <f t="shared" si="201"/>
        <v>BS</v>
      </c>
      <c r="DM107" s="45">
        <f t="shared" si="202"/>
        <v>0</v>
      </c>
      <c r="DN107" s="45">
        <f t="shared" si="203"/>
        <v>0</v>
      </c>
      <c r="DO107" s="45">
        <f t="shared" si="204"/>
        <v>0</v>
      </c>
      <c r="DP107" s="45">
        <f t="shared" si="205"/>
        <v>0</v>
      </c>
      <c r="DQ107" s="45">
        <f t="shared" si="206"/>
        <v>0</v>
      </c>
      <c r="DR107" s="45">
        <f t="shared" si="207"/>
        <v>0</v>
      </c>
      <c r="DS107" s="45">
        <f t="shared" si="208"/>
        <v>0</v>
      </c>
      <c r="DT107" s="45">
        <f t="shared" si="209"/>
        <v>0</v>
      </c>
      <c r="DU107" s="45">
        <f t="shared" si="210"/>
        <v>0</v>
      </c>
      <c r="DV107" s="45">
        <f t="shared" si="211"/>
        <v>0</v>
      </c>
      <c r="DW107" s="45">
        <f t="shared" si="212"/>
        <v>0</v>
      </c>
      <c r="DX107" s="45">
        <f t="shared" si="213"/>
        <v>0</v>
      </c>
      <c r="DY107" s="46"/>
      <c r="DZ107" s="41"/>
      <c r="EA107" s="41"/>
      <c r="EB107" s="41"/>
      <c r="EC107" s="41"/>
      <c r="ED107" s="41"/>
      <c r="EE107" s="41"/>
      <c r="EF107" s="41"/>
      <c r="EG107" s="41"/>
      <c r="EH107" s="47"/>
      <c r="EI107" s="222"/>
      <c r="EJ107" s="59">
        <f t="shared" si="214"/>
        <v>46660</v>
      </c>
      <c r="EK107" s="229"/>
      <c r="EL107" s="230"/>
      <c r="EM107" s="229"/>
      <c r="EN107" s="222"/>
      <c r="EO107" s="222"/>
      <c r="EP107" s="222"/>
      <c r="EQ107" s="231"/>
      <c r="ER107" s="213"/>
      <c r="ES107" s="220"/>
      <c r="ET107" s="220"/>
      <c r="EU107" s="220"/>
      <c r="EV107" s="220"/>
      <c r="EW107" s="220"/>
      <c r="EX107" s="220"/>
      <c r="EY107" s="220"/>
      <c r="EZ107" s="220"/>
      <c r="FA107" s="220"/>
      <c r="FB107" s="222"/>
      <c r="FC107" s="222"/>
      <c r="FD107" s="222"/>
      <c r="FE107" s="220"/>
      <c r="FF107" s="220"/>
      <c r="FG107" s="222"/>
      <c r="FH107" s="220"/>
      <c r="FI107" s="220"/>
      <c r="FJ107" s="220"/>
      <c r="FK107" s="220"/>
      <c r="FL107" s="215"/>
      <c r="FM107" s="172" t="s">
        <v>773</v>
      </c>
      <c r="FN107" s="237" t="s">
        <v>230</v>
      </c>
      <c r="FO107" s="172" t="s">
        <v>221</v>
      </c>
      <c r="FP107" s="172" t="s">
        <v>222</v>
      </c>
      <c r="FQ107" s="172" t="s">
        <v>756</v>
      </c>
      <c r="FR107" s="289"/>
      <c r="FS107" s="267"/>
      <c r="FT107" s="261"/>
      <c r="FU107" s="48"/>
    </row>
    <row r="108" spans="1:177" s="16" customFormat="1" ht="144">
      <c r="A108" s="63"/>
      <c r="B108" s="48" t="s">
        <v>468</v>
      </c>
      <c r="C108" s="64" t="s">
        <v>206</v>
      </c>
      <c r="D108" s="225" t="s">
        <v>207</v>
      </c>
      <c r="E108" s="63" t="s">
        <v>769</v>
      </c>
      <c r="F108" s="279">
        <f>F107+1</f>
        <v>3</v>
      </c>
      <c r="G108" s="220" t="s">
        <v>770</v>
      </c>
      <c r="H108" s="220" t="s">
        <v>770</v>
      </c>
      <c r="I108" s="185" t="s">
        <v>776</v>
      </c>
      <c r="J108" s="48">
        <v>2027</v>
      </c>
      <c r="K108" s="48">
        <v>2028</v>
      </c>
      <c r="L108" s="48" t="s">
        <v>288</v>
      </c>
      <c r="M108" s="48" t="s">
        <v>173</v>
      </c>
      <c r="N108" s="48" t="s">
        <v>174</v>
      </c>
      <c r="O108" s="63" t="s">
        <v>777</v>
      </c>
      <c r="P108" s="63" t="s">
        <v>458</v>
      </c>
      <c r="Q108" s="63" t="s">
        <v>213</v>
      </c>
      <c r="R108" s="48" t="s">
        <v>770</v>
      </c>
      <c r="S108" s="63" t="str">
        <f t="shared" si="283"/>
        <v>Not Started</v>
      </c>
      <c r="T108" s="63" t="str">
        <f t="shared" si="145"/>
        <v>Not Started</v>
      </c>
      <c r="U108" s="63" t="str">
        <f t="shared" si="284"/>
        <v>Helen Desyani</v>
      </c>
      <c r="V108" s="67">
        <f t="shared" si="285"/>
        <v>0</v>
      </c>
      <c r="W108" s="66" t="s">
        <v>359</v>
      </c>
      <c r="X108" s="59">
        <f t="shared" si="156"/>
        <v>46873</v>
      </c>
      <c r="Y108" s="68"/>
      <c r="Z108" s="48" t="s">
        <v>179</v>
      </c>
      <c r="AA108" s="62">
        <v>46569</v>
      </c>
      <c r="AB108" s="62">
        <v>46660</v>
      </c>
      <c r="AC108" s="62">
        <v>46661</v>
      </c>
      <c r="AD108" s="62">
        <v>46675</v>
      </c>
      <c r="AE108" s="62">
        <v>46661</v>
      </c>
      <c r="AF108" s="62">
        <v>46675</v>
      </c>
      <c r="AG108" s="42"/>
      <c r="AH108" s="42"/>
      <c r="AI108" s="62">
        <v>46676</v>
      </c>
      <c r="AJ108" s="62">
        <v>46691</v>
      </c>
      <c r="AK108" s="62">
        <v>46692</v>
      </c>
      <c r="AL108" s="62">
        <v>46783</v>
      </c>
      <c r="AM108" s="62">
        <v>46784</v>
      </c>
      <c r="AN108" s="62">
        <v>46812</v>
      </c>
      <c r="AO108" s="62">
        <v>46813</v>
      </c>
      <c r="AP108" s="62">
        <v>46843</v>
      </c>
      <c r="AQ108" s="62">
        <v>46844</v>
      </c>
      <c r="AR108" s="62">
        <v>46873</v>
      </c>
      <c r="AS108" s="63" t="str">
        <f t="shared" si="221"/>
        <v>Not Started</v>
      </c>
      <c r="AT108" s="63" t="str">
        <f t="shared" si="222"/>
        <v>Not Started</v>
      </c>
      <c r="AU108" s="63" t="str">
        <f t="shared" si="223"/>
        <v>Not Started</v>
      </c>
      <c r="AV108" s="63" t="str">
        <f t="shared" si="224"/>
        <v>Not Started</v>
      </c>
      <c r="AW108" s="63" t="str">
        <f t="shared" si="225"/>
        <v>Not Started</v>
      </c>
      <c r="AX108" s="63" t="str">
        <f t="shared" si="226"/>
        <v>Not Started</v>
      </c>
      <c r="AY108" s="63" t="str">
        <f t="shared" si="227"/>
        <v>Not Started</v>
      </c>
      <c r="AZ108" s="63" t="str">
        <f t="shared" si="228"/>
        <v>Not Started</v>
      </c>
      <c r="BA108" s="63" t="str">
        <f t="shared" si="229"/>
        <v>Not Started</v>
      </c>
      <c r="BB108" s="63" t="str">
        <f t="shared" si="220"/>
        <v>Not Started</v>
      </c>
      <c r="BC108" s="63" t="str">
        <f t="shared" si="217"/>
        <v>Not Started</v>
      </c>
      <c r="BD108" s="63" t="str">
        <f t="shared" si="167"/>
        <v>Not Started</v>
      </c>
      <c r="BE108" s="219">
        <v>0</v>
      </c>
      <c r="BF108" s="219">
        <v>0</v>
      </c>
      <c r="BG108" s="219">
        <v>0</v>
      </c>
      <c r="BH108" s="219">
        <v>0</v>
      </c>
      <c r="BI108" s="219">
        <v>0</v>
      </c>
      <c r="BJ108" s="219">
        <v>0</v>
      </c>
      <c r="BK108" s="219">
        <v>0</v>
      </c>
      <c r="BL108" s="219">
        <v>0</v>
      </c>
      <c r="BM108" s="219">
        <v>0</v>
      </c>
      <c r="BN108" s="219">
        <v>0</v>
      </c>
      <c r="BO108" s="219">
        <v>0</v>
      </c>
      <c r="BP108" s="219">
        <v>0</v>
      </c>
      <c r="BQ108" s="63" t="str">
        <f t="shared" si="168"/>
        <v>Not Started</v>
      </c>
      <c r="BR108" s="63" t="str">
        <f t="shared" si="169"/>
        <v>Not Started</v>
      </c>
      <c r="BS108" s="63" t="str">
        <f t="shared" si="170"/>
        <v>Not Started</v>
      </c>
      <c r="BT108" s="63" t="str">
        <f t="shared" si="171"/>
        <v>Not Started</v>
      </c>
      <c r="BU108" s="63" t="str">
        <f t="shared" si="172"/>
        <v>Not Started</v>
      </c>
      <c r="BV108" s="63" t="str">
        <f t="shared" si="173"/>
        <v>Not Started</v>
      </c>
      <c r="BW108" s="63" t="str">
        <f t="shared" si="174"/>
        <v>Not Started</v>
      </c>
      <c r="BX108" s="63" t="str">
        <f t="shared" si="175"/>
        <v>Not Started</v>
      </c>
      <c r="BY108" s="63" t="str">
        <f t="shared" si="176"/>
        <v>Not Started</v>
      </c>
      <c r="BZ108" s="63" t="str">
        <f t="shared" si="177"/>
        <v>Not Started</v>
      </c>
      <c r="CA108" s="63" t="str">
        <f t="shared" si="178"/>
        <v>Not Started</v>
      </c>
      <c r="CB108" s="63" t="str">
        <f t="shared" si="179"/>
        <v>Not Started</v>
      </c>
      <c r="CC108" s="44"/>
      <c r="CD108" s="44"/>
      <c r="CE108" s="44"/>
      <c r="CF108" s="44"/>
      <c r="CG108" s="44"/>
      <c r="CH108" s="44"/>
      <c r="CI108" s="44"/>
      <c r="CJ108" s="44"/>
      <c r="CK108" s="44"/>
      <c r="CL108" s="44">
        <v>0</v>
      </c>
      <c r="CM108" s="44">
        <f t="shared" ref="CM108:CN108" si="287">(($DY108/100%)*15%)+(($DZ108/100%)*5%)+(($EA108/100%)*5%)+(($EB108/100%)*5%)+(($EC108/100%)*15%)+(($ED108/100%)*35%)+(($EE108/100%)*7.5%)+(($EF108/100%)*7.5%)+(($EG108/100%)*5%)</f>
        <v>0</v>
      </c>
      <c r="CN108" s="44">
        <f t="shared" si="287"/>
        <v>0</v>
      </c>
      <c r="CO108" s="45">
        <f t="shared" si="181"/>
        <v>1</v>
      </c>
      <c r="CP108" s="45">
        <f t="shared" si="182"/>
        <v>1</v>
      </c>
      <c r="CQ108" s="45">
        <f t="shared" si="183"/>
        <v>1</v>
      </c>
      <c r="CR108" s="45">
        <f t="shared" si="184"/>
        <v>1</v>
      </c>
      <c r="CS108" s="45">
        <f t="shared" si="185"/>
        <v>1</v>
      </c>
      <c r="CT108" s="45">
        <f t="shared" si="186"/>
        <v>1</v>
      </c>
      <c r="CU108" s="45">
        <f t="shared" si="187"/>
        <v>1</v>
      </c>
      <c r="CV108" s="45">
        <f t="shared" si="188"/>
        <v>1</v>
      </c>
      <c r="CW108" s="45">
        <f t="shared" si="189"/>
        <v>1</v>
      </c>
      <c r="CX108" s="45">
        <f t="shared" si="190"/>
        <v>1</v>
      </c>
      <c r="CY108" s="45">
        <f t="shared" si="218"/>
        <v>1</v>
      </c>
      <c r="CZ108" s="45"/>
      <c r="DA108" s="45" t="str">
        <f t="shared" si="191"/>
        <v>NS</v>
      </c>
      <c r="DB108" s="45" t="str">
        <f t="shared" si="192"/>
        <v>NS</v>
      </c>
      <c r="DC108" s="45" t="str">
        <f t="shared" si="193"/>
        <v>NS</v>
      </c>
      <c r="DD108" s="45" t="str">
        <f t="shared" si="194"/>
        <v>NS</v>
      </c>
      <c r="DE108" s="45" t="str">
        <f t="shared" si="195"/>
        <v>NS</v>
      </c>
      <c r="DF108" s="45" t="str">
        <f t="shared" si="196"/>
        <v>NS</v>
      </c>
      <c r="DG108" s="45" t="str">
        <f t="shared" si="197"/>
        <v>NS</v>
      </c>
      <c r="DH108" s="45" t="str">
        <f t="shared" si="198"/>
        <v>NS</v>
      </c>
      <c r="DI108" s="45" t="str">
        <f t="shared" si="199"/>
        <v>NS</v>
      </c>
      <c r="DJ108" s="45" t="str">
        <f t="shared" si="200"/>
        <v>NS</v>
      </c>
      <c r="DK108" s="45" t="str">
        <f t="shared" si="286"/>
        <v>NS</v>
      </c>
      <c r="DL108" s="45" t="str">
        <f t="shared" si="201"/>
        <v>NS</v>
      </c>
      <c r="DM108" s="45" t="e">
        <f t="shared" si="202"/>
        <v>#DIV/0!</v>
      </c>
      <c r="DN108" s="45" t="e">
        <f t="shared" si="203"/>
        <v>#DIV/0!</v>
      </c>
      <c r="DO108" s="45" t="e">
        <f t="shared" si="204"/>
        <v>#DIV/0!</v>
      </c>
      <c r="DP108" s="45" t="e">
        <f t="shared" si="205"/>
        <v>#DIV/0!</v>
      </c>
      <c r="DQ108" s="45" t="e">
        <f t="shared" si="206"/>
        <v>#DIV/0!</v>
      </c>
      <c r="DR108" s="45" t="e">
        <f t="shared" si="207"/>
        <v>#DIV/0!</v>
      </c>
      <c r="DS108" s="45" t="e">
        <f t="shared" si="208"/>
        <v>#DIV/0!</v>
      </c>
      <c r="DT108" s="45" t="e">
        <f t="shared" si="209"/>
        <v>#DIV/0!</v>
      </c>
      <c r="DU108" s="45" t="e">
        <f t="shared" si="210"/>
        <v>#DIV/0!</v>
      </c>
      <c r="DV108" s="45" t="e">
        <f t="shared" si="211"/>
        <v>#DIV/0!</v>
      </c>
      <c r="DW108" s="45" t="e">
        <f t="shared" si="212"/>
        <v>#DIV/0!</v>
      </c>
      <c r="DX108" s="45" t="e">
        <f t="shared" si="213"/>
        <v>#DIV/0!</v>
      </c>
      <c r="DY108" s="46"/>
      <c r="DZ108" s="41"/>
      <c r="EA108" s="41"/>
      <c r="EB108" s="41"/>
      <c r="EC108" s="41"/>
      <c r="ED108" s="41"/>
      <c r="EE108" s="41"/>
      <c r="EF108" s="41"/>
      <c r="EG108" s="41"/>
      <c r="EH108" s="47"/>
      <c r="EI108" s="222"/>
      <c r="EJ108" s="59">
        <f t="shared" si="214"/>
        <v>46873</v>
      </c>
      <c r="EK108" s="229"/>
      <c r="EL108" s="230"/>
      <c r="EM108" s="229"/>
      <c r="EN108" s="222"/>
      <c r="EO108" s="222"/>
      <c r="EP108" s="222"/>
      <c r="EQ108" s="231"/>
      <c r="ER108" s="213"/>
      <c r="ES108" s="220"/>
      <c r="ET108" s="220"/>
      <c r="EU108" s="220"/>
      <c r="EV108" s="220"/>
      <c r="EW108" s="220"/>
      <c r="EX108" s="220"/>
      <c r="EY108" s="220"/>
      <c r="EZ108" s="220"/>
      <c r="FA108" s="220"/>
      <c r="FB108" s="222"/>
      <c r="FC108" s="222"/>
      <c r="FD108" s="222"/>
      <c r="FE108" s="220"/>
      <c r="FF108" s="220"/>
      <c r="FG108" s="222"/>
      <c r="FH108" s="220"/>
      <c r="FI108" s="220"/>
      <c r="FJ108" s="220"/>
      <c r="FK108" s="220"/>
      <c r="FL108" s="215"/>
      <c r="FM108" s="172" t="s">
        <v>773</v>
      </c>
      <c r="FN108" s="237" t="s">
        <v>230</v>
      </c>
      <c r="FO108" s="172" t="s">
        <v>221</v>
      </c>
      <c r="FP108" s="172" t="s">
        <v>222</v>
      </c>
      <c r="FQ108" s="172" t="s">
        <v>756</v>
      </c>
      <c r="FR108" s="289"/>
      <c r="FS108" s="267"/>
      <c r="FT108" s="261"/>
      <c r="FU108" s="48"/>
    </row>
    <row r="109" spans="1:177" s="16" customFormat="1" ht="224">
      <c r="A109" s="63" t="s">
        <v>778</v>
      </c>
      <c r="B109" s="48"/>
      <c r="C109" s="64" t="s">
        <v>206</v>
      </c>
      <c r="D109" s="225" t="s">
        <v>207</v>
      </c>
      <c r="E109" s="63" t="s">
        <v>779</v>
      </c>
      <c r="F109" s="279">
        <v>1</v>
      </c>
      <c r="G109" s="222" t="s">
        <v>780</v>
      </c>
      <c r="H109" s="222" t="s">
        <v>781</v>
      </c>
      <c r="I109" s="185" t="s">
        <v>782</v>
      </c>
      <c r="J109" s="48">
        <v>2025</v>
      </c>
      <c r="K109" s="48">
        <v>2026</v>
      </c>
      <c r="L109" s="48" t="s">
        <v>288</v>
      </c>
      <c r="M109" s="48" t="s">
        <v>173</v>
      </c>
      <c r="N109" s="63" t="s">
        <v>174</v>
      </c>
      <c r="O109" s="63" t="s">
        <v>783</v>
      </c>
      <c r="P109" s="63" t="s">
        <v>458</v>
      </c>
      <c r="Q109" s="63" t="s">
        <v>199</v>
      </c>
      <c r="R109" s="63" t="s">
        <v>780</v>
      </c>
      <c r="S109" s="63" t="str">
        <f t="shared" si="283"/>
        <v>Proses RBT-RBB</v>
      </c>
      <c r="T109" s="63" t="str">
        <f t="shared" si="145"/>
        <v>On Progress</v>
      </c>
      <c r="U109" s="63" t="str">
        <f t="shared" si="284"/>
        <v>Rizky Arga</v>
      </c>
      <c r="V109" s="67">
        <f t="shared" si="285"/>
        <v>4.4999999999999998E-2</v>
      </c>
      <c r="W109" s="66" t="s">
        <v>260</v>
      </c>
      <c r="X109" s="59">
        <f t="shared" si="156"/>
        <v>46387</v>
      </c>
      <c r="Y109" s="68">
        <v>0</v>
      </c>
      <c r="Z109" s="48"/>
      <c r="AA109" s="62">
        <v>45992</v>
      </c>
      <c r="AB109" s="42">
        <v>46081</v>
      </c>
      <c r="AC109" s="42">
        <v>46082</v>
      </c>
      <c r="AD109" s="42">
        <v>46112</v>
      </c>
      <c r="AE109" s="42">
        <v>46082</v>
      </c>
      <c r="AF109" s="42">
        <v>46112</v>
      </c>
      <c r="AG109" s="42"/>
      <c r="AH109" s="42"/>
      <c r="AI109" s="42">
        <v>46113</v>
      </c>
      <c r="AJ109" s="42">
        <v>46142</v>
      </c>
      <c r="AK109" s="42">
        <v>46143</v>
      </c>
      <c r="AL109" s="42">
        <v>46265</v>
      </c>
      <c r="AM109" s="42">
        <v>46266</v>
      </c>
      <c r="AN109" s="42">
        <v>46310</v>
      </c>
      <c r="AO109" s="42">
        <v>46311</v>
      </c>
      <c r="AP109" s="42">
        <v>46356</v>
      </c>
      <c r="AQ109" s="42">
        <v>46357</v>
      </c>
      <c r="AR109" s="42">
        <v>46387</v>
      </c>
      <c r="AS109" s="63" t="str">
        <f t="shared" si="221"/>
        <v>Selesai RBT-RBL</v>
      </c>
      <c r="AT109" s="63" t="str">
        <f t="shared" si="222"/>
        <v>Selesai RBT-RBTD</v>
      </c>
      <c r="AU109" s="63" t="str">
        <f t="shared" si="223"/>
        <v>Selesai Pengadaan</v>
      </c>
      <c r="AV109" s="63" t="str">
        <f t="shared" si="224"/>
        <v>Selesai Desain</v>
      </c>
      <c r="AW109" s="63" t="str">
        <f t="shared" si="225"/>
        <v>Proses Pengembangan</v>
      </c>
      <c r="AX109" s="63" t="str">
        <f t="shared" si="226"/>
        <v>Proses Pengembangan</v>
      </c>
      <c r="AY109" s="63" t="str">
        <f t="shared" si="227"/>
        <v>Proses Pengembangan</v>
      </c>
      <c r="AZ109" s="63" t="str">
        <f t="shared" si="228"/>
        <v>Selesai Pengembangan</v>
      </c>
      <c r="BA109" s="63" t="str">
        <f t="shared" si="229"/>
        <v>Proses SIT</v>
      </c>
      <c r="BB109" s="63" t="str">
        <f t="shared" si="220"/>
        <v>Proses UAT</v>
      </c>
      <c r="BC109" s="63" t="str">
        <f t="shared" ref="BC109:BC140" si="288">IF(BO109=0%,"Not Started",IF(BO109&lt;5%,"Proses RBT-RBB",IF(BO109=5%,"Selesai RBT-RBB",IF(BO109&lt;10%,"Proses RBT-RBL",IF(BO109=10%,"Selesai RBT-RBL",IF(BO109&lt;15%,"Proses RBT-RBTD",IF(BO109=15%,"Selesai RBT-RBTD",IF(BO109&lt;20%,"Proses RPP",IF(BO109=20%,"Selesai RPP",IF(BO109&lt;25%,"Proses KAK",IF(BO109=25%,"Selesai KAK",IF(BO109&lt;30%,"Proses Pengadaan",IF(BO109=30%,"Selesai Pengadaan",IF(BO109&lt;45%,"Proses Desain",IF(BO109=45%,"Selesai Desain",IF(BO109&lt;80%,"Proses Pengembangan",IF(BO109=80%,"Selesai Pengembangan",IF(BO109&lt;87.5%,"Proses SIT",IF(BO109=87.5%,"Selesai SIT",IF(BO109&lt;95%,"Proses UAT",IF(BO109=95%,"Selesai UAT",IF(BO109&lt;100%,"Proses Implementasi","Selesai Implementasi"))))))))))))))))))))))</f>
        <v>Selesai UAT</v>
      </c>
      <c r="BD109" s="63" t="str">
        <f t="shared" si="167"/>
        <v>Selesai Implementasi</v>
      </c>
      <c r="BE109" s="43">
        <v>0.1</v>
      </c>
      <c r="BF109" s="43">
        <v>0.15</v>
      </c>
      <c r="BG109" s="43">
        <v>0.3</v>
      </c>
      <c r="BH109" s="43">
        <v>0.45</v>
      </c>
      <c r="BI109" s="43">
        <v>0.54</v>
      </c>
      <c r="BJ109" s="43">
        <v>0.63</v>
      </c>
      <c r="BK109" s="43">
        <v>0.72</v>
      </c>
      <c r="BL109" s="43">
        <v>0.8</v>
      </c>
      <c r="BM109" s="43">
        <v>0.84</v>
      </c>
      <c r="BN109" s="43">
        <v>0.9</v>
      </c>
      <c r="BO109" s="43">
        <v>0.95</v>
      </c>
      <c r="BP109" s="43">
        <v>1</v>
      </c>
      <c r="BQ109" s="63" t="str">
        <f t="shared" si="168"/>
        <v>Proses RBT-RBB</v>
      </c>
      <c r="BR109" s="63" t="str">
        <f t="shared" si="169"/>
        <v>Not Started</v>
      </c>
      <c r="BS109" s="63" t="str">
        <f t="shared" si="170"/>
        <v>Not Started</v>
      </c>
      <c r="BT109" s="63" t="str">
        <f t="shared" si="171"/>
        <v>Not Started</v>
      </c>
      <c r="BU109" s="63" t="str">
        <f t="shared" si="172"/>
        <v>Not Started</v>
      </c>
      <c r="BV109" s="63" t="str">
        <f t="shared" si="173"/>
        <v>Not Started</v>
      </c>
      <c r="BW109" s="63" t="str">
        <f t="shared" si="174"/>
        <v>Not Started</v>
      </c>
      <c r="BX109" s="63" t="str">
        <f t="shared" si="175"/>
        <v>Not Started</v>
      </c>
      <c r="BY109" s="63" t="str">
        <f t="shared" si="176"/>
        <v>Not Started</v>
      </c>
      <c r="BZ109" s="63" t="str">
        <f t="shared" si="177"/>
        <v>Not Started</v>
      </c>
      <c r="CA109" s="63" t="str">
        <f t="shared" si="178"/>
        <v>Not Started</v>
      </c>
      <c r="CB109" s="63" t="str">
        <f t="shared" si="179"/>
        <v>Not Started</v>
      </c>
      <c r="CC109" s="44">
        <f t="shared" ref="CC109:CC142" si="289">(($DY109/100%)*15%)+(($DZ109/100%)*5%)+(($EA109/100%)*5%)+(($EB109/100%)*5%)+(($EC109/100%)*15%)+(($ED109/100%)*35%)+(($EE109/100%)*7.5%)+(($EF109/100%)*7.5%)+(($EG109/100%)*5%)</f>
        <v>4.4999999999999998E-2</v>
      </c>
      <c r="CD109" s="44"/>
      <c r="CE109" s="44"/>
      <c r="CF109" s="44"/>
      <c r="CG109" s="44"/>
      <c r="CH109" s="44"/>
      <c r="CI109" s="44"/>
      <c r="CJ109" s="44"/>
      <c r="CK109" s="44"/>
      <c r="CL109" s="44"/>
      <c r="CM109" s="44"/>
      <c r="CN109" s="44"/>
      <c r="CO109" s="45">
        <f t="shared" si="181"/>
        <v>0.44999999999999996</v>
      </c>
      <c r="CP109" s="45">
        <f t="shared" si="182"/>
        <v>0</v>
      </c>
      <c r="CQ109" s="45">
        <f t="shared" si="183"/>
        <v>0</v>
      </c>
      <c r="CR109" s="45">
        <f t="shared" si="184"/>
        <v>0</v>
      </c>
      <c r="CS109" s="45">
        <f t="shared" si="185"/>
        <v>0</v>
      </c>
      <c r="CT109" s="45">
        <f t="shared" si="186"/>
        <v>0</v>
      </c>
      <c r="CU109" s="45">
        <f t="shared" si="187"/>
        <v>0</v>
      </c>
      <c r="CV109" s="45">
        <f t="shared" si="188"/>
        <v>0</v>
      </c>
      <c r="CW109" s="45">
        <f t="shared" si="189"/>
        <v>0</v>
      </c>
      <c r="CX109" s="45">
        <f t="shared" si="190"/>
        <v>0</v>
      </c>
      <c r="CY109" s="45">
        <f t="shared" ref="CY109:CY140" si="290">IF(BO109=0%, 100%, (CM109/BO109))</f>
        <v>0</v>
      </c>
      <c r="CZ109" s="45"/>
      <c r="DA109" s="45" t="str">
        <f t="shared" si="191"/>
        <v>BS</v>
      </c>
      <c r="DB109" s="45" t="str">
        <f t="shared" si="192"/>
        <v>BS</v>
      </c>
      <c r="DC109" s="45" t="str">
        <f t="shared" si="193"/>
        <v>BS</v>
      </c>
      <c r="DD109" s="45" t="str">
        <f t="shared" si="194"/>
        <v>BS</v>
      </c>
      <c r="DE109" s="45" t="str">
        <f t="shared" si="195"/>
        <v>BS</v>
      </c>
      <c r="DF109" s="45" t="str">
        <f t="shared" si="196"/>
        <v>BS</v>
      </c>
      <c r="DG109" s="45" t="str">
        <f t="shared" si="197"/>
        <v>BS</v>
      </c>
      <c r="DH109" s="45" t="str">
        <f t="shared" si="198"/>
        <v>BS</v>
      </c>
      <c r="DI109" s="45" t="str">
        <f t="shared" si="199"/>
        <v>BS</v>
      </c>
      <c r="DJ109" s="45" t="str">
        <f t="shared" si="200"/>
        <v>BS</v>
      </c>
      <c r="DK109" s="45" t="str">
        <f t="shared" si="286"/>
        <v>BS</v>
      </c>
      <c r="DL109" s="45" t="str">
        <f t="shared" si="201"/>
        <v>BS</v>
      </c>
      <c r="DM109" s="45">
        <f t="shared" si="202"/>
        <v>4.4999999999999998E-2</v>
      </c>
      <c r="DN109" s="45">
        <f t="shared" si="203"/>
        <v>0</v>
      </c>
      <c r="DO109" s="45">
        <f t="shared" si="204"/>
        <v>0</v>
      </c>
      <c r="DP109" s="45">
        <f t="shared" si="205"/>
        <v>0</v>
      </c>
      <c r="DQ109" s="45">
        <f t="shared" si="206"/>
        <v>0</v>
      </c>
      <c r="DR109" s="45">
        <f t="shared" si="207"/>
        <v>0</v>
      </c>
      <c r="DS109" s="45">
        <f t="shared" si="208"/>
        <v>0</v>
      </c>
      <c r="DT109" s="45">
        <f t="shared" si="209"/>
        <v>0</v>
      </c>
      <c r="DU109" s="45">
        <f t="shared" si="210"/>
        <v>0</v>
      </c>
      <c r="DV109" s="45">
        <f t="shared" si="211"/>
        <v>0</v>
      </c>
      <c r="DW109" s="45">
        <f t="shared" si="212"/>
        <v>0</v>
      </c>
      <c r="DX109" s="45">
        <f t="shared" si="213"/>
        <v>0</v>
      </c>
      <c r="DY109" s="41">
        <v>0.3</v>
      </c>
      <c r="DZ109" s="41"/>
      <c r="EA109" s="41"/>
      <c r="EB109" s="41"/>
      <c r="EC109" s="41"/>
      <c r="ED109" s="41"/>
      <c r="EE109" s="41"/>
      <c r="EF109" s="41"/>
      <c r="EG109" s="41"/>
      <c r="EH109" s="491" t="s">
        <v>1621</v>
      </c>
      <c r="EI109" s="222"/>
      <c r="EJ109" s="59">
        <f t="shared" si="214"/>
        <v>46387</v>
      </c>
      <c r="EK109" s="229"/>
      <c r="EL109" s="230"/>
      <c r="EM109" s="229"/>
      <c r="EN109" s="222"/>
      <c r="EO109" s="222"/>
      <c r="EP109" s="222"/>
      <c r="EQ109" s="231"/>
      <c r="ER109" s="213"/>
      <c r="ES109" s="220"/>
      <c r="ET109" s="220"/>
      <c r="EU109" s="220"/>
      <c r="EV109" s="220"/>
      <c r="EW109" s="220"/>
      <c r="EX109" s="220"/>
      <c r="EY109" s="220"/>
      <c r="EZ109" s="220"/>
      <c r="FA109" s="220"/>
      <c r="FB109" s="222"/>
      <c r="FC109" s="222"/>
      <c r="FD109" s="222"/>
      <c r="FE109" s="220"/>
      <c r="FF109" s="220"/>
      <c r="FG109" s="222"/>
      <c r="FH109" s="220"/>
      <c r="FI109" s="220"/>
      <c r="FJ109" s="220"/>
      <c r="FK109" s="220"/>
      <c r="FL109" s="215"/>
      <c r="FM109" s="172" t="s">
        <v>784</v>
      </c>
      <c r="FN109" s="224" t="s">
        <v>202</v>
      </c>
      <c r="FO109" s="172" t="s">
        <v>231</v>
      </c>
      <c r="FP109" s="172" t="s">
        <v>785</v>
      </c>
      <c r="FQ109" s="172" t="s">
        <v>786</v>
      </c>
      <c r="FR109" s="289" t="s">
        <v>184</v>
      </c>
      <c r="FS109" s="267" t="s">
        <v>400</v>
      </c>
      <c r="FT109" s="267" t="s">
        <v>421</v>
      </c>
      <c r="FU109" s="48">
        <v>5</v>
      </c>
    </row>
    <row r="110" spans="1:177" s="16" customFormat="1" ht="240">
      <c r="A110" s="63" t="s">
        <v>787</v>
      </c>
      <c r="B110" s="263"/>
      <c r="C110" s="64" t="s">
        <v>206</v>
      </c>
      <c r="D110" s="225" t="s">
        <v>207</v>
      </c>
      <c r="E110" s="63" t="s">
        <v>788</v>
      </c>
      <c r="F110" s="279">
        <v>1</v>
      </c>
      <c r="G110" s="222" t="s">
        <v>789</v>
      </c>
      <c r="H110" s="222" t="s">
        <v>790</v>
      </c>
      <c r="I110" s="185" t="s">
        <v>791</v>
      </c>
      <c r="J110" s="48">
        <v>2025</v>
      </c>
      <c r="K110" s="48">
        <v>2028</v>
      </c>
      <c r="L110" s="48" t="s">
        <v>172</v>
      </c>
      <c r="M110" s="48" t="s">
        <v>307</v>
      </c>
      <c r="N110" s="48" t="s">
        <v>792</v>
      </c>
      <c r="O110" s="63" t="s">
        <v>793</v>
      </c>
      <c r="P110" s="63" t="s">
        <v>15</v>
      </c>
      <c r="Q110" s="63" t="s">
        <v>189</v>
      </c>
      <c r="R110" s="63" t="s">
        <v>789</v>
      </c>
      <c r="S110" s="63" t="str">
        <f t="shared" si="283"/>
        <v>Proses RBT-RBL</v>
      </c>
      <c r="T110" s="63" t="str">
        <f t="shared" si="145"/>
        <v>On Progress</v>
      </c>
      <c r="U110" s="63" t="str">
        <f t="shared" si="284"/>
        <v>Among Rogo Wicaksono</v>
      </c>
      <c r="V110" s="67">
        <f t="shared" si="285"/>
        <v>0.09</v>
      </c>
      <c r="W110" s="66" t="s">
        <v>260</v>
      </c>
      <c r="X110" s="59">
        <f t="shared" si="156"/>
        <v>47026</v>
      </c>
      <c r="Y110" s="68">
        <v>1</v>
      </c>
      <c r="Z110" s="48"/>
      <c r="AA110" s="62">
        <v>45658</v>
      </c>
      <c r="AB110" s="42">
        <v>46081</v>
      </c>
      <c r="AC110" s="42">
        <v>46082</v>
      </c>
      <c r="AD110" s="42">
        <v>46096</v>
      </c>
      <c r="AE110" s="42">
        <v>46067</v>
      </c>
      <c r="AF110" s="42">
        <v>46081</v>
      </c>
      <c r="AG110" s="42">
        <v>46097</v>
      </c>
      <c r="AH110" s="42">
        <v>46387</v>
      </c>
      <c r="AI110" s="42">
        <v>46388</v>
      </c>
      <c r="AJ110" s="42">
        <v>46568</v>
      </c>
      <c r="AK110" s="42">
        <v>46569</v>
      </c>
      <c r="AL110" s="42">
        <v>46811</v>
      </c>
      <c r="AM110" s="42">
        <v>46812</v>
      </c>
      <c r="AN110" s="42">
        <v>46904</v>
      </c>
      <c r="AO110" s="42">
        <v>46905</v>
      </c>
      <c r="AP110" s="42">
        <v>46996</v>
      </c>
      <c r="AQ110" s="42">
        <v>46997</v>
      </c>
      <c r="AR110" s="339">
        <v>47026</v>
      </c>
      <c r="AS110" s="63" t="str">
        <f t="shared" si="221"/>
        <v>Proses RBT-RBTD</v>
      </c>
      <c r="AT110" s="63" t="str">
        <f t="shared" si="222"/>
        <v>Selesai RBT-RBTD</v>
      </c>
      <c r="AU110" s="63" t="str">
        <f t="shared" si="223"/>
        <v>Selesai KAK</v>
      </c>
      <c r="AV110" s="63" t="str">
        <f t="shared" si="224"/>
        <v>Proses Pengadaan</v>
      </c>
      <c r="AW110" s="63" t="str">
        <f t="shared" si="225"/>
        <v>Proses Pengadaan</v>
      </c>
      <c r="AX110" s="63" t="str">
        <f t="shared" si="226"/>
        <v>Proses Pengadaan</v>
      </c>
      <c r="AY110" s="63" t="str">
        <f t="shared" si="227"/>
        <v>Proses Pengadaan</v>
      </c>
      <c r="AZ110" s="63" t="str">
        <f t="shared" si="228"/>
        <v>Proses Pengadaan</v>
      </c>
      <c r="BA110" s="63" t="str">
        <f t="shared" si="229"/>
        <v>Proses Pengadaan</v>
      </c>
      <c r="BB110" s="63" t="str">
        <f t="shared" si="220"/>
        <v>Proses Pengadaan</v>
      </c>
      <c r="BC110" s="63" t="str">
        <f t="shared" si="288"/>
        <v>Proses Pengadaan</v>
      </c>
      <c r="BD110" s="63" t="str">
        <f t="shared" si="167"/>
        <v>Selesai Pengadaan</v>
      </c>
      <c r="BE110" s="43">
        <v>0.12</v>
      </c>
      <c r="BF110" s="43">
        <v>0.15</v>
      </c>
      <c r="BG110" s="43">
        <v>0.25</v>
      </c>
      <c r="BH110" s="43">
        <v>0.255</v>
      </c>
      <c r="BI110" s="43">
        <v>0.26</v>
      </c>
      <c r="BJ110" s="43">
        <v>0.26500000000000001</v>
      </c>
      <c r="BK110" s="43">
        <v>0.27</v>
      </c>
      <c r="BL110" s="43">
        <v>0.27500000000000002</v>
      </c>
      <c r="BM110" s="43">
        <v>0.28000000000000003</v>
      </c>
      <c r="BN110" s="43">
        <v>0.28499999999999998</v>
      </c>
      <c r="BO110" s="43">
        <v>0.28999999999999998</v>
      </c>
      <c r="BP110" s="43">
        <v>0.3</v>
      </c>
      <c r="BQ110" s="63" t="str">
        <f t="shared" si="168"/>
        <v>Proses RBT-RBL</v>
      </c>
      <c r="BR110" s="63" t="str">
        <f t="shared" si="169"/>
        <v>Not Started</v>
      </c>
      <c r="BS110" s="63" t="str">
        <f t="shared" si="170"/>
        <v>Not Started</v>
      </c>
      <c r="BT110" s="63" t="str">
        <f t="shared" si="171"/>
        <v>Not Started</v>
      </c>
      <c r="BU110" s="63" t="str">
        <f t="shared" si="172"/>
        <v>Not Started</v>
      </c>
      <c r="BV110" s="63" t="str">
        <f t="shared" si="173"/>
        <v>Not Started</v>
      </c>
      <c r="BW110" s="63" t="str">
        <f t="shared" si="174"/>
        <v>Not Started</v>
      </c>
      <c r="BX110" s="63" t="str">
        <f t="shared" si="175"/>
        <v>Not Started</v>
      </c>
      <c r="BY110" s="63" t="str">
        <f t="shared" si="176"/>
        <v>Not Started</v>
      </c>
      <c r="BZ110" s="63" t="str">
        <f t="shared" si="177"/>
        <v>Not Started</v>
      </c>
      <c r="CA110" s="63" t="str">
        <f t="shared" si="178"/>
        <v>Not Started</v>
      </c>
      <c r="CB110" s="63" t="str">
        <f t="shared" si="179"/>
        <v>Not Started</v>
      </c>
      <c r="CC110" s="44">
        <f t="shared" si="289"/>
        <v>0.09</v>
      </c>
      <c r="CD110" s="44"/>
      <c r="CE110" s="44"/>
      <c r="CF110" s="44"/>
      <c r="CG110" s="44"/>
      <c r="CH110" s="44"/>
      <c r="CI110" s="44"/>
      <c r="CJ110" s="44"/>
      <c r="CK110" s="44"/>
      <c r="CL110" s="44"/>
      <c r="CM110" s="44"/>
      <c r="CN110" s="44"/>
      <c r="CO110" s="45">
        <f t="shared" si="181"/>
        <v>0.75</v>
      </c>
      <c r="CP110" s="45">
        <f t="shared" si="182"/>
        <v>0</v>
      </c>
      <c r="CQ110" s="45">
        <f t="shared" si="183"/>
        <v>0</v>
      </c>
      <c r="CR110" s="45">
        <f t="shared" si="184"/>
        <v>0</v>
      </c>
      <c r="CS110" s="45">
        <f t="shared" si="185"/>
        <v>0</v>
      </c>
      <c r="CT110" s="45">
        <f t="shared" si="186"/>
        <v>0</v>
      </c>
      <c r="CU110" s="45">
        <f t="shared" si="187"/>
        <v>0</v>
      </c>
      <c r="CV110" s="45">
        <f t="shared" si="188"/>
        <v>0</v>
      </c>
      <c r="CW110" s="45">
        <f t="shared" si="189"/>
        <v>0</v>
      </c>
      <c r="CX110" s="45">
        <f t="shared" si="190"/>
        <v>0</v>
      </c>
      <c r="CY110" s="45">
        <f t="shared" si="290"/>
        <v>0</v>
      </c>
      <c r="CZ110" s="45"/>
      <c r="DA110" s="45" t="str">
        <f t="shared" si="191"/>
        <v>AR</v>
      </c>
      <c r="DB110" s="45" t="str">
        <f t="shared" si="192"/>
        <v>BS</v>
      </c>
      <c r="DC110" s="45" t="str">
        <f t="shared" si="193"/>
        <v>BS</v>
      </c>
      <c r="DD110" s="45" t="str">
        <f t="shared" si="194"/>
        <v>BS</v>
      </c>
      <c r="DE110" s="45" t="str">
        <f t="shared" si="195"/>
        <v>BS</v>
      </c>
      <c r="DF110" s="45" t="str">
        <f t="shared" si="196"/>
        <v>BS</v>
      </c>
      <c r="DG110" s="45" t="str">
        <f t="shared" si="197"/>
        <v>BS</v>
      </c>
      <c r="DH110" s="45" t="str">
        <f t="shared" si="198"/>
        <v>BS</v>
      </c>
      <c r="DI110" s="45" t="str">
        <f t="shared" si="199"/>
        <v>BS</v>
      </c>
      <c r="DJ110" s="45" t="str">
        <f t="shared" si="200"/>
        <v>BS</v>
      </c>
      <c r="DK110" s="45" t="str">
        <f t="shared" si="286"/>
        <v>BS</v>
      </c>
      <c r="DL110" s="45" t="str">
        <f t="shared" si="201"/>
        <v>BS</v>
      </c>
      <c r="DM110" s="45">
        <f t="shared" si="202"/>
        <v>0.3</v>
      </c>
      <c r="DN110" s="45">
        <f t="shared" si="203"/>
        <v>0</v>
      </c>
      <c r="DO110" s="45">
        <f t="shared" si="204"/>
        <v>0</v>
      </c>
      <c r="DP110" s="45">
        <f t="shared" si="205"/>
        <v>0</v>
      </c>
      <c r="DQ110" s="45">
        <f t="shared" si="206"/>
        <v>0</v>
      </c>
      <c r="DR110" s="45">
        <f t="shared" si="207"/>
        <v>0</v>
      </c>
      <c r="DS110" s="45">
        <f t="shared" si="208"/>
        <v>0</v>
      </c>
      <c r="DT110" s="45">
        <f t="shared" si="209"/>
        <v>0</v>
      </c>
      <c r="DU110" s="45">
        <f t="shared" si="210"/>
        <v>0</v>
      </c>
      <c r="DV110" s="45">
        <f t="shared" si="211"/>
        <v>0</v>
      </c>
      <c r="DW110" s="45">
        <f t="shared" si="212"/>
        <v>0</v>
      </c>
      <c r="DX110" s="45">
        <f t="shared" si="213"/>
        <v>0</v>
      </c>
      <c r="DY110" s="41">
        <v>0.6</v>
      </c>
      <c r="DZ110" s="41"/>
      <c r="EA110" s="41"/>
      <c r="EB110" s="525"/>
      <c r="EC110" s="41"/>
      <c r="ED110" s="41"/>
      <c r="EE110" s="41"/>
      <c r="EF110" s="41"/>
      <c r="EG110" s="41"/>
      <c r="EH110" s="57" t="s">
        <v>794</v>
      </c>
      <c r="EI110" s="222"/>
      <c r="EJ110" s="59">
        <f t="shared" si="214"/>
        <v>47026</v>
      </c>
      <c r="EK110" s="229"/>
      <c r="EL110" s="230"/>
      <c r="EM110" s="229"/>
      <c r="EN110" s="222"/>
      <c r="EO110" s="222"/>
      <c r="EP110" s="222"/>
      <c r="EQ110" s="231"/>
      <c r="ER110" s="213"/>
      <c r="ES110" s="220"/>
      <c r="ET110" s="220"/>
      <c r="EU110" s="220"/>
      <c r="EV110" s="220"/>
      <c r="EW110" s="220"/>
      <c r="EX110" s="220"/>
      <c r="EY110" s="220"/>
      <c r="EZ110" s="220"/>
      <c r="FA110" s="222"/>
      <c r="FB110" s="222"/>
      <c r="FC110" s="222"/>
      <c r="FD110" s="222"/>
      <c r="FE110" s="220"/>
      <c r="FF110" s="220"/>
      <c r="FG110" s="222"/>
      <c r="FH110" s="220"/>
      <c r="FI110" s="220"/>
      <c r="FJ110" s="220"/>
      <c r="FK110" s="220"/>
      <c r="FL110" s="215"/>
      <c r="FM110" s="172" t="s">
        <v>795</v>
      </c>
      <c r="FN110" s="172" t="s">
        <v>181</v>
      </c>
      <c r="FO110" s="172" t="s">
        <v>181</v>
      </c>
      <c r="FP110" s="172" t="s">
        <v>182</v>
      </c>
      <c r="FQ110" s="172" t="s">
        <v>796</v>
      </c>
      <c r="FR110" s="289" t="s">
        <v>549</v>
      </c>
      <c r="FS110" s="267" t="s">
        <v>203</v>
      </c>
      <c r="FT110" s="267" t="s">
        <v>797</v>
      </c>
      <c r="FU110" s="48">
        <v>6</v>
      </c>
    </row>
    <row r="111" spans="1:177" s="16" customFormat="1" ht="409.5">
      <c r="A111" s="63" t="s">
        <v>798</v>
      </c>
      <c r="B111" s="48" t="s">
        <v>337</v>
      </c>
      <c r="C111" s="64" t="s">
        <v>206</v>
      </c>
      <c r="D111" s="225" t="s">
        <v>207</v>
      </c>
      <c r="E111" s="63" t="s">
        <v>799</v>
      </c>
      <c r="F111" s="321">
        <v>1</v>
      </c>
      <c r="G111" s="322" t="s">
        <v>800</v>
      </c>
      <c r="H111" s="322" t="s">
        <v>801</v>
      </c>
      <c r="I111" s="65" t="s">
        <v>802</v>
      </c>
      <c r="J111" s="48">
        <v>2024</v>
      </c>
      <c r="K111" s="48">
        <v>2025</v>
      </c>
      <c r="L111" s="48" t="s">
        <v>288</v>
      </c>
      <c r="M111" s="48" t="s">
        <v>173</v>
      </c>
      <c r="N111" s="48" t="s">
        <v>174</v>
      </c>
      <c r="O111" s="48" t="s">
        <v>580</v>
      </c>
      <c r="P111" s="63" t="s">
        <v>458</v>
      </c>
      <c r="Q111" s="214" t="s">
        <v>297</v>
      </c>
      <c r="R111" s="63" t="s">
        <v>803</v>
      </c>
      <c r="S111" s="63" t="str">
        <f t="shared" si="283"/>
        <v>Selesai Implementasi</v>
      </c>
      <c r="T111" s="63" t="str">
        <f t="shared" si="145"/>
        <v>DONE</v>
      </c>
      <c r="U111" s="63" t="str">
        <f t="shared" si="284"/>
        <v>Yolanda Dini</v>
      </c>
      <c r="V111" s="67">
        <f t="shared" si="285"/>
        <v>0.99999999999999989</v>
      </c>
      <c r="W111" s="66" t="s">
        <v>380</v>
      </c>
      <c r="X111" s="59">
        <f t="shared" si="156"/>
        <v>45883</v>
      </c>
      <c r="Y111" s="363" t="s">
        <v>485</v>
      </c>
      <c r="Z111" s="294"/>
      <c r="AA111" s="364"/>
      <c r="AB111" s="365"/>
      <c r="AC111" s="42"/>
      <c r="AD111" s="42"/>
      <c r="AE111" s="42"/>
      <c r="AF111" s="42"/>
      <c r="AG111" s="42"/>
      <c r="AH111" s="245"/>
      <c r="AI111" s="366">
        <v>45769</v>
      </c>
      <c r="AJ111" s="366">
        <v>45777</v>
      </c>
      <c r="AK111" s="366">
        <v>45778</v>
      </c>
      <c r="AL111" s="367">
        <v>45838</v>
      </c>
      <c r="AM111" s="42">
        <v>45852</v>
      </c>
      <c r="AN111" s="42">
        <v>45856</v>
      </c>
      <c r="AO111" s="42">
        <v>45859</v>
      </c>
      <c r="AP111" s="42">
        <v>45863</v>
      </c>
      <c r="AQ111" s="42">
        <v>45866</v>
      </c>
      <c r="AR111" s="59">
        <v>45883</v>
      </c>
      <c r="AS111" s="63" t="str">
        <f t="shared" si="221"/>
        <v>Selesai Implementasi</v>
      </c>
      <c r="AT111" s="63" t="str">
        <f t="shared" si="222"/>
        <v>Selesai Implementasi</v>
      </c>
      <c r="AU111" s="63" t="str">
        <f t="shared" si="223"/>
        <v>Selesai Implementasi</v>
      </c>
      <c r="AV111" s="63" t="str">
        <f t="shared" si="224"/>
        <v>Selesai Implementasi</v>
      </c>
      <c r="AW111" s="63" t="str">
        <f t="shared" si="225"/>
        <v>Selesai Implementasi</v>
      </c>
      <c r="AX111" s="63" t="str">
        <f t="shared" si="226"/>
        <v>Selesai Implementasi</v>
      </c>
      <c r="AY111" s="63" t="str">
        <f t="shared" si="227"/>
        <v>Selesai Implementasi</v>
      </c>
      <c r="AZ111" s="63" t="str">
        <f t="shared" si="228"/>
        <v>Selesai Implementasi</v>
      </c>
      <c r="BA111" s="63" t="str">
        <f t="shared" si="229"/>
        <v>Selesai Implementasi</v>
      </c>
      <c r="BB111" s="63" t="str">
        <f t="shared" si="220"/>
        <v>Selesai Implementasi</v>
      </c>
      <c r="BC111" s="63" t="str">
        <f t="shared" si="288"/>
        <v>Selesai Implementasi</v>
      </c>
      <c r="BD111" s="63" t="str">
        <f t="shared" si="167"/>
        <v>Selesai Implementasi</v>
      </c>
      <c r="BE111" s="351">
        <v>1</v>
      </c>
      <c r="BF111" s="351">
        <v>1</v>
      </c>
      <c r="BG111" s="351">
        <v>1</v>
      </c>
      <c r="BH111" s="351">
        <v>1</v>
      </c>
      <c r="BI111" s="351">
        <v>1</v>
      </c>
      <c r="BJ111" s="351">
        <v>1</v>
      </c>
      <c r="BK111" s="351">
        <v>1</v>
      </c>
      <c r="BL111" s="351">
        <v>1</v>
      </c>
      <c r="BM111" s="351">
        <v>1</v>
      </c>
      <c r="BN111" s="351">
        <v>1</v>
      </c>
      <c r="BO111" s="351">
        <v>1</v>
      </c>
      <c r="BP111" s="351">
        <v>1</v>
      </c>
      <c r="BQ111" s="63" t="str">
        <f t="shared" si="168"/>
        <v>Selesai Implementasi</v>
      </c>
      <c r="BR111" s="63" t="str">
        <f t="shared" si="169"/>
        <v>Not Started</v>
      </c>
      <c r="BS111" s="63" t="str">
        <f t="shared" si="170"/>
        <v>Not Started</v>
      </c>
      <c r="BT111" s="63" t="str">
        <f t="shared" si="171"/>
        <v>Not Started</v>
      </c>
      <c r="BU111" s="63" t="str">
        <f t="shared" si="172"/>
        <v>Not Started</v>
      </c>
      <c r="BV111" s="63" t="str">
        <f t="shared" si="173"/>
        <v>Not Started</v>
      </c>
      <c r="BW111" s="63" t="str">
        <f t="shared" si="174"/>
        <v>Not Started</v>
      </c>
      <c r="BX111" s="63" t="str">
        <f t="shared" si="175"/>
        <v>Not Started</v>
      </c>
      <c r="BY111" s="63" t="str">
        <f t="shared" si="176"/>
        <v>Not Started</v>
      </c>
      <c r="BZ111" s="63" t="str">
        <f t="shared" si="177"/>
        <v>Not Started</v>
      </c>
      <c r="CA111" s="63" t="str">
        <f t="shared" si="178"/>
        <v>Not Started</v>
      </c>
      <c r="CB111" s="63" t="str">
        <f t="shared" si="179"/>
        <v>Not Started</v>
      </c>
      <c r="CC111" s="44">
        <f t="shared" si="289"/>
        <v>0.99999999999999989</v>
      </c>
      <c r="CD111" s="44"/>
      <c r="CE111" s="44"/>
      <c r="CF111" s="44"/>
      <c r="CG111" s="44"/>
      <c r="CH111" s="44"/>
      <c r="CI111" s="44"/>
      <c r="CJ111" s="44"/>
      <c r="CK111" s="44"/>
      <c r="CL111" s="44"/>
      <c r="CM111" s="44"/>
      <c r="CN111" s="44"/>
      <c r="CO111" s="45">
        <f t="shared" si="181"/>
        <v>0.99999999999999989</v>
      </c>
      <c r="CP111" s="45">
        <f t="shared" si="182"/>
        <v>0</v>
      </c>
      <c r="CQ111" s="45">
        <f t="shared" si="183"/>
        <v>0</v>
      </c>
      <c r="CR111" s="45">
        <f t="shared" si="184"/>
        <v>0</v>
      </c>
      <c r="CS111" s="45">
        <f t="shared" si="185"/>
        <v>0</v>
      </c>
      <c r="CT111" s="45">
        <f t="shared" si="186"/>
        <v>0</v>
      </c>
      <c r="CU111" s="45">
        <f t="shared" si="187"/>
        <v>0</v>
      </c>
      <c r="CV111" s="45">
        <f t="shared" si="188"/>
        <v>0</v>
      </c>
      <c r="CW111" s="45">
        <f t="shared" si="189"/>
        <v>0</v>
      </c>
      <c r="CX111" s="45">
        <f t="shared" si="190"/>
        <v>0</v>
      </c>
      <c r="CY111" s="45">
        <f t="shared" si="290"/>
        <v>0</v>
      </c>
      <c r="CZ111" s="45"/>
      <c r="DA111" s="45" t="str">
        <f t="shared" si="191"/>
        <v>DONE</v>
      </c>
      <c r="DB111" s="45" t="str">
        <f t="shared" si="192"/>
        <v>BS</v>
      </c>
      <c r="DC111" s="45" t="str">
        <f t="shared" si="193"/>
        <v>BS</v>
      </c>
      <c r="DD111" s="45" t="str">
        <f t="shared" si="194"/>
        <v>BS</v>
      </c>
      <c r="DE111" s="45" t="str">
        <f t="shared" si="195"/>
        <v>BS</v>
      </c>
      <c r="DF111" s="45" t="str">
        <f t="shared" si="196"/>
        <v>BS</v>
      </c>
      <c r="DG111" s="45" t="str">
        <f t="shared" si="197"/>
        <v>BS</v>
      </c>
      <c r="DH111" s="45" t="str">
        <f t="shared" si="198"/>
        <v>BS</v>
      </c>
      <c r="DI111" s="45" t="str">
        <f t="shared" si="199"/>
        <v>BS</v>
      </c>
      <c r="DJ111" s="45" t="str">
        <f t="shared" si="200"/>
        <v>BS</v>
      </c>
      <c r="DK111" s="45" t="str">
        <f t="shared" si="286"/>
        <v>BS</v>
      </c>
      <c r="DL111" s="45" t="str">
        <f t="shared" si="201"/>
        <v>BS</v>
      </c>
      <c r="DM111" s="45">
        <f t="shared" si="202"/>
        <v>0.99999999999999989</v>
      </c>
      <c r="DN111" s="45">
        <f t="shared" si="203"/>
        <v>0</v>
      </c>
      <c r="DO111" s="45">
        <f t="shared" si="204"/>
        <v>0</v>
      </c>
      <c r="DP111" s="45">
        <f t="shared" si="205"/>
        <v>0</v>
      </c>
      <c r="DQ111" s="45">
        <f t="shared" si="206"/>
        <v>0</v>
      </c>
      <c r="DR111" s="45">
        <f t="shared" si="207"/>
        <v>0</v>
      </c>
      <c r="DS111" s="45">
        <f t="shared" si="208"/>
        <v>0</v>
      </c>
      <c r="DT111" s="45">
        <f t="shared" si="209"/>
        <v>0</v>
      </c>
      <c r="DU111" s="45">
        <f t="shared" si="210"/>
        <v>0</v>
      </c>
      <c r="DV111" s="45">
        <f t="shared" si="211"/>
        <v>0</v>
      </c>
      <c r="DW111" s="45">
        <f t="shared" si="212"/>
        <v>0</v>
      </c>
      <c r="DX111" s="45">
        <f t="shared" si="213"/>
        <v>0</v>
      </c>
      <c r="DY111" s="41">
        <v>1</v>
      </c>
      <c r="DZ111" s="41">
        <v>1</v>
      </c>
      <c r="EA111" s="41">
        <v>1</v>
      </c>
      <c r="EB111" s="41">
        <v>1</v>
      </c>
      <c r="EC111" s="41">
        <v>1</v>
      </c>
      <c r="ED111" s="41">
        <v>1</v>
      </c>
      <c r="EE111" s="41">
        <v>1</v>
      </c>
      <c r="EF111" s="41">
        <v>1</v>
      </c>
      <c r="EG111" s="74">
        <v>1</v>
      </c>
      <c r="EH111" s="47" t="s">
        <v>804</v>
      </c>
      <c r="EI111" s="352">
        <v>45869</v>
      </c>
      <c r="EJ111" s="59">
        <f t="shared" si="214"/>
        <v>45883</v>
      </c>
      <c r="EK111" s="229"/>
      <c r="EL111" s="230"/>
      <c r="EM111" s="229"/>
      <c r="EN111" s="222"/>
      <c r="EO111" s="222"/>
      <c r="EP111" s="222"/>
      <c r="EQ111" s="231"/>
      <c r="ER111" s="213"/>
      <c r="ES111" s="220" t="s">
        <v>679</v>
      </c>
      <c r="ET111" s="220"/>
      <c r="EU111" s="220"/>
      <c r="EV111" s="220"/>
      <c r="EW111" s="220"/>
      <c r="EX111" s="220"/>
      <c r="EY111" s="220"/>
      <c r="EZ111" s="220"/>
      <c r="FA111" s="220"/>
      <c r="FB111" s="222"/>
      <c r="FC111" s="222"/>
      <c r="FD111" s="222"/>
      <c r="FE111" s="220"/>
      <c r="FF111" s="220"/>
      <c r="FG111" s="222"/>
      <c r="FH111" s="220"/>
      <c r="FI111" s="220"/>
      <c r="FJ111" s="220"/>
      <c r="FK111" s="220"/>
      <c r="FL111" s="215"/>
      <c r="FM111" s="172" t="s">
        <v>805</v>
      </c>
      <c r="FN111" s="340" t="s">
        <v>315</v>
      </c>
      <c r="FO111" s="224" t="s">
        <v>300</v>
      </c>
      <c r="FP111" s="172" t="s">
        <v>806</v>
      </c>
      <c r="FQ111" s="172" t="s">
        <v>328</v>
      </c>
      <c r="FR111" s="289" t="s">
        <v>549</v>
      </c>
      <c r="FS111" s="267" t="s">
        <v>488</v>
      </c>
      <c r="FT111" s="267" t="s">
        <v>346</v>
      </c>
      <c r="FU111" s="48">
        <v>4</v>
      </c>
    </row>
    <row r="112" spans="1:177" s="16" customFormat="1" ht="240">
      <c r="A112" s="63" t="s">
        <v>798</v>
      </c>
      <c r="B112" s="48" t="s">
        <v>337</v>
      </c>
      <c r="C112" s="64" t="s">
        <v>206</v>
      </c>
      <c r="D112" s="225" t="s">
        <v>207</v>
      </c>
      <c r="E112" s="63" t="s">
        <v>799</v>
      </c>
      <c r="F112" s="321">
        <f>F111+1</f>
        <v>2</v>
      </c>
      <c r="G112" s="65" t="s">
        <v>800</v>
      </c>
      <c r="H112" s="322" t="s">
        <v>801</v>
      </c>
      <c r="I112" s="65" t="s">
        <v>807</v>
      </c>
      <c r="J112" s="48">
        <v>2025</v>
      </c>
      <c r="K112" s="48">
        <v>2025</v>
      </c>
      <c r="L112" s="48" t="s">
        <v>288</v>
      </c>
      <c r="M112" s="48" t="s">
        <v>173</v>
      </c>
      <c r="N112" s="48" t="s">
        <v>174</v>
      </c>
      <c r="O112" s="48" t="s">
        <v>580</v>
      </c>
      <c r="P112" s="63" t="s">
        <v>458</v>
      </c>
      <c r="Q112" s="214" t="s">
        <v>297</v>
      </c>
      <c r="R112" s="63" t="s">
        <v>803</v>
      </c>
      <c r="S112" s="63" t="str">
        <f t="shared" si="283"/>
        <v>Selesai Implementasi</v>
      </c>
      <c r="T112" s="63" t="str">
        <f t="shared" si="145"/>
        <v>DONE</v>
      </c>
      <c r="U112" s="63" t="str">
        <f t="shared" si="284"/>
        <v>Yolanda Dini</v>
      </c>
      <c r="V112" s="67">
        <f t="shared" si="285"/>
        <v>0.99999999999999989</v>
      </c>
      <c r="W112" s="66" t="s">
        <v>448</v>
      </c>
      <c r="X112" s="339">
        <f t="shared" si="156"/>
        <v>46003</v>
      </c>
      <c r="Y112" s="48" t="s">
        <v>485</v>
      </c>
      <c r="Z112" s="48"/>
      <c r="AA112" s="252">
        <v>45839</v>
      </c>
      <c r="AB112" s="252">
        <v>45900</v>
      </c>
      <c r="AC112" s="252">
        <v>45901</v>
      </c>
      <c r="AD112" s="252">
        <v>45915</v>
      </c>
      <c r="AE112" s="251">
        <v>45915</v>
      </c>
      <c r="AF112" s="251">
        <v>45930</v>
      </c>
      <c r="AG112" s="274"/>
      <c r="AH112" s="274"/>
      <c r="AI112" s="251">
        <v>45901</v>
      </c>
      <c r="AJ112" s="251">
        <v>45919</v>
      </c>
      <c r="AK112" s="251">
        <v>45922</v>
      </c>
      <c r="AL112" s="251">
        <v>45944</v>
      </c>
      <c r="AM112" s="370">
        <v>45978</v>
      </c>
      <c r="AN112" s="370">
        <v>45996</v>
      </c>
      <c r="AO112" s="410">
        <v>45992</v>
      </c>
      <c r="AP112" s="410">
        <v>45996</v>
      </c>
      <c r="AQ112" s="410">
        <v>45999</v>
      </c>
      <c r="AR112" s="410">
        <v>46003</v>
      </c>
      <c r="AS112" s="63" t="str">
        <f t="shared" si="221"/>
        <v>Selesai Implementasi</v>
      </c>
      <c r="AT112" s="63" t="str">
        <f t="shared" si="222"/>
        <v>Selesai Implementasi</v>
      </c>
      <c r="AU112" s="63" t="str">
        <f t="shared" si="223"/>
        <v>Selesai Implementasi</v>
      </c>
      <c r="AV112" s="63" t="str">
        <f t="shared" si="224"/>
        <v>Selesai Implementasi</v>
      </c>
      <c r="AW112" s="63" t="str">
        <f t="shared" si="225"/>
        <v>Selesai Implementasi</v>
      </c>
      <c r="AX112" s="63" t="str">
        <f t="shared" si="226"/>
        <v>Selesai Implementasi</v>
      </c>
      <c r="AY112" s="63" t="str">
        <f t="shared" si="227"/>
        <v>Selesai Implementasi</v>
      </c>
      <c r="AZ112" s="63" t="str">
        <f t="shared" si="228"/>
        <v>Selesai Implementasi</v>
      </c>
      <c r="BA112" s="63" t="str">
        <f t="shared" si="229"/>
        <v>Selesai Implementasi</v>
      </c>
      <c r="BB112" s="63" t="str">
        <f t="shared" si="220"/>
        <v>Selesai Implementasi</v>
      </c>
      <c r="BC112" s="63" t="str">
        <f t="shared" si="288"/>
        <v>Selesai Implementasi</v>
      </c>
      <c r="BD112" s="63" t="str">
        <f t="shared" si="167"/>
        <v>Selesai Implementasi</v>
      </c>
      <c r="BE112" s="351">
        <v>1</v>
      </c>
      <c r="BF112" s="351">
        <v>1</v>
      </c>
      <c r="BG112" s="351">
        <v>1</v>
      </c>
      <c r="BH112" s="351">
        <v>1</v>
      </c>
      <c r="BI112" s="351">
        <v>1</v>
      </c>
      <c r="BJ112" s="351">
        <v>1</v>
      </c>
      <c r="BK112" s="351">
        <v>1</v>
      </c>
      <c r="BL112" s="351">
        <v>1</v>
      </c>
      <c r="BM112" s="351">
        <v>1</v>
      </c>
      <c r="BN112" s="351">
        <v>1</v>
      </c>
      <c r="BO112" s="351">
        <v>1</v>
      </c>
      <c r="BP112" s="351">
        <v>1</v>
      </c>
      <c r="BQ112" s="63" t="str">
        <f t="shared" si="168"/>
        <v>Selesai Implementasi</v>
      </c>
      <c r="BR112" s="63" t="str">
        <f t="shared" si="169"/>
        <v>Not Started</v>
      </c>
      <c r="BS112" s="63" t="str">
        <f t="shared" si="170"/>
        <v>Not Started</v>
      </c>
      <c r="BT112" s="63" t="str">
        <f t="shared" si="171"/>
        <v>Not Started</v>
      </c>
      <c r="BU112" s="63" t="str">
        <f t="shared" si="172"/>
        <v>Not Started</v>
      </c>
      <c r="BV112" s="63" t="str">
        <f t="shared" si="173"/>
        <v>Not Started</v>
      </c>
      <c r="BW112" s="63" t="str">
        <f t="shared" si="174"/>
        <v>Not Started</v>
      </c>
      <c r="BX112" s="63" t="str">
        <f t="shared" si="175"/>
        <v>Not Started</v>
      </c>
      <c r="BY112" s="63" t="str">
        <f t="shared" si="176"/>
        <v>Not Started</v>
      </c>
      <c r="BZ112" s="63" t="str">
        <f t="shared" si="177"/>
        <v>Not Started</v>
      </c>
      <c r="CA112" s="63" t="str">
        <f t="shared" si="178"/>
        <v>Not Started</v>
      </c>
      <c r="CB112" s="63" t="str">
        <f t="shared" si="179"/>
        <v>Not Started</v>
      </c>
      <c r="CC112" s="44">
        <f t="shared" si="289"/>
        <v>0.99999999999999989</v>
      </c>
      <c r="CD112" s="44"/>
      <c r="CE112" s="44"/>
      <c r="CF112" s="44"/>
      <c r="CG112" s="44"/>
      <c r="CH112" s="44"/>
      <c r="CI112" s="44"/>
      <c r="CJ112" s="44"/>
      <c r="CK112" s="44"/>
      <c r="CL112" s="44"/>
      <c r="CM112" s="44"/>
      <c r="CN112" s="44"/>
      <c r="CO112" s="45">
        <f t="shared" si="181"/>
        <v>0.99999999999999989</v>
      </c>
      <c r="CP112" s="45">
        <f t="shared" si="182"/>
        <v>0</v>
      </c>
      <c r="CQ112" s="45">
        <f t="shared" si="183"/>
        <v>0</v>
      </c>
      <c r="CR112" s="45">
        <f t="shared" si="184"/>
        <v>0</v>
      </c>
      <c r="CS112" s="45">
        <f t="shared" si="185"/>
        <v>0</v>
      </c>
      <c r="CT112" s="45">
        <f t="shared" si="186"/>
        <v>0</v>
      </c>
      <c r="CU112" s="45">
        <f t="shared" si="187"/>
        <v>0</v>
      </c>
      <c r="CV112" s="45">
        <f t="shared" si="188"/>
        <v>0</v>
      </c>
      <c r="CW112" s="45">
        <f t="shared" si="189"/>
        <v>0</v>
      </c>
      <c r="CX112" s="45">
        <f t="shared" si="190"/>
        <v>0</v>
      </c>
      <c r="CY112" s="45">
        <f t="shared" si="290"/>
        <v>0</v>
      </c>
      <c r="CZ112" s="45"/>
      <c r="DA112" s="45" t="str">
        <f t="shared" si="191"/>
        <v>DONE</v>
      </c>
      <c r="DB112" s="45" t="str">
        <f t="shared" si="192"/>
        <v>BS</v>
      </c>
      <c r="DC112" s="45" t="str">
        <f t="shared" si="193"/>
        <v>BS</v>
      </c>
      <c r="DD112" s="45" t="str">
        <f t="shared" si="194"/>
        <v>BS</v>
      </c>
      <c r="DE112" s="45" t="str">
        <f t="shared" si="195"/>
        <v>BS</v>
      </c>
      <c r="DF112" s="45" t="str">
        <f t="shared" si="196"/>
        <v>BS</v>
      </c>
      <c r="DG112" s="45" t="str">
        <f t="shared" si="197"/>
        <v>BS</v>
      </c>
      <c r="DH112" s="45" t="str">
        <f t="shared" si="198"/>
        <v>BS</v>
      </c>
      <c r="DI112" s="45" t="str">
        <f t="shared" si="199"/>
        <v>BS</v>
      </c>
      <c r="DJ112" s="45" t="str">
        <f t="shared" si="200"/>
        <v>BS</v>
      </c>
      <c r="DK112" s="45" t="str">
        <f t="shared" si="286"/>
        <v>BS</v>
      </c>
      <c r="DL112" s="45" t="str">
        <f t="shared" si="201"/>
        <v>BS</v>
      </c>
      <c r="DM112" s="45">
        <f t="shared" si="202"/>
        <v>0.99999999999999989</v>
      </c>
      <c r="DN112" s="45">
        <f t="shared" si="203"/>
        <v>0</v>
      </c>
      <c r="DO112" s="45">
        <f t="shared" si="204"/>
        <v>0</v>
      </c>
      <c r="DP112" s="45">
        <f t="shared" si="205"/>
        <v>0</v>
      </c>
      <c r="DQ112" s="45">
        <f t="shared" si="206"/>
        <v>0</v>
      </c>
      <c r="DR112" s="45">
        <f t="shared" si="207"/>
        <v>0</v>
      </c>
      <c r="DS112" s="45">
        <f t="shared" si="208"/>
        <v>0</v>
      </c>
      <c r="DT112" s="45">
        <f t="shared" si="209"/>
        <v>0</v>
      </c>
      <c r="DU112" s="45">
        <f t="shared" si="210"/>
        <v>0</v>
      </c>
      <c r="DV112" s="45">
        <f t="shared" si="211"/>
        <v>0</v>
      </c>
      <c r="DW112" s="45">
        <f t="shared" si="212"/>
        <v>0</v>
      </c>
      <c r="DX112" s="45">
        <f t="shared" si="213"/>
        <v>0</v>
      </c>
      <c r="DY112" s="41">
        <v>1</v>
      </c>
      <c r="DZ112" s="41">
        <v>1</v>
      </c>
      <c r="EA112" s="41">
        <v>1</v>
      </c>
      <c r="EB112" s="41">
        <v>1</v>
      </c>
      <c r="EC112" s="41">
        <v>1</v>
      </c>
      <c r="ED112" s="41">
        <v>1</v>
      </c>
      <c r="EE112" s="41">
        <v>1</v>
      </c>
      <c r="EF112" s="41">
        <v>1</v>
      </c>
      <c r="EG112" s="41">
        <v>1</v>
      </c>
      <c r="EH112" s="177" t="s">
        <v>808</v>
      </c>
      <c r="EI112" s="222"/>
      <c r="EJ112" s="59">
        <f t="shared" si="214"/>
        <v>46003</v>
      </c>
      <c r="EK112" s="229"/>
      <c r="EL112" s="230"/>
      <c r="EM112" s="229"/>
      <c r="EN112" s="222"/>
      <c r="EO112" s="222"/>
      <c r="EP112" s="222"/>
      <c r="EQ112" s="231"/>
      <c r="ER112" s="213"/>
      <c r="ES112" s="220" t="s">
        <v>679</v>
      </c>
      <c r="ET112" s="220"/>
      <c r="EU112" s="220"/>
      <c r="EV112" s="220"/>
      <c r="EW112" s="220"/>
      <c r="EX112" s="220"/>
      <c r="EY112" s="220"/>
      <c r="EZ112" s="220"/>
      <c r="FA112" s="220"/>
      <c r="FB112" s="222"/>
      <c r="FC112" s="222"/>
      <c r="FD112" s="222"/>
      <c r="FE112" s="220"/>
      <c r="FF112" s="220"/>
      <c r="FG112" s="222"/>
      <c r="FH112" s="220"/>
      <c r="FI112" s="220"/>
      <c r="FJ112" s="220"/>
      <c r="FK112" s="220"/>
      <c r="FL112" s="215"/>
      <c r="FM112" s="172" t="s">
        <v>809</v>
      </c>
      <c r="FN112" s="340" t="s">
        <v>315</v>
      </c>
      <c r="FO112" s="224" t="s">
        <v>300</v>
      </c>
      <c r="FP112" s="172" t="s">
        <v>806</v>
      </c>
      <c r="FQ112" s="172" t="s">
        <v>328</v>
      </c>
      <c r="FR112" s="289" t="s">
        <v>549</v>
      </c>
      <c r="FS112" s="267" t="s">
        <v>488</v>
      </c>
      <c r="FT112" s="267" t="s">
        <v>346</v>
      </c>
      <c r="FU112" s="48">
        <v>4</v>
      </c>
    </row>
    <row r="113" spans="1:177" s="13" customFormat="1" ht="144">
      <c r="A113" s="258"/>
      <c r="B113" s="48" t="s">
        <v>337</v>
      </c>
      <c r="C113" s="64" t="s">
        <v>206</v>
      </c>
      <c r="D113" s="225" t="s">
        <v>207</v>
      </c>
      <c r="E113" s="63" t="s">
        <v>799</v>
      </c>
      <c r="F113" s="321">
        <f>F112+1</f>
        <v>3</v>
      </c>
      <c r="G113" s="222" t="s">
        <v>800</v>
      </c>
      <c r="H113" s="322" t="s">
        <v>801</v>
      </c>
      <c r="I113" s="222" t="s">
        <v>810</v>
      </c>
      <c r="J113" s="48">
        <v>2025</v>
      </c>
      <c r="K113" s="48">
        <v>2026</v>
      </c>
      <c r="L113" s="48" t="s">
        <v>288</v>
      </c>
      <c r="M113" s="48" t="s">
        <v>173</v>
      </c>
      <c r="N113" s="48" t="s">
        <v>174</v>
      </c>
      <c r="O113" s="63" t="s">
        <v>580</v>
      </c>
      <c r="P113" s="63" t="s">
        <v>458</v>
      </c>
      <c r="Q113" s="214" t="s">
        <v>297</v>
      </c>
      <c r="R113" s="63" t="s">
        <v>803</v>
      </c>
      <c r="S113" s="63" t="str">
        <f t="shared" si="283"/>
        <v>Selesai Implementasi</v>
      </c>
      <c r="T113" s="63" t="str">
        <f t="shared" si="145"/>
        <v>DONE</v>
      </c>
      <c r="U113" s="63" t="str">
        <f t="shared" si="284"/>
        <v>Yolanda Dini</v>
      </c>
      <c r="V113" s="67">
        <f t="shared" si="285"/>
        <v>0.99999999999999989</v>
      </c>
      <c r="W113" s="368" t="s">
        <v>448</v>
      </c>
      <c r="X113" s="339">
        <f t="shared" si="156"/>
        <v>46031</v>
      </c>
      <c r="Y113" s="48" t="s">
        <v>485</v>
      </c>
      <c r="Z113" s="48"/>
      <c r="AA113" s="252">
        <v>45790</v>
      </c>
      <c r="AB113" s="251">
        <v>45930</v>
      </c>
      <c r="AC113" s="251">
        <v>45901</v>
      </c>
      <c r="AD113" s="251">
        <v>45930</v>
      </c>
      <c r="AE113" s="251">
        <v>45901</v>
      </c>
      <c r="AF113" s="251">
        <v>45930</v>
      </c>
      <c r="AG113" s="369"/>
      <c r="AH113" s="369"/>
      <c r="AI113" s="370"/>
      <c r="AJ113" s="370"/>
      <c r="AK113" s="370">
        <v>45978</v>
      </c>
      <c r="AL113" s="370">
        <v>46003</v>
      </c>
      <c r="AM113" s="370">
        <v>46006</v>
      </c>
      <c r="AN113" s="370">
        <v>46015</v>
      </c>
      <c r="AO113" s="370">
        <v>46020</v>
      </c>
      <c r="AP113" s="370">
        <v>46028</v>
      </c>
      <c r="AQ113" s="370">
        <v>46029</v>
      </c>
      <c r="AR113" s="370">
        <v>46031</v>
      </c>
      <c r="AS113" s="63" t="str">
        <f t="shared" si="221"/>
        <v>Selesai Implementasi</v>
      </c>
      <c r="AT113" s="63" t="str">
        <f t="shared" si="222"/>
        <v>Selesai Implementasi</v>
      </c>
      <c r="AU113" s="63" t="str">
        <f t="shared" si="223"/>
        <v>Selesai Implementasi</v>
      </c>
      <c r="AV113" s="63" t="str">
        <f t="shared" si="224"/>
        <v>Selesai Implementasi</v>
      </c>
      <c r="AW113" s="63" t="str">
        <f t="shared" si="225"/>
        <v>Selesai Implementasi</v>
      </c>
      <c r="AX113" s="63" t="str">
        <f t="shared" si="226"/>
        <v>Selesai Implementasi</v>
      </c>
      <c r="AY113" s="63" t="str">
        <f t="shared" si="227"/>
        <v>Selesai Implementasi</v>
      </c>
      <c r="AZ113" s="63" t="str">
        <f t="shared" si="228"/>
        <v>Selesai Implementasi</v>
      </c>
      <c r="BA113" s="63" t="str">
        <f t="shared" si="229"/>
        <v>Selesai Implementasi</v>
      </c>
      <c r="BB113" s="63" t="str">
        <f t="shared" si="220"/>
        <v>Selesai Implementasi</v>
      </c>
      <c r="BC113" s="63" t="str">
        <f t="shared" si="288"/>
        <v>Selesai Implementasi</v>
      </c>
      <c r="BD113" s="63" t="str">
        <f t="shared" si="167"/>
        <v>Selesai Implementasi</v>
      </c>
      <c r="BE113" s="43">
        <v>1</v>
      </c>
      <c r="BF113" s="43">
        <v>1</v>
      </c>
      <c r="BG113" s="43">
        <v>1</v>
      </c>
      <c r="BH113" s="43">
        <v>1</v>
      </c>
      <c r="BI113" s="43">
        <v>1</v>
      </c>
      <c r="BJ113" s="43">
        <v>1</v>
      </c>
      <c r="BK113" s="43">
        <v>1</v>
      </c>
      <c r="BL113" s="43">
        <v>1</v>
      </c>
      <c r="BM113" s="43">
        <v>1</v>
      </c>
      <c r="BN113" s="43">
        <v>1</v>
      </c>
      <c r="BO113" s="43">
        <v>1</v>
      </c>
      <c r="BP113" s="43">
        <v>1</v>
      </c>
      <c r="BQ113" s="63" t="str">
        <f t="shared" si="168"/>
        <v>Selesai Implementasi</v>
      </c>
      <c r="BR113" s="63" t="str">
        <f t="shared" si="169"/>
        <v>Not Started</v>
      </c>
      <c r="BS113" s="63" t="str">
        <f t="shared" si="170"/>
        <v>Not Started</v>
      </c>
      <c r="BT113" s="63" t="str">
        <f t="shared" si="171"/>
        <v>Not Started</v>
      </c>
      <c r="BU113" s="63" t="str">
        <f t="shared" si="172"/>
        <v>Not Started</v>
      </c>
      <c r="BV113" s="63" t="str">
        <f t="shared" si="173"/>
        <v>Not Started</v>
      </c>
      <c r="BW113" s="63" t="str">
        <f t="shared" si="174"/>
        <v>Not Started</v>
      </c>
      <c r="BX113" s="63" t="str">
        <f t="shared" si="175"/>
        <v>Not Started</v>
      </c>
      <c r="BY113" s="63" t="str">
        <f t="shared" si="176"/>
        <v>Not Started</v>
      </c>
      <c r="BZ113" s="63" t="str">
        <f t="shared" si="177"/>
        <v>Not Started</v>
      </c>
      <c r="CA113" s="63" t="str">
        <f t="shared" si="178"/>
        <v>Not Started</v>
      </c>
      <c r="CB113" s="63" t="str">
        <f t="shared" si="179"/>
        <v>Not Started</v>
      </c>
      <c r="CC113" s="44">
        <f t="shared" si="289"/>
        <v>0.99999999999999989</v>
      </c>
      <c r="CD113" s="303"/>
      <c r="CE113" s="303"/>
      <c r="CF113" s="303"/>
      <c r="CG113" s="371"/>
      <c r="CH113" s="44"/>
      <c r="CI113" s="44"/>
      <c r="CJ113" s="44"/>
      <c r="CK113" s="303"/>
      <c r="CL113" s="44"/>
      <c r="CM113" s="44"/>
      <c r="CN113" s="44"/>
      <c r="CO113" s="45">
        <f t="shared" si="181"/>
        <v>0.99999999999999989</v>
      </c>
      <c r="CP113" s="45">
        <f t="shared" si="182"/>
        <v>0</v>
      </c>
      <c r="CQ113" s="45">
        <f t="shared" si="183"/>
        <v>0</v>
      </c>
      <c r="CR113" s="45">
        <f t="shared" si="184"/>
        <v>0</v>
      </c>
      <c r="CS113" s="45">
        <f t="shared" si="185"/>
        <v>0</v>
      </c>
      <c r="CT113" s="45">
        <f t="shared" si="186"/>
        <v>0</v>
      </c>
      <c r="CU113" s="45">
        <f t="shared" si="187"/>
        <v>0</v>
      </c>
      <c r="CV113" s="45">
        <f t="shared" si="188"/>
        <v>0</v>
      </c>
      <c r="CW113" s="45">
        <f t="shared" si="189"/>
        <v>0</v>
      </c>
      <c r="CX113" s="45">
        <f t="shared" si="190"/>
        <v>0</v>
      </c>
      <c r="CY113" s="45">
        <f t="shared" si="290"/>
        <v>0</v>
      </c>
      <c r="CZ113" s="305"/>
      <c r="DA113" s="45" t="str">
        <f t="shared" si="191"/>
        <v>DONE</v>
      </c>
      <c r="DB113" s="45" t="str">
        <f t="shared" si="192"/>
        <v>BS</v>
      </c>
      <c r="DC113" s="45" t="str">
        <f t="shared" si="193"/>
        <v>BS</v>
      </c>
      <c r="DD113" s="45" t="str">
        <f t="shared" si="194"/>
        <v>BS</v>
      </c>
      <c r="DE113" s="45" t="str">
        <f t="shared" si="195"/>
        <v>BS</v>
      </c>
      <c r="DF113" s="45" t="str">
        <f t="shared" si="196"/>
        <v>BS</v>
      </c>
      <c r="DG113" s="45" t="str">
        <f t="shared" si="197"/>
        <v>BS</v>
      </c>
      <c r="DH113" s="45" t="str">
        <f t="shared" si="198"/>
        <v>BS</v>
      </c>
      <c r="DI113" s="45" t="str">
        <f t="shared" si="199"/>
        <v>BS</v>
      </c>
      <c r="DJ113" s="45" t="str">
        <f t="shared" si="200"/>
        <v>BS</v>
      </c>
      <c r="DK113" s="45" t="str">
        <f t="shared" si="286"/>
        <v>BS</v>
      </c>
      <c r="DL113" s="45" t="str">
        <f t="shared" si="201"/>
        <v>BS</v>
      </c>
      <c r="DM113" s="45">
        <f t="shared" si="202"/>
        <v>0.99999999999999989</v>
      </c>
      <c r="DN113" s="45">
        <f t="shared" si="203"/>
        <v>0</v>
      </c>
      <c r="DO113" s="45">
        <f t="shared" si="204"/>
        <v>0</v>
      </c>
      <c r="DP113" s="45">
        <f t="shared" si="205"/>
        <v>0</v>
      </c>
      <c r="DQ113" s="45">
        <f t="shared" si="206"/>
        <v>0</v>
      </c>
      <c r="DR113" s="45">
        <f t="shared" si="207"/>
        <v>0</v>
      </c>
      <c r="DS113" s="45">
        <f t="shared" si="208"/>
        <v>0</v>
      </c>
      <c r="DT113" s="45">
        <f t="shared" si="209"/>
        <v>0</v>
      </c>
      <c r="DU113" s="45">
        <f t="shared" si="210"/>
        <v>0</v>
      </c>
      <c r="DV113" s="45">
        <f t="shared" si="211"/>
        <v>0</v>
      </c>
      <c r="DW113" s="45">
        <f t="shared" si="212"/>
        <v>0</v>
      </c>
      <c r="DX113" s="45">
        <f t="shared" si="213"/>
        <v>0</v>
      </c>
      <c r="DY113" s="41">
        <v>1</v>
      </c>
      <c r="DZ113" s="41">
        <v>1</v>
      </c>
      <c r="EA113" s="41">
        <v>1</v>
      </c>
      <c r="EB113" s="41">
        <v>1</v>
      </c>
      <c r="EC113" s="41">
        <v>1</v>
      </c>
      <c r="ED113" s="41">
        <v>1</v>
      </c>
      <c r="EE113" s="41">
        <v>1</v>
      </c>
      <c r="EF113" s="180">
        <v>1</v>
      </c>
      <c r="EG113" s="180">
        <v>1</v>
      </c>
      <c r="EH113" s="609" t="s">
        <v>1630</v>
      </c>
      <c r="EI113" s="253"/>
      <c r="EJ113" s="59">
        <f t="shared" si="214"/>
        <v>46031</v>
      </c>
      <c r="EK113" s="372"/>
      <c r="EL113" s="356"/>
      <c r="EM113" s="356"/>
      <c r="EN113" s="253"/>
      <c r="EO113" s="253"/>
      <c r="EP113" s="360"/>
      <c r="EQ113" s="253"/>
      <c r="ER113" s="373"/>
      <c r="ES113" s="360"/>
      <c r="ET113" s="253"/>
      <c r="EU113" s="253"/>
      <c r="EV113" s="360"/>
      <c r="EW113" s="360"/>
      <c r="EX113" s="360"/>
      <c r="EY113" s="360"/>
      <c r="EZ113" s="360"/>
      <c r="FA113" s="253"/>
      <c r="FB113" s="360"/>
      <c r="FC113" s="253"/>
      <c r="FD113" s="360"/>
      <c r="FE113" s="360"/>
      <c r="FF113" s="253"/>
      <c r="FG113" s="253"/>
      <c r="FH113" s="360"/>
      <c r="FI113" s="360"/>
      <c r="FJ113" s="360"/>
      <c r="FK113" s="360"/>
      <c r="FL113" s="374"/>
      <c r="FM113" s="172" t="s">
        <v>811</v>
      </c>
      <c r="FN113" s="248" t="s">
        <v>315</v>
      </c>
      <c r="FO113" s="319" t="s">
        <v>300</v>
      </c>
      <c r="FP113" s="172" t="s">
        <v>806</v>
      </c>
      <c r="FQ113" s="172" t="s">
        <v>301</v>
      </c>
      <c r="FR113" s="289" t="s">
        <v>549</v>
      </c>
      <c r="FS113" s="373"/>
      <c r="FT113" s="373"/>
      <c r="FU113" s="258"/>
    </row>
    <row r="114" spans="1:177" s="16" customFormat="1" ht="112">
      <c r="A114" s="63" t="s">
        <v>798</v>
      </c>
      <c r="B114" s="48" t="s">
        <v>337</v>
      </c>
      <c r="C114" s="64" t="s">
        <v>206</v>
      </c>
      <c r="D114" s="225" t="s">
        <v>207</v>
      </c>
      <c r="E114" s="63" t="s">
        <v>799</v>
      </c>
      <c r="F114" s="321">
        <f>F113+1</f>
        <v>4</v>
      </c>
      <c r="G114" s="65" t="s">
        <v>800</v>
      </c>
      <c r="H114" s="322" t="s">
        <v>801</v>
      </c>
      <c r="I114" s="65" t="s">
        <v>812</v>
      </c>
      <c r="J114" s="48">
        <v>2026</v>
      </c>
      <c r="K114" s="48">
        <v>2026</v>
      </c>
      <c r="L114" s="48" t="s">
        <v>288</v>
      </c>
      <c r="M114" s="48" t="s">
        <v>173</v>
      </c>
      <c r="N114" s="48" t="s">
        <v>174</v>
      </c>
      <c r="O114" s="63" t="s">
        <v>580</v>
      </c>
      <c r="P114" s="63" t="s">
        <v>458</v>
      </c>
      <c r="Q114" s="214" t="s">
        <v>297</v>
      </c>
      <c r="R114" s="63" t="s">
        <v>803</v>
      </c>
      <c r="S114" s="63" t="str">
        <f t="shared" si="283"/>
        <v>Not Started</v>
      </c>
      <c r="T114" s="63" t="str">
        <f t="shared" si="145"/>
        <v>Not Started</v>
      </c>
      <c r="U114" s="63" t="str">
        <f t="shared" si="284"/>
        <v>Yolanda Dini</v>
      </c>
      <c r="V114" s="67">
        <f t="shared" si="285"/>
        <v>0</v>
      </c>
      <c r="W114" s="66" t="s">
        <v>178</v>
      </c>
      <c r="X114" s="59">
        <f t="shared" si="156"/>
        <v>46387</v>
      </c>
      <c r="Y114" s="326" t="s">
        <v>485</v>
      </c>
      <c r="Z114" s="320"/>
      <c r="AA114" s="62">
        <v>46082</v>
      </c>
      <c r="AB114" s="62">
        <v>46173</v>
      </c>
      <c r="AC114" s="251">
        <v>46174</v>
      </c>
      <c r="AD114" s="251">
        <v>46188</v>
      </c>
      <c r="AE114" s="251">
        <v>46189</v>
      </c>
      <c r="AF114" s="251">
        <v>46203</v>
      </c>
      <c r="AG114" s="274"/>
      <c r="AH114" s="274"/>
      <c r="AI114" s="251">
        <v>46204</v>
      </c>
      <c r="AJ114" s="251">
        <v>46234</v>
      </c>
      <c r="AK114" s="251">
        <v>46235</v>
      </c>
      <c r="AL114" s="251">
        <v>46295</v>
      </c>
      <c r="AM114" s="251">
        <v>46296</v>
      </c>
      <c r="AN114" s="251">
        <v>46326</v>
      </c>
      <c r="AO114" s="251">
        <v>46327</v>
      </c>
      <c r="AP114" s="251">
        <v>46356</v>
      </c>
      <c r="AQ114" s="251">
        <v>46357</v>
      </c>
      <c r="AR114" s="251">
        <v>46387</v>
      </c>
      <c r="AS114" s="63" t="str">
        <f t="shared" si="221"/>
        <v>Not Started</v>
      </c>
      <c r="AT114" s="63" t="str">
        <f t="shared" si="222"/>
        <v>Not Started</v>
      </c>
      <c r="AU114" s="63" t="str">
        <f t="shared" si="223"/>
        <v>Selesai RBT-RBB</v>
      </c>
      <c r="AV114" s="63" t="str">
        <f t="shared" si="224"/>
        <v>Selesai RBT-RBL</v>
      </c>
      <c r="AW114" s="63" t="str">
        <f t="shared" si="225"/>
        <v>Selesai RBT-RBTD</v>
      </c>
      <c r="AX114" s="63" t="str">
        <f t="shared" si="226"/>
        <v>Selesai KAK</v>
      </c>
      <c r="AY114" s="63" t="str">
        <f t="shared" si="227"/>
        <v>Selesai Desain</v>
      </c>
      <c r="AZ114" s="63" t="str">
        <f t="shared" si="228"/>
        <v>Proses Pengembangan</v>
      </c>
      <c r="BA114" s="63" t="str">
        <f t="shared" si="229"/>
        <v>Selesai Pengembangan</v>
      </c>
      <c r="BB114" s="63" t="str">
        <f t="shared" si="220"/>
        <v>Proses SIT</v>
      </c>
      <c r="BC114" s="63" t="str">
        <f t="shared" si="288"/>
        <v>Selesai UAT</v>
      </c>
      <c r="BD114" s="63" t="str">
        <f t="shared" si="167"/>
        <v>Selesai Implementasi</v>
      </c>
      <c r="BE114" s="43">
        <v>0</v>
      </c>
      <c r="BF114" s="43">
        <v>0</v>
      </c>
      <c r="BG114" s="43">
        <v>0.05</v>
      </c>
      <c r="BH114" s="43">
        <v>0.1</v>
      </c>
      <c r="BI114" s="43">
        <v>0.15</v>
      </c>
      <c r="BJ114" s="43">
        <v>0.25</v>
      </c>
      <c r="BK114" s="43">
        <v>0.45</v>
      </c>
      <c r="BL114" s="43">
        <v>0.62</v>
      </c>
      <c r="BM114" s="43">
        <v>0.8</v>
      </c>
      <c r="BN114" s="43">
        <v>0.87</v>
      </c>
      <c r="BO114" s="43">
        <v>0.95</v>
      </c>
      <c r="BP114" s="43">
        <v>1</v>
      </c>
      <c r="BQ114" s="63" t="str">
        <f t="shared" si="168"/>
        <v>Not Started</v>
      </c>
      <c r="BR114" s="63" t="str">
        <f t="shared" si="169"/>
        <v>Not Started</v>
      </c>
      <c r="BS114" s="63" t="str">
        <f t="shared" si="170"/>
        <v>Not Started</v>
      </c>
      <c r="BT114" s="63" t="str">
        <f t="shared" si="171"/>
        <v>Not Started</v>
      </c>
      <c r="BU114" s="63" t="str">
        <f t="shared" si="172"/>
        <v>Not Started</v>
      </c>
      <c r="BV114" s="63" t="str">
        <f t="shared" si="173"/>
        <v>Not Started</v>
      </c>
      <c r="BW114" s="63" t="str">
        <f t="shared" si="174"/>
        <v>Not Started</v>
      </c>
      <c r="BX114" s="63" t="str">
        <f t="shared" si="175"/>
        <v>Not Started</v>
      </c>
      <c r="BY114" s="63" t="str">
        <f t="shared" si="176"/>
        <v>Not Started</v>
      </c>
      <c r="BZ114" s="63" t="str">
        <f t="shared" si="177"/>
        <v>Not Started</v>
      </c>
      <c r="CA114" s="63" t="str">
        <f t="shared" si="178"/>
        <v>Not Started</v>
      </c>
      <c r="CB114" s="63" t="str">
        <f t="shared" si="179"/>
        <v>Not Started</v>
      </c>
      <c r="CC114" s="44">
        <f t="shared" si="289"/>
        <v>0</v>
      </c>
      <c r="CD114" s="44"/>
      <c r="CE114" s="44"/>
      <c r="CF114" s="44"/>
      <c r="CG114" s="44"/>
      <c r="CH114" s="44"/>
      <c r="CI114" s="44"/>
      <c r="CJ114" s="44"/>
      <c r="CK114" s="44"/>
      <c r="CL114" s="44"/>
      <c r="CM114" s="44"/>
      <c r="CN114" s="44"/>
      <c r="CO114" s="45">
        <f t="shared" si="181"/>
        <v>1</v>
      </c>
      <c r="CP114" s="45">
        <f t="shared" si="182"/>
        <v>1</v>
      </c>
      <c r="CQ114" s="45">
        <f t="shared" si="183"/>
        <v>0</v>
      </c>
      <c r="CR114" s="45">
        <f t="shared" si="184"/>
        <v>0</v>
      </c>
      <c r="CS114" s="45">
        <f t="shared" si="185"/>
        <v>0</v>
      </c>
      <c r="CT114" s="45">
        <f t="shared" si="186"/>
        <v>0</v>
      </c>
      <c r="CU114" s="45">
        <f t="shared" si="187"/>
        <v>0</v>
      </c>
      <c r="CV114" s="45">
        <f t="shared" si="188"/>
        <v>0</v>
      </c>
      <c r="CW114" s="45">
        <f t="shared" si="189"/>
        <v>0</v>
      </c>
      <c r="CX114" s="45">
        <f t="shared" si="190"/>
        <v>0</v>
      </c>
      <c r="CY114" s="45">
        <f t="shared" si="290"/>
        <v>0</v>
      </c>
      <c r="CZ114" s="45"/>
      <c r="DA114" s="45" t="str">
        <f t="shared" si="191"/>
        <v>NS</v>
      </c>
      <c r="DB114" s="45" t="str">
        <f t="shared" si="192"/>
        <v>NS</v>
      </c>
      <c r="DC114" s="45" t="str">
        <f t="shared" si="193"/>
        <v>BS</v>
      </c>
      <c r="DD114" s="45" t="str">
        <f t="shared" si="194"/>
        <v>BS</v>
      </c>
      <c r="DE114" s="45" t="str">
        <f t="shared" si="195"/>
        <v>BS</v>
      </c>
      <c r="DF114" s="45" t="str">
        <f t="shared" si="196"/>
        <v>BS</v>
      </c>
      <c r="DG114" s="45" t="str">
        <f t="shared" si="197"/>
        <v>BS</v>
      </c>
      <c r="DH114" s="45" t="str">
        <f t="shared" si="198"/>
        <v>BS</v>
      </c>
      <c r="DI114" s="45" t="str">
        <f t="shared" si="199"/>
        <v>BS</v>
      </c>
      <c r="DJ114" s="45" t="str">
        <f t="shared" si="200"/>
        <v>BS</v>
      </c>
      <c r="DK114" s="45" t="str">
        <f t="shared" si="286"/>
        <v>BS</v>
      </c>
      <c r="DL114" s="45" t="str">
        <f t="shared" si="201"/>
        <v>BS</v>
      </c>
      <c r="DM114" s="45">
        <f t="shared" si="202"/>
        <v>0</v>
      </c>
      <c r="DN114" s="45">
        <f t="shared" si="203"/>
        <v>0</v>
      </c>
      <c r="DO114" s="45">
        <f t="shared" si="204"/>
        <v>0</v>
      </c>
      <c r="DP114" s="45">
        <f t="shared" si="205"/>
        <v>0</v>
      </c>
      <c r="DQ114" s="45">
        <f t="shared" si="206"/>
        <v>0</v>
      </c>
      <c r="DR114" s="45">
        <f t="shared" si="207"/>
        <v>0</v>
      </c>
      <c r="DS114" s="45">
        <f t="shared" si="208"/>
        <v>0</v>
      </c>
      <c r="DT114" s="45">
        <f t="shared" si="209"/>
        <v>0</v>
      </c>
      <c r="DU114" s="45">
        <f t="shared" si="210"/>
        <v>0</v>
      </c>
      <c r="DV114" s="45">
        <f t="shared" si="211"/>
        <v>0</v>
      </c>
      <c r="DW114" s="45">
        <f t="shared" si="212"/>
        <v>0</v>
      </c>
      <c r="DX114" s="45">
        <f t="shared" si="213"/>
        <v>0</v>
      </c>
      <c r="DY114" s="41"/>
      <c r="DZ114" s="41"/>
      <c r="EA114" s="41"/>
      <c r="EB114" s="41"/>
      <c r="EC114" s="41"/>
      <c r="ED114" s="41"/>
      <c r="EE114" s="41"/>
      <c r="EF114" s="41"/>
      <c r="EG114" s="74"/>
      <c r="EH114" s="47" t="s">
        <v>813</v>
      </c>
      <c r="EI114" s="260"/>
      <c r="EJ114" s="59">
        <f t="shared" si="214"/>
        <v>46387</v>
      </c>
      <c r="EK114" s="229"/>
      <c r="EL114" s="230"/>
      <c r="EM114" s="229"/>
      <c r="EN114" s="222"/>
      <c r="EO114" s="222"/>
      <c r="EP114" s="222"/>
      <c r="EQ114" s="231"/>
      <c r="ER114" s="213"/>
      <c r="ES114" s="220" t="s">
        <v>679</v>
      </c>
      <c r="ET114" s="220"/>
      <c r="EU114" s="220"/>
      <c r="EV114" s="220"/>
      <c r="EW114" s="220"/>
      <c r="EX114" s="220"/>
      <c r="EY114" s="220"/>
      <c r="EZ114" s="220"/>
      <c r="FA114" s="220"/>
      <c r="FB114" s="222"/>
      <c r="FC114" s="222"/>
      <c r="FD114" s="222"/>
      <c r="FE114" s="220"/>
      <c r="FF114" s="220"/>
      <c r="FG114" s="222"/>
      <c r="FH114" s="220"/>
      <c r="FI114" s="220"/>
      <c r="FJ114" s="220"/>
      <c r="FK114" s="220"/>
      <c r="FL114" s="215"/>
      <c r="FM114" s="172" t="s">
        <v>805</v>
      </c>
      <c r="FN114" s="340" t="s">
        <v>315</v>
      </c>
      <c r="FO114" s="224" t="s">
        <v>300</v>
      </c>
      <c r="FP114" s="172" t="s">
        <v>806</v>
      </c>
      <c r="FQ114" s="172" t="s">
        <v>328</v>
      </c>
      <c r="FR114" s="289" t="s">
        <v>549</v>
      </c>
      <c r="FS114" s="267" t="s">
        <v>488</v>
      </c>
      <c r="FT114" s="267" t="s">
        <v>346</v>
      </c>
      <c r="FU114" s="48">
        <v>4</v>
      </c>
    </row>
    <row r="115" spans="1:177" s="16" customFormat="1" ht="80">
      <c r="A115" s="63"/>
      <c r="B115" s="48" t="s">
        <v>337</v>
      </c>
      <c r="C115" s="64" t="s">
        <v>206</v>
      </c>
      <c r="D115" s="225" t="s">
        <v>207</v>
      </c>
      <c r="E115" s="63" t="s">
        <v>799</v>
      </c>
      <c r="F115" s="321">
        <f>F114+1</f>
        <v>5</v>
      </c>
      <c r="G115" s="293" t="s">
        <v>800</v>
      </c>
      <c r="H115" s="375" t="s">
        <v>801</v>
      </c>
      <c r="I115" s="293" t="s">
        <v>814</v>
      </c>
      <c r="J115" s="48">
        <v>2026</v>
      </c>
      <c r="K115" s="48">
        <v>2027</v>
      </c>
      <c r="L115" s="48" t="s">
        <v>288</v>
      </c>
      <c r="M115" s="48" t="s">
        <v>173</v>
      </c>
      <c r="N115" s="48" t="s">
        <v>174</v>
      </c>
      <c r="O115" s="63" t="s">
        <v>580</v>
      </c>
      <c r="P115" s="63" t="s">
        <v>458</v>
      </c>
      <c r="Q115" s="214" t="s">
        <v>297</v>
      </c>
      <c r="R115" s="63" t="s">
        <v>803</v>
      </c>
      <c r="S115" s="63" t="str">
        <f t="shared" si="283"/>
        <v>Not Started</v>
      </c>
      <c r="T115" s="63" t="str">
        <f t="shared" si="145"/>
        <v>Not Started</v>
      </c>
      <c r="U115" s="63" t="str">
        <f t="shared" si="284"/>
        <v>Yolanda Dini</v>
      </c>
      <c r="V115" s="67">
        <f t="shared" si="285"/>
        <v>0</v>
      </c>
      <c r="W115" s="368" t="s">
        <v>263</v>
      </c>
      <c r="X115" s="59">
        <f t="shared" si="156"/>
        <v>46660</v>
      </c>
      <c r="Y115" s="68"/>
      <c r="Z115" s="48" t="s">
        <v>179</v>
      </c>
      <c r="AA115" s="341">
        <v>46296</v>
      </c>
      <c r="AB115" s="274">
        <v>46477</v>
      </c>
      <c r="AC115" s="508">
        <v>46478</v>
      </c>
      <c r="AD115" s="508">
        <v>46507</v>
      </c>
      <c r="AE115" s="508">
        <v>46478</v>
      </c>
      <c r="AF115" s="508">
        <v>46507</v>
      </c>
      <c r="AG115" s="274"/>
      <c r="AH115" s="274"/>
      <c r="AI115" s="508">
        <v>46497</v>
      </c>
      <c r="AJ115" s="508">
        <v>46507</v>
      </c>
      <c r="AK115" s="508">
        <v>46508</v>
      </c>
      <c r="AL115" s="508">
        <v>46583</v>
      </c>
      <c r="AM115" s="218">
        <v>46584</v>
      </c>
      <c r="AN115" s="218">
        <v>46599</v>
      </c>
      <c r="AO115" s="218">
        <v>46600</v>
      </c>
      <c r="AP115" s="376">
        <v>46630</v>
      </c>
      <c r="AQ115" s="218">
        <v>46631</v>
      </c>
      <c r="AR115" s="218">
        <v>46660</v>
      </c>
      <c r="AS115" s="63" t="str">
        <f t="shared" si="221"/>
        <v>Not Started</v>
      </c>
      <c r="AT115" s="63" t="str">
        <f t="shared" si="222"/>
        <v>Not Started</v>
      </c>
      <c r="AU115" s="63" t="str">
        <f t="shared" si="223"/>
        <v>Not Started</v>
      </c>
      <c r="AV115" s="63" t="str">
        <f t="shared" si="224"/>
        <v>Not Started</v>
      </c>
      <c r="AW115" s="63" t="str">
        <f t="shared" si="225"/>
        <v>Not Started</v>
      </c>
      <c r="AX115" s="63" t="str">
        <f t="shared" si="226"/>
        <v>Not Started</v>
      </c>
      <c r="AY115" s="63" t="str">
        <f t="shared" si="227"/>
        <v>Not Started</v>
      </c>
      <c r="AZ115" s="63" t="str">
        <f t="shared" si="228"/>
        <v>Not Started</v>
      </c>
      <c r="BA115" s="63" t="str">
        <f t="shared" si="229"/>
        <v>Not Started</v>
      </c>
      <c r="BB115" s="63" t="str">
        <f t="shared" si="220"/>
        <v>Proses RBT-RBB</v>
      </c>
      <c r="BC115" s="63" t="str">
        <f t="shared" si="288"/>
        <v>Proses RBT-RBL</v>
      </c>
      <c r="BD115" s="63" t="str">
        <f t="shared" si="167"/>
        <v>Proses RBT-RBL</v>
      </c>
      <c r="BE115" s="43">
        <v>0</v>
      </c>
      <c r="BF115" s="43">
        <v>0</v>
      </c>
      <c r="BG115" s="43">
        <v>0</v>
      </c>
      <c r="BH115" s="43">
        <v>0</v>
      </c>
      <c r="BI115" s="43">
        <v>0</v>
      </c>
      <c r="BJ115" s="43">
        <v>0</v>
      </c>
      <c r="BK115" s="43">
        <v>0</v>
      </c>
      <c r="BL115" s="43">
        <v>0</v>
      </c>
      <c r="BM115" s="43">
        <v>0</v>
      </c>
      <c r="BN115" s="43">
        <v>0.03</v>
      </c>
      <c r="BO115" s="43">
        <v>0.06</v>
      </c>
      <c r="BP115" s="43">
        <v>0.09</v>
      </c>
      <c r="BQ115" s="63" t="str">
        <f t="shared" si="168"/>
        <v>Not Started</v>
      </c>
      <c r="BR115" s="63" t="str">
        <f t="shared" si="169"/>
        <v>Not Started</v>
      </c>
      <c r="BS115" s="63" t="str">
        <f t="shared" si="170"/>
        <v>Not Started</v>
      </c>
      <c r="BT115" s="63" t="str">
        <f t="shared" si="171"/>
        <v>Not Started</v>
      </c>
      <c r="BU115" s="63" t="str">
        <f t="shared" si="172"/>
        <v>Not Started</v>
      </c>
      <c r="BV115" s="63" t="str">
        <f t="shared" si="173"/>
        <v>Not Started</v>
      </c>
      <c r="BW115" s="63" t="str">
        <f t="shared" si="174"/>
        <v>Not Started</v>
      </c>
      <c r="BX115" s="63" t="str">
        <f t="shared" si="175"/>
        <v>Not Started</v>
      </c>
      <c r="BY115" s="63" t="str">
        <f t="shared" si="176"/>
        <v>Not Started</v>
      </c>
      <c r="BZ115" s="63" t="str">
        <f t="shared" si="177"/>
        <v>Not Started</v>
      </c>
      <c r="CA115" s="63" t="str">
        <f t="shared" si="178"/>
        <v>Not Started</v>
      </c>
      <c r="CB115" s="63" t="str">
        <f t="shared" si="179"/>
        <v>Not Started</v>
      </c>
      <c r="CC115" s="44">
        <f t="shared" si="289"/>
        <v>0</v>
      </c>
      <c r="CD115" s="44"/>
      <c r="CE115" s="44"/>
      <c r="CF115" s="44"/>
      <c r="CG115" s="44"/>
      <c r="CH115" s="44"/>
      <c r="CI115" s="44"/>
      <c r="CJ115" s="44"/>
      <c r="CK115" s="44"/>
      <c r="CL115" s="44"/>
      <c r="CM115" s="44"/>
      <c r="CN115" s="44"/>
      <c r="CO115" s="45">
        <f t="shared" si="181"/>
        <v>1</v>
      </c>
      <c r="CP115" s="45">
        <f t="shared" si="182"/>
        <v>1</v>
      </c>
      <c r="CQ115" s="45">
        <f t="shared" si="183"/>
        <v>1</v>
      </c>
      <c r="CR115" s="45">
        <f t="shared" si="184"/>
        <v>1</v>
      </c>
      <c r="CS115" s="45">
        <f t="shared" si="185"/>
        <v>1</v>
      </c>
      <c r="CT115" s="45">
        <f t="shared" si="186"/>
        <v>1</v>
      </c>
      <c r="CU115" s="45">
        <f t="shared" si="187"/>
        <v>1</v>
      </c>
      <c r="CV115" s="45">
        <f t="shared" si="188"/>
        <v>1</v>
      </c>
      <c r="CW115" s="45">
        <f t="shared" si="189"/>
        <v>1</v>
      </c>
      <c r="CX115" s="45">
        <f t="shared" si="190"/>
        <v>0</v>
      </c>
      <c r="CY115" s="45">
        <f t="shared" si="290"/>
        <v>0</v>
      </c>
      <c r="CZ115" s="45"/>
      <c r="DA115" s="45" t="str">
        <f t="shared" si="191"/>
        <v>NS</v>
      </c>
      <c r="DB115" s="45" t="str">
        <f t="shared" si="192"/>
        <v>NS</v>
      </c>
      <c r="DC115" s="45" t="str">
        <f t="shared" si="193"/>
        <v>NS</v>
      </c>
      <c r="DD115" s="45" t="str">
        <f t="shared" si="194"/>
        <v>NS</v>
      </c>
      <c r="DE115" s="45" t="str">
        <f t="shared" si="195"/>
        <v>NS</v>
      </c>
      <c r="DF115" s="45" t="str">
        <f t="shared" si="196"/>
        <v>NS</v>
      </c>
      <c r="DG115" s="45" t="str">
        <f t="shared" si="197"/>
        <v>NS</v>
      </c>
      <c r="DH115" s="45" t="str">
        <f t="shared" si="198"/>
        <v>NS</v>
      </c>
      <c r="DI115" s="45" t="str">
        <f t="shared" si="199"/>
        <v>NS</v>
      </c>
      <c r="DJ115" s="45" t="str">
        <f t="shared" si="200"/>
        <v>BS</v>
      </c>
      <c r="DK115" s="45" t="str">
        <f t="shared" si="286"/>
        <v>BS</v>
      </c>
      <c r="DL115" s="45" t="str">
        <f t="shared" si="201"/>
        <v>BS</v>
      </c>
      <c r="DM115" s="45">
        <f t="shared" si="202"/>
        <v>0</v>
      </c>
      <c r="DN115" s="45">
        <f t="shared" si="203"/>
        <v>0</v>
      </c>
      <c r="DO115" s="45">
        <f t="shared" si="204"/>
        <v>0</v>
      </c>
      <c r="DP115" s="45">
        <f t="shared" si="205"/>
        <v>0</v>
      </c>
      <c r="DQ115" s="45">
        <f t="shared" si="206"/>
        <v>0</v>
      </c>
      <c r="DR115" s="45">
        <f t="shared" si="207"/>
        <v>0</v>
      </c>
      <c r="DS115" s="45">
        <f t="shared" si="208"/>
        <v>0</v>
      </c>
      <c r="DT115" s="45">
        <f t="shared" si="209"/>
        <v>0</v>
      </c>
      <c r="DU115" s="45">
        <f t="shared" si="210"/>
        <v>0</v>
      </c>
      <c r="DV115" s="45">
        <f t="shared" si="211"/>
        <v>0</v>
      </c>
      <c r="DW115" s="45">
        <f t="shared" si="212"/>
        <v>0</v>
      </c>
      <c r="DX115" s="45">
        <f t="shared" si="213"/>
        <v>0</v>
      </c>
      <c r="DY115" s="41"/>
      <c r="DZ115" s="41"/>
      <c r="EA115" s="41"/>
      <c r="EB115" s="41"/>
      <c r="EC115" s="41"/>
      <c r="ED115" s="41"/>
      <c r="EE115" s="41"/>
      <c r="EF115" s="41"/>
      <c r="EG115" s="74"/>
      <c r="EH115" s="47"/>
      <c r="EI115" s="260"/>
      <c r="EJ115" s="59">
        <f t="shared" si="214"/>
        <v>46660</v>
      </c>
      <c r="EK115" s="229"/>
      <c r="EL115" s="230"/>
      <c r="EM115" s="229"/>
      <c r="EN115" s="222"/>
      <c r="EO115" s="222"/>
      <c r="EP115" s="222"/>
      <c r="EQ115" s="231"/>
      <c r="ER115" s="213"/>
      <c r="ES115" s="220"/>
      <c r="ET115" s="220"/>
      <c r="EU115" s="220"/>
      <c r="EV115" s="220"/>
      <c r="EW115" s="220"/>
      <c r="EX115" s="220"/>
      <c r="EY115" s="220"/>
      <c r="EZ115" s="220"/>
      <c r="FA115" s="220"/>
      <c r="FB115" s="222"/>
      <c r="FC115" s="222"/>
      <c r="FD115" s="222"/>
      <c r="FE115" s="220"/>
      <c r="FF115" s="220"/>
      <c r="FG115" s="222"/>
      <c r="FH115" s="220"/>
      <c r="FI115" s="220"/>
      <c r="FJ115" s="220"/>
      <c r="FK115" s="220"/>
      <c r="FL115" s="215"/>
      <c r="FM115" s="247"/>
      <c r="FN115" s="340" t="s">
        <v>315</v>
      </c>
      <c r="FO115" s="247"/>
      <c r="FP115" s="247"/>
      <c r="FQ115" s="247"/>
      <c r="FR115" s="289"/>
      <c r="FS115" s="267"/>
      <c r="FT115" s="267"/>
      <c r="FU115" s="48"/>
    </row>
    <row r="116" spans="1:177" s="16" customFormat="1" ht="409.5">
      <c r="A116" s="63" t="s">
        <v>815</v>
      </c>
      <c r="B116" s="48" t="s">
        <v>468</v>
      </c>
      <c r="C116" s="64" t="s">
        <v>206</v>
      </c>
      <c r="D116" s="225" t="s">
        <v>207</v>
      </c>
      <c r="E116" s="226" t="s">
        <v>816</v>
      </c>
      <c r="F116" s="377">
        <v>1</v>
      </c>
      <c r="G116" s="222" t="s">
        <v>817</v>
      </c>
      <c r="H116" s="222" t="s">
        <v>818</v>
      </c>
      <c r="I116" s="222" t="s">
        <v>819</v>
      </c>
      <c r="J116" s="48">
        <v>2024</v>
      </c>
      <c r="K116" s="48">
        <v>2025</v>
      </c>
      <c r="L116" s="48" t="s">
        <v>288</v>
      </c>
      <c r="M116" s="48" t="s">
        <v>173</v>
      </c>
      <c r="N116" s="48" t="s">
        <v>174</v>
      </c>
      <c r="O116" s="48" t="s">
        <v>638</v>
      </c>
      <c r="P116" s="63" t="s">
        <v>458</v>
      </c>
      <c r="Q116" s="214" t="s">
        <v>673</v>
      </c>
      <c r="R116" s="63" t="s">
        <v>817</v>
      </c>
      <c r="S116" s="63" t="str">
        <f t="shared" si="283"/>
        <v>Selesai Implementasi</v>
      </c>
      <c r="T116" s="63" t="str">
        <f t="shared" si="145"/>
        <v>DONE</v>
      </c>
      <c r="U116" s="63" t="str">
        <f t="shared" si="284"/>
        <v>Aldo Fernanda</v>
      </c>
      <c r="V116" s="67">
        <f t="shared" si="285"/>
        <v>0.99999999999999989</v>
      </c>
      <c r="W116" s="66" t="s">
        <v>380</v>
      </c>
      <c r="X116" s="59">
        <f t="shared" si="156"/>
        <v>45688</v>
      </c>
      <c r="Y116" s="68" t="s">
        <v>381</v>
      </c>
      <c r="Z116" s="48"/>
      <c r="AA116" s="62">
        <v>45352</v>
      </c>
      <c r="AB116" s="42">
        <v>45369</v>
      </c>
      <c r="AC116" s="42">
        <v>45352</v>
      </c>
      <c r="AD116" s="42">
        <v>45369</v>
      </c>
      <c r="AE116" s="42">
        <v>45369</v>
      </c>
      <c r="AF116" s="42">
        <v>45380</v>
      </c>
      <c r="AG116" s="42">
        <v>45383</v>
      </c>
      <c r="AH116" s="42">
        <v>45474</v>
      </c>
      <c r="AI116" s="59">
        <v>45474</v>
      </c>
      <c r="AJ116" s="59">
        <v>45492</v>
      </c>
      <c r="AK116" s="59">
        <v>45495</v>
      </c>
      <c r="AL116" s="59">
        <v>45576</v>
      </c>
      <c r="AM116" s="59">
        <v>45579</v>
      </c>
      <c r="AN116" s="59">
        <v>45597</v>
      </c>
      <c r="AO116" s="59">
        <v>45600</v>
      </c>
      <c r="AP116" s="339">
        <v>45639</v>
      </c>
      <c r="AQ116" s="59">
        <v>45642</v>
      </c>
      <c r="AR116" s="59">
        <v>45688</v>
      </c>
      <c r="AS116" s="63" t="str">
        <f t="shared" si="221"/>
        <v>Selesai Implementasi</v>
      </c>
      <c r="AT116" s="63" t="str">
        <f t="shared" si="222"/>
        <v>Selesai Implementasi</v>
      </c>
      <c r="AU116" s="63" t="str">
        <f t="shared" si="223"/>
        <v>Selesai Implementasi</v>
      </c>
      <c r="AV116" s="63" t="str">
        <f t="shared" si="224"/>
        <v>Selesai Implementasi</v>
      </c>
      <c r="AW116" s="63" t="str">
        <f t="shared" si="225"/>
        <v>Selesai Implementasi</v>
      </c>
      <c r="AX116" s="63" t="str">
        <f t="shared" si="226"/>
        <v>Selesai Implementasi</v>
      </c>
      <c r="AY116" s="63" t="str">
        <f t="shared" si="227"/>
        <v>Selesai Implementasi</v>
      </c>
      <c r="AZ116" s="63" t="str">
        <f t="shared" si="228"/>
        <v>Selesai Implementasi</v>
      </c>
      <c r="BA116" s="63" t="str">
        <f t="shared" si="229"/>
        <v>Selesai Implementasi</v>
      </c>
      <c r="BB116" s="63" t="str">
        <f t="shared" si="220"/>
        <v>Selesai Implementasi</v>
      </c>
      <c r="BC116" s="63" t="str">
        <f t="shared" si="288"/>
        <v>Selesai Implementasi</v>
      </c>
      <c r="BD116" s="63" t="str">
        <f t="shared" si="167"/>
        <v>Selesai Implementasi</v>
      </c>
      <c r="BE116" s="351">
        <v>1</v>
      </c>
      <c r="BF116" s="43">
        <v>1</v>
      </c>
      <c r="BG116" s="43">
        <v>1</v>
      </c>
      <c r="BH116" s="43">
        <v>1</v>
      </c>
      <c r="BI116" s="43">
        <v>1</v>
      </c>
      <c r="BJ116" s="43">
        <v>1</v>
      </c>
      <c r="BK116" s="43">
        <v>1</v>
      </c>
      <c r="BL116" s="43">
        <v>1</v>
      </c>
      <c r="BM116" s="43">
        <v>1</v>
      </c>
      <c r="BN116" s="43">
        <v>1</v>
      </c>
      <c r="BO116" s="43">
        <v>1</v>
      </c>
      <c r="BP116" s="43">
        <v>1</v>
      </c>
      <c r="BQ116" s="63" t="str">
        <f t="shared" si="168"/>
        <v>Selesai Implementasi</v>
      </c>
      <c r="BR116" s="63" t="str">
        <f t="shared" si="169"/>
        <v>Not Started</v>
      </c>
      <c r="BS116" s="63" t="str">
        <f t="shared" si="170"/>
        <v>Not Started</v>
      </c>
      <c r="BT116" s="63" t="str">
        <f t="shared" si="171"/>
        <v>Not Started</v>
      </c>
      <c r="BU116" s="63" t="str">
        <f t="shared" si="172"/>
        <v>Not Started</v>
      </c>
      <c r="BV116" s="63" t="str">
        <f t="shared" si="173"/>
        <v>Not Started</v>
      </c>
      <c r="BW116" s="63" t="str">
        <f t="shared" si="174"/>
        <v>Not Started</v>
      </c>
      <c r="BX116" s="63" t="str">
        <f t="shared" si="175"/>
        <v>Not Started</v>
      </c>
      <c r="BY116" s="63" t="str">
        <f t="shared" si="176"/>
        <v>Not Started</v>
      </c>
      <c r="BZ116" s="63" t="str">
        <f t="shared" si="177"/>
        <v>Not Started</v>
      </c>
      <c r="CA116" s="63" t="str">
        <f t="shared" si="178"/>
        <v>Not Started</v>
      </c>
      <c r="CB116" s="63" t="str">
        <f t="shared" si="179"/>
        <v>Not Started</v>
      </c>
      <c r="CC116" s="44">
        <f t="shared" si="289"/>
        <v>0.99999999999999989</v>
      </c>
      <c r="CD116" s="44"/>
      <c r="CE116" s="44"/>
      <c r="CF116" s="44"/>
      <c r="CG116" s="44"/>
      <c r="CH116" s="44"/>
      <c r="CI116" s="44"/>
      <c r="CJ116" s="44"/>
      <c r="CK116" s="44"/>
      <c r="CL116" s="44"/>
      <c r="CM116" s="44"/>
      <c r="CN116" s="44"/>
      <c r="CO116" s="45">
        <f t="shared" si="181"/>
        <v>0.99999999999999989</v>
      </c>
      <c r="CP116" s="45">
        <f t="shared" si="182"/>
        <v>0</v>
      </c>
      <c r="CQ116" s="45">
        <f t="shared" si="183"/>
        <v>0</v>
      </c>
      <c r="CR116" s="45">
        <f t="shared" si="184"/>
        <v>0</v>
      </c>
      <c r="CS116" s="45">
        <f t="shared" si="185"/>
        <v>0</v>
      </c>
      <c r="CT116" s="45">
        <f t="shared" si="186"/>
        <v>0</v>
      </c>
      <c r="CU116" s="45">
        <f t="shared" si="187"/>
        <v>0</v>
      </c>
      <c r="CV116" s="45">
        <f t="shared" si="188"/>
        <v>0</v>
      </c>
      <c r="CW116" s="45">
        <f t="shared" si="189"/>
        <v>0</v>
      </c>
      <c r="CX116" s="45">
        <f t="shared" si="190"/>
        <v>0</v>
      </c>
      <c r="CY116" s="45">
        <f t="shared" si="290"/>
        <v>0</v>
      </c>
      <c r="CZ116" s="45"/>
      <c r="DA116" s="45" t="str">
        <f t="shared" si="191"/>
        <v>DONE</v>
      </c>
      <c r="DB116" s="45" t="str">
        <f t="shared" si="192"/>
        <v>BS</v>
      </c>
      <c r="DC116" s="45" t="str">
        <f t="shared" si="193"/>
        <v>BS</v>
      </c>
      <c r="DD116" s="45" t="str">
        <f t="shared" si="194"/>
        <v>BS</v>
      </c>
      <c r="DE116" s="45" t="str">
        <f t="shared" si="195"/>
        <v>BS</v>
      </c>
      <c r="DF116" s="45" t="str">
        <f t="shared" si="196"/>
        <v>BS</v>
      </c>
      <c r="DG116" s="45" t="str">
        <f t="shared" si="197"/>
        <v>BS</v>
      </c>
      <c r="DH116" s="45" t="str">
        <f t="shared" si="198"/>
        <v>BS</v>
      </c>
      <c r="DI116" s="45" t="str">
        <f t="shared" si="199"/>
        <v>BS</v>
      </c>
      <c r="DJ116" s="45" t="str">
        <f t="shared" si="200"/>
        <v>BS</v>
      </c>
      <c r="DK116" s="45" t="str">
        <f t="shared" si="286"/>
        <v>BS</v>
      </c>
      <c r="DL116" s="45" t="str">
        <f t="shared" si="201"/>
        <v>BS</v>
      </c>
      <c r="DM116" s="45">
        <f t="shared" si="202"/>
        <v>0.99999999999999989</v>
      </c>
      <c r="DN116" s="45">
        <f t="shared" si="203"/>
        <v>0</v>
      </c>
      <c r="DO116" s="45">
        <f t="shared" si="204"/>
        <v>0</v>
      </c>
      <c r="DP116" s="45">
        <f t="shared" si="205"/>
        <v>0</v>
      </c>
      <c r="DQ116" s="45">
        <f t="shared" si="206"/>
        <v>0</v>
      </c>
      <c r="DR116" s="45">
        <f t="shared" si="207"/>
        <v>0</v>
      </c>
      <c r="DS116" s="45">
        <f t="shared" si="208"/>
        <v>0</v>
      </c>
      <c r="DT116" s="45">
        <f t="shared" si="209"/>
        <v>0</v>
      </c>
      <c r="DU116" s="45">
        <f t="shared" si="210"/>
        <v>0</v>
      </c>
      <c r="DV116" s="45">
        <f t="shared" si="211"/>
        <v>0</v>
      </c>
      <c r="DW116" s="45">
        <f t="shared" si="212"/>
        <v>0</v>
      </c>
      <c r="DX116" s="45">
        <f t="shared" si="213"/>
        <v>0</v>
      </c>
      <c r="DY116" s="46">
        <v>1</v>
      </c>
      <c r="DZ116" s="46">
        <v>1</v>
      </c>
      <c r="EA116" s="46">
        <v>1</v>
      </c>
      <c r="EB116" s="46">
        <v>1</v>
      </c>
      <c r="EC116" s="46">
        <v>1</v>
      </c>
      <c r="ED116" s="46">
        <v>1</v>
      </c>
      <c r="EE116" s="46">
        <v>1</v>
      </c>
      <c r="EF116" s="46">
        <v>1</v>
      </c>
      <c r="EG116" s="46">
        <v>1</v>
      </c>
      <c r="EH116" s="40" t="s">
        <v>820</v>
      </c>
      <c r="EI116" s="42">
        <v>45716</v>
      </c>
      <c r="EJ116" s="59">
        <f t="shared" si="214"/>
        <v>45688</v>
      </c>
      <c r="EK116" s="229"/>
      <c r="EL116" s="59">
        <v>45477</v>
      </c>
      <c r="EM116" s="230"/>
      <c r="EN116" s="213" t="s">
        <v>821</v>
      </c>
      <c r="EO116" s="222" t="s">
        <v>822</v>
      </c>
      <c r="EP116" s="220"/>
      <c r="EQ116" s="222"/>
      <c r="ER116" s="220"/>
      <c r="ES116" s="222"/>
      <c r="ET116" s="220"/>
      <c r="EU116" s="220"/>
      <c r="EV116" s="220"/>
      <c r="EW116" s="220"/>
      <c r="EX116" s="220"/>
      <c r="EY116" s="220"/>
      <c r="EZ116" s="220"/>
      <c r="FA116" s="222" t="s">
        <v>823</v>
      </c>
      <c r="FB116" s="220"/>
      <c r="FC116" s="220"/>
      <c r="FD116" s="220"/>
      <c r="FE116" s="220"/>
      <c r="FF116" s="220"/>
      <c r="FG116" s="222"/>
      <c r="FH116" s="220"/>
      <c r="FI116" s="220"/>
      <c r="FJ116" s="220"/>
      <c r="FK116" s="220"/>
      <c r="FL116" s="215"/>
      <c r="FM116" s="172"/>
      <c r="FN116" s="340" t="s">
        <v>180</v>
      </c>
      <c r="FO116" s="224"/>
      <c r="FP116" s="172"/>
      <c r="FQ116" s="172"/>
      <c r="FR116" s="289" t="s">
        <v>184</v>
      </c>
      <c r="FS116" s="267" t="s">
        <v>677</v>
      </c>
      <c r="FT116" s="267" t="s">
        <v>678</v>
      </c>
      <c r="FU116" s="48">
        <v>9</v>
      </c>
    </row>
    <row r="117" spans="1:177" s="16" customFormat="1" ht="128">
      <c r="A117" s="63" t="s">
        <v>824</v>
      </c>
      <c r="B117" s="48" t="s">
        <v>468</v>
      </c>
      <c r="C117" s="64" t="s">
        <v>206</v>
      </c>
      <c r="D117" s="225" t="s">
        <v>207</v>
      </c>
      <c r="E117" s="226" t="s">
        <v>816</v>
      </c>
      <c r="F117" s="377">
        <f>F116+1</f>
        <v>2</v>
      </c>
      <c r="G117" s="222" t="s">
        <v>817</v>
      </c>
      <c r="H117" s="222" t="s">
        <v>818</v>
      </c>
      <c r="I117" s="222" t="s">
        <v>825</v>
      </c>
      <c r="J117" s="48">
        <v>2025</v>
      </c>
      <c r="K117" s="48">
        <v>2026</v>
      </c>
      <c r="L117" s="48" t="s">
        <v>288</v>
      </c>
      <c r="M117" s="48" t="s">
        <v>173</v>
      </c>
      <c r="N117" s="48" t="s">
        <v>174</v>
      </c>
      <c r="O117" s="63" t="s">
        <v>638</v>
      </c>
      <c r="P117" s="63" t="s">
        <v>458</v>
      </c>
      <c r="Q117" s="214" t="s">
        <v>673</v>
      </c>
      <c r="R117" s="63" t="s">
        <v>817</v>
      </c>
      <c r="S117" s="63" t="str">
        <f t="shared" si="283"/>
        <v>Proses SIT</v>
      </c>
      <c r="T117" s="63" t="str">
        <f t="shared" si="145"/>
        <v>On Progress</v>
      </c>
      <c r="U117" s="63" t="str">
        <f t="shared" si="284"/>
        <v>Rangga Dhaniarto</v>
      </c>
      <c r="V117" s="67">
        <f t="shared" si="285"/>
        <v>0.82174999999999998</v>
      </c>
      <c r="W117" s="66" t="s">
        <v>243</v>
      </c>
      <c r="X117" s="59">
        <f t="shared" si="156"/>
        <v>46112</v>
      </c>
      <c r="Y117" s="68">
        <v>0</v>
      </c>
      <c r="Z117" s="48"/>
      <c r="AA117" s="62">
        <v>45748</v>
      </c>
      <c r="AB117" s="42">
        <v>45823</v>
      </c>
      <c r="AC117" s="42">
        <v>45824</v>
      </c>
      <c r="AD117" s="42">
        <v>45838</v>
      </c>
      <c r="AE117" s="42"/>
      <c r="AF117" s="42"/>
      <c r="AG117" s="42"/>
      <c r="AH117" s="42"/>
      <c r="AI117" s="42">
        <v>45839</v>
      </c>
      <c r="AJ117" s="42">
        <v>45900</v>
      </c>
      <c r="AK117" s="42">
        <v>45901</v>
      </c>
      <c r="AL117" s="42">
        <v>46022</v>
      </c>
      <c r="AM117" s="42">
        <v>46023</v>
      </c>
      <c r="AN117" s="42">
        <v>46053</v>
      </c>
      <c r="AO117" s="42">
        <v>46054</v>
      </c>
      <c r="AP117" s="42">
        <v>46081</v>
      </c>
      <c r="AQ117" s="42">
        <v>46082</v>
      </c>
      <c r="AR117" s="339">
        <v>46112</v>
      </c>
      <c r="AS117" s="63" t="str">
        <f>IF(BE117=0%,"Not Started",IF(BE117&lt;5%,"Proses RBT-RBB",IF(BE117=5%,"Selesai RBT-RBB",IF(BE117&lt;10%,"Proses RBT-RBL",IF(BE117=10%,"Selesai RBT-RBL",IF(BE117&lt;15%,"Proses RBT-RBTD",IF(BE117=15%,"Selesai RBT-RBTD",IF(BE117&lt;20%,"Proses RPP",IF(BE117=20%,"Selesai RPP",IF(BE117&lt;25%,"Proses KAK",IF(BE117=25%,"Selesai KAK",IF(BE117&lt;30%,"Proses Pengadaan",IF(BE117=30%,"Selesai Pengadaan",IF(BE117&lt;45%,"Proses Desain",IF(BE117=45%,"Selesai Desain",IF(BE117&lt;80%,"Proses Pengembangan",IF(BE117=80%,"Selesai Pengembangan",IF(BE117&lt;87.5%,"Proses SIT",IF(BE117=87.5%,"Selesai SIT",IF(BE117&lt;95%,"Proses UAT",IF(BE117=95%,"Selesai UAT",IF(BE117&lt;100%,"Proses Implementasi","Selesai Implementasi"))))))))))))))))))))))</f>
        <v>Proses SIT</v>
      </c>
      <c r="AT117" s="63" t="str">
        <f>IF(BF117=0%,"Not Started",IF(BF117&lt;5%,"Proses RBT-RBB",IF(BF117=5%,"Selesai RBT-RBB",IF(BF117&lt;10%,"Proses RBT-RBL",IF(BF117=10%,"Selesai RBT-RBL",IF(BF117&lt;15%,"Proses RBT-RBTD",IF(BF117=15%,"Selesai RBT-RBTD",IF(BF117&lt;20%,"Proses RPP",IF(BF117=20%,"Selesai RPP",IF(BF117&lt;25%,"Proses KAK",IF(BF117=25%,"Selesai KAK",IF(BF117&lt;30%,"Proses Pengadaan",IF(BF117=30%,"Selesai Pengadaan",IF(BF117&lt;45%,"Proses Desain",IF(BF117=45%,"Selesai Desain",IF(BF117&lt;80%,"Proses Pengembangan",IF(BF117=80%,"Selesai Pengembangan",IF(BF117&lt;87.5%,"Proses SIT",IF(BF117=87.5%,"Selesai SIT",IF(BF117&lt;95%,"Proses UAT",IF(BF117=95%,"Selesai UAT",IF(BF117&lt;100%,"Proses Implementasi","Selesai Implementasi"))))))))))))))))))))))</f>
        <v>Selesai UAT</v>
      </c>
      <c r="AU117" s="63" t="str">
        <f>IF(BE117=0%,"Not Started",IF(BE117&lt;5%,"Proses RBT-RBB",IF(BE117=5%,"Selesai RBT-RBB",IF(BE117&lt;10%,"Proses RBT-RBL",IF(BE117=10%,"Selesai RBT-RBL",IF(BE117&lt;15%,"Proses RBT-RBTD",IF(BE117=15%,"Selesai RBT-RBTD",IF(BE117&lt;20%,"Proses RPP",IF(BE117=20%,"Selesai RPP",IF(BE117&lt;25%,"Proses KAK",IF(BE117=25%,"Selesai KAK",IF(BE117&lt;30%,"Proses Pengadaan",IF(BE117=30%,"Selesai Pengadaan",IF(BE117&lt;45%,"Proses Desain",IF(BE117=45%,"Selesai Desain",IF(BE117&lt;80%,"Proses Pengembangan",IF(BE117=80%,"Selesai Pengembangan",IF(BE117&lt;87.5%,"Proses SIT",IF(BE117=87.5%,"Selesai SIT",IF(BE117&lt;95%,"Proses UAT",IF(BE117=95%,"Selesai UAT",IF(BE117&lt;100%,"Proses Implementasi","Selesai Implementasi"))))))))))))))))))))))</f>
        <v>Proses SIT</v>
      </c>
      <c r="AV117" s="63" t="str">
        <f t="shared" ref="AV117:BA117" si="291">IF(BH117=0%,"Not Started",IF(BH117&lt;5%,"Proses RBT-RBB",IF(BH117=5%,"Selesai RBT-RBB",IF(BH117&lt;10%,"Proses RBT-RBL",IF(BH117=10%,"Selesai RBT-RBL",IF(BH117&lt;15%,"Proses RBT-RBTD",IF(BH117=15%,"Selesai RBT-RBTD",IF(BH117&lt;20%,"Proses RPP",IF(BH117=20%,"Selesai RPP",IF(BH117&lt;25%,"Proses KAK",IF(BH117=25%,"Selesai KAK",IF(BH117&lt;30%,"Proses Pengadaan",IF(BH117=30%,"Selesai Pengadaan",IF(BH117&lt;45%,"Proses Desain",IF(BH117=45%,"Selesai Desain",IF(BH117&lt;80%,"Proses Pengembangan",IF(BH117=80%,"Selesai Pengembangan",IF(BH117&lt;87.5%,"Proses SIT",IF(BH117=87.5%,"Selesai SIT",IF(BH117&lt;95%,"Proses UAT",IF(BH117=95%,"Selesai UAT",IF(BH117&lt;100%,"Proses Implementasi","Selesai Implementasi"))))))))))))))))))))))</f>
        <v>Selesai Implementasi</v>
      </c>
      <c r="AW117" s="63" t="str">
        <f t="shared" si="291"/>
        <v>Selesai Implementasi</v>
      </c>
      <c r="AX117" s="63" t="str">
        <f t="shared" si="291"/>
        <v>Selesai Implementasi</v>
      </c>
      <c r="AY117" s="63" t="str">
        <f t="shared" si="291"/>
        <v>Selesai Implementasi</v>
      </c>
      <c r="AZ117" s="63" t="str">
        <f t="shared" si="291"/>
        <v>Selesai Implementasi</v>
      </c>
      <c r="BA117" s="63" t="str">
        <f t="shared" si="291"/>
        <v>Selesai Implementasi</v>
      </c>
      <c r="BB117" s="63" t="str">
        <f t="shared" si="220"/>
        <v>Selesai Implementasi</v>
      </c>
      <c r="BC117" s="63" t="str">
        <f t="shared" si="288"/>
        <v>Selesai Implementasi</v>
      </c>
      <c r="BD117" s="63" t="str">
        <f t="shared" si="167"/>
        <v>Selesai Implementasi</v>
      </c>
      <c r="BE117" s="43">
        <v>0.87</v>
      </c>
      <c r="BF117" s="43">
        <v>0.95</v>
      </c>
      <c r="BG117" s="43">
        <v>1</v>
      </c>
      <c r="BH117" s="43">
        <v>1</v>
      </c>
      <c r="BI117" s="43">
        <v>1</v>
      </c>
      <c r="BJ117" s="43">
        <v>1</v>
      </c>
      <c r="BK117" s="43">
        <v>1</v>
      </c>
      <c r="BL117" s="43">
        <v>1</v>
      </c>
      <c r="BM117" s="43">
        <v>1</v>
      </c>
      <c r="BN117" s="43">
        <v>1</v>
      </c>
      <c r="BO117" s="43">
        <v>1</v>
      </c>
      <c r="BP117" s="43">
        <v>1</v>
      </c>
      <c r="BQ117" s="63" t="str">
        <f t="shared" si="168"/>
        <v>Proses SIT</v>
      </c>
      <c r="BR117" s="63" t="str">
        <f t="shared" si="169"/>
        <v>Not Started</v>
      </c>
      <c r="BS117" s="63" t="str">
        <f t="shared" si="170"/>
        <v>Not Started</v>
      </c>
      <c r="BT117" s="63" t="str">
        <f t="shared" si="171"/>
        <v>Not Started</v>
      </c>
      <c r="BU117" s="63" t="str">
        <f t="shared" si="172"/>
        <v>Not Started</v>
      </c>
      <c r="BV117" s="63" t="str">
        <f t="shared" si="173"/>
        <v>Not Started</v>
      </c>
      <c r="BW117" s="63" t="str">
        <f t="shared" si="174"/>
        <v>Not Started</v>
      </c>
      <c r="BX117" s="63" t="str">
        <f t="shared" si="175"/>
        <v>Not Started</v>
      </c>
      <c r="BY117" s="63" t="str">
        <f t="shared" si="176"/>
        <v>Not Started</v>
      </c>
      <c r="BZ117" s="63" t="str">
        <f t="shared" si="177"/>
        <v>Not Started</v>
      </c>
      <c r="CA117" s="63" t="str">
        <f t="shared" si="178"/>
        <v>Not Started</v>
      </c>
      <c r="CB117" s="63" t="str">
        <f t="shared" si="179"/>
        <v>Not Started</v>
      </c>
      <c r="CC117" s="44">
        <f t="shared" si="289"/>
        <v>0.82174999999999998</v>
      </c>
      <c r="CD117" s="44"/>
      <c r="CE117" s="44"/>
      <c r="CF117" s="44"/>
      <c r="CG117" s="44"/>
      <c r="CH117" s="44"/>
      <c r="CI117" s="44"/>
      <c r="CJ117" s="44"/>
      <c r="CK117" s="44"/>
      <c r="CL117" s="44"/>
      <c r="CM117" s="44"/>
      <c r="CN117" s="44"/>
      <c r="CO117" s="45">
        <f>IF(BE117=0%, 100%, (CC117/BE117))</f>
        <v>0.94454022988505748</v>
      </c>
      <c r="CP117" s="45">
        <f>IF(BF117=0%, 100%, (CD117/BF117))</f>
        <v>0</v>
      </c>
      <c r="CQ117" s="45">
        <f>IF(BE117=0%, 100%, (CE117/BE117))</f>
        <v>0</v>
      </c>
      <c r="CR117" s="45">
        <f t="shared" ref="CR117:CX117" si="292">IF(BH117=0%, 100%, (CF117/BH117))</f>
        <v>0</v>
      </c>
      <c r="CS117" s="45">
        <f t="shared" si="292"/>
        <v>0</v>
      </c>
      <c r="CT117" s="45">
        <f t="shared" si="292"/>
        <v>0</v>
      </c>
      <c r="CU117" s="45">
        <f t="shared" si="292"/>
        <v>0</v>
      </c>
      <c r="CV117" s="45">
        <f t="shared" si="292"/>
        <v>0</v>
      </c>
      <c r="CW117" s="45">
        <f t="shared" si="292"/>
        <v>0</v>
      </c>
      <c r="CX117" s="45">
        <f t="shared" si="292"/>
        <v>0</v>
      </c>
      <c r="CY117" s="45">
        <f t="shared" si="290"/>
        <v>0</v>
      </c>
      <c r="CZ117" s="45"/>
      <c r="DA117" s="45" t="str">
        <f>IF(BE117=0%,"NS",IF(CC117=100%,"DONE",IF(CO117&gt;100%,"AS",IF(CO117&lt;75%,"BS",IF(CO117&lt;89.9%,"AR","OS")))))</f>
        <v>OS</v>
      </c>
      <c r="DB117" s="45" t="str">
        <f>IF(BF117=0%,"NS",IF(CD117=100%,"DONE",IF(CP117&gt;100%,"AS",IF(CP117&lt;75%,"BS",IF(CP117&lt;89.9%,"AR","OS")))))</f>
        <v>BS</v>
      </c>
      <c r="DC117" s="45" t="str">
        <f>IF(BE117=0%,"NS",IF(CE117=100%,"DONE",IF(CQ117&gt;100%,"AS",IF(CQ117&lt;75%,"BS",IF(CQ117&lt;89.9%,"AR","OS")))))</f>
        <v>BS</v>
      </c>
      <c r="DD117" s="45" t="str">
        <f t="shared" ref="DD117:DJ117" si="293">IF(BH117=0%,"NS",IF(CF117=100%,"DONE",IF(CR117&gt;100%,"AS",IF(CR117&lt;75%,"BS",IF(CR117&lt;89.9%,"AR","OS")))))</f>
        <v>BS</v>
      </c>
      <c r="DE117" s="45" t="str">
        <f t="shared" si="293"/>
        <v>BS</v>
      </c>
      <c r="DF117" s="45" t="str">
        <f t="shared" si="293"/>
        <v>BS</v>
      </c>
      <c r="DG117" s="45" t="str">
        <f t="shared" si="293"/>
        <v>BS</v>
      </c>
      <c r="DH117" s="45" t="str">
        <f t="shared" si="293"/>
        <v>BS</v>
      </c>
      <c r="DI117" s="45" t="str">
        <f t="shared" si="293"/>
        <v>BS</v>
      </c>
      <c r="DJ117" s="45" t="str">
        <f t="shared" si="293"/>
        <v>BS</v>
      </c>
      <c r="DK117" s="45" t="str">
        <f t="shared" si="286"/>
        <v>BS</v>
      </c>
      <c r="DL117" s="45" t="str">
        <f t="shared" si="201"/>
        <v>BS</v>
      </c>
      <c r="DM117" s="45">
        <f t="shared" si="202"/>
        <v>0.82174999999999998</v>
      </c>
      <c r="DN117" s="45">
        <f t="shared" si="203"/>
        <v>0</v>
      </c>
      <c r="DO117" s="45">
        <f t="shared" si="204"/>
        <v>0</v>
      </c>
      <c r="DP117" s="45">
        <f t="shared" si="205"/>
        <v>0</v>
      </c>
      <c r="DQ117" s="45">
        <f t="shared" si="206"/>
        <v>0</v>
      </c>
      <c r="DR117" s="45">
        <f t="shared" si="207"/>
        <v>0</v>
      </c>
      <c r="DS117" s="45">
        <f t="shared" si="208"/>
        <v>0</v>
      </c>
      <c r="DT117" s="45">
        <f t="shared" si="209"/>
        <v>0</v>
      </c>
      <c r="DU117" s="45">
        <f t="shared" si="210"/>
        <v>0</v>
      </c>
      <c r="DV117" s="45">
        <f t="shared" si="211"/>
        <v>0</v>
      </c>
      <c r="DW117" s="45">
        <f t="shared" si="212"/>
        <v>0</v>
      </c>
      <c r="DX117" s="45">
        <f t="shared" si="213"/>
        <v>0</v>
      </c>
      <c r="DY117" s="46">
        <v>1</v>
      </c>
      <c r="DZ117" s="41">
        <v>1</v>
      </c>
      <c r="EA117" s="41">
        <v>1</v>
      </c>
      <c r="EB117" s="41">
        <v>1</v>
      </c>
      <c r="EC117" s="41">
        <v>1</v>
      </c>
      <c r="ED117" s="41">
        <v>1</v>
      </c>
      <c r="EE117" s="41">
        <v>0.28999999999999998</v>
      </c>
      <c r="EF117" s="41"/>
      <c r="EG117" s="41"/>
      <c r="EH117" s="174" t="s">
        <v>1502</v>
      </c>
      <c r="EI117" s="222"/>
      <c r="EJ117" s="59">
        <f t="shared" si="214"/>
        <v>46112</v>
      </c>
      <c r="EK117" s="229"/>
      <c r="EL117" s="230"/>
      <c r="EM117" s="229"/>
      <c r="EN117" s="222"/>
      <c r="EO117" s="222"/>
      <c r="EP117" s="222"/>
      <c r="EQ117" s="231"/>
      <c r="ER117" s="213"/>
      <c r="ES117" s="220"/>
      <c r="ET117" s="220"/>
      <c r="EU117" s="220"/>
      <c r="EV117" s="220"/>
      <c r="EW117" s="220"/>
      <c r="EX117" s="220"/>
      <c r="EY117" s="220"/>
      <c r="EZ117" s="220"/>
      <c r="FA117" s="220"/>
      <c r="FB117" s="222"/>
      <c r="FC117" s="222"/>
      <c r="FD117" s="222"/>
      <c r="FE117" s="220"/>
      <c r="FF117" s="220"/>
      <c r="FG117" s="222"/>
      <c r="FH117" s="220"/>
      <c r="FI117" s="220"/>
      <c r="FJ117" s="220"/>
      <c r="FK117" s="220"/>
      <c r="FL117" s="215"/>
      <c r="FM117" s="172" t="s">
        <v>749</v>
      </c>
      <c r="FN117" s="172" t="s">
        <v>563</v>
      </c>
      <c r="FO117" s="172" t="s">
        <v>221</v>
      </c>
      <c r="FP117" s="172" t="s">
        <v>686</v>
      </c>
      <c r="FQ117" s="172" t="s">
        <v>826</v>
      </c>
      <c r="FR117" s="289" t="s">
        <v>184</v>
      </c>
      <c r="FS117" s="267" t="s">
        <v>677</v>
      </c>
      <c r="FT117" s="267" t="s">
        <v>1505</v>
      </c>
      <c r="FU117" s="48">
        <v>5</v>
      </c>
    </row>
    <row r="118" spans="1:177" s="16" customFormat="1" ht="112">
      <c r="A118" s="63"/>
      <c r="B118" s="48"/>
      <c r="C118" s="64"/>
      <c r="D118" s="225"/>
      <c r="E118" s="226" t="s">
        <v>816</v>
      </c>
      <c r="F118" s="377">
        <f>F117+1</f>
        <v>3</v>
      </c>
      <c r="G118" s="222" t="s">
        <v>817</v>
      </c>
      <c r="H118" s="222" t="s">
        <v>818</v>
      </c>
      <c r="I118" s="222" t="s">
        <v>827</v>
      </c>
      <c r="J118" s="48">
        <v>2026</v>
      </c>
      <c r="K118" s="48">
        <v>2026</v>
      </c>
      <c r="L118" s="48" t="s">
        <v>288</v>
      </c>
      <c r="M118" s="48" t="s">
        <v>173</v>
      </c>
      <c r="N118" s="48" t="s">
        <v>174</v>
      </c>
      <c r="O118" s="63" t="s">
        <v>638</v>
      </c>
      <c r="P118" s="63" t="s">
        <v>458</v>
      </c>
      <c r="Q118" s="214" t="s">
        <v>673</v>
      </c>
      <c r="R118" s="63" t="s">
        <v>817</v>
      </c>
      <c r="S118" s="63" t="str">
        <f t="shared" si="283"/>
        <v>Not Started</v>
      </c>
      <c r="T118" s="63" t="str">
        <f t="shared" si="145"/>
        <v>Not Started</v>
      </c>
      <c r="U118" s="63" t="str">
        <f t="shared" si="284"/>
        <v>Rangga Dhaniarto</v>
      </c>
      <c r="V118" s="67">
        <f t="shared" si="285"/>
        <v>0</v>
      </c>
      <c r="W118" s="66" t="s">
        <v>178</v>
      </c>
      <c r="X118" s="59"/>
      <c r="Y118" s="68"/>
      <c r="Z118" s="48"/>
      <c r="AA118" s="62">
        <v>46113</v>
      </c>
      <c r="AB118" s="42">
        <v>46172</v>
      </c>
      <c r="AC118" s="42">
        <v>46174</v>
      </c>
      <c r="AD118" s="42">
        <v>46203</v>
      </c>
      <c r="AE118" s="42">
        <v>46174</v>
      </c>
      <c r="AF118" s="42">
        <v>46203</v>
      </c>
      <c r="AG118" s="42"/>
      <c r="AH118" s="42"/>
      <c r="AI118" s="42">
        <v>46204</v>
      </c>
      <c r="AJ118" s="42">
        <v>46218</v>
      </c>
      <c r="AK118" s="42">
        <v>46219</v>
      </c>
      <c r="AL118" s="42">
        <v>46249</v>
      </c>
      <c r="AM118" s="42">
        <v>46250</v>
      </c>
      <c r="AN118" s="42">
        <v>46265</v>
      </c>
      <c r="AO118" s="42">
        <v>46266</v>
      </c>
      <c r="AP118" s="42">
        <v>45915</v>
      </c>
      <c r="AQ118" s="42">
        <v>46280</v>
      </c>
      <c r="AR118" s="339">
        <v>46295</v>
      </c>
      <c r="AS118" s="63" t="str">
        <f>IF(BE118=0%,"Not Started",IF(BE118&lt;5%,"Proses RBT-RBB",IF(BE118=5%,"Selesai RBT-RBB",IF(BE118&lt;10%,"Proses RBT-RBL",IF(BE118=10%,"Selesai RBT-RBL",IF(BE118&lt;15%,"Proses RBT-RBTD",IF(BE118=15%,"Selesai RBT-RBTD",IF(BE118&lt;20%,"Proses RPP",IF(BE118=20%,"Selesai RPP",IF(BE118&lt;25%,"Proses KAK",IF(BE118=25%,"Selesai KAK",IF(BE118&lt;30%,"Proses Pengadaan",IF(BE118=30%,"Selesai Pengadaan",IF(BE118&lt;45%,"Proses Desain",IF(BE118=45%,"Selesai Desain",IF(BE118&lt;80%,"Proses Pengembangan",IF(BE118=80%,"Selesai Pengembangan",IF(BE118&lt;87.5%,"Proses SIT",IF(BE118=87.5%,"Selesai SIT",IF(BE118&lt;95%,"Proses UAT",IF(BE118=95%,"Selesai UAT",IF(BE118&lt;100%,"Proses Implementasi","Selesai Implementasi"))))))))))))))))))))))</f>
        <v>Not Started</v>
      </c>
      <c r="AT118" s="63" t="str">
        <f>IF(BF118=0%,"Not Started",IF(BF118&lt;5%,"Proses RBT-RBB",IF(BF118=5%,"Selesai RBT-RBB",IF(BF118&lt;10%,"Proses RBT-RBL",IF(BF118=10%,"Selesai RBT-RBL",IF(BF118&lt;15%,"Proses RBT-RBTD",IF(BF118=15%,"Selesai RBT-RBTD",IF(BF118&lt;20%,"Proses RPP",IF(BF118=20%,"Selesai RPP",IF(BF118&lt;25%,"Proses KAK",IF(BF118=25%,"Selesai KAK",IF(BF118&lt;30%,"Proses Pengadaan",IF(BF118=30%,"Selesai Pengadaan",IF(BF118&lt;45%,"Proses Desain",IF(BF118=45%,"Selesai Desain",IF(BF118&lt;80%,"Proses Pengembangan",IF(BF118=80%,"Selesai Pengembangan",IF(BF118&lt;87.5%,"Proses SIT",IF(BF118=87.5%,"Selesai SIT",IF(BF118&lt;95%,"Proses UAT",IF(BF118=95%,"Selesai UAT",IF(BF118&lt;100%,"Proses Implementasi","Selesai Implementasi"))))))))))))))))))))))</f>
        <v>Not Started</v>
      </c>
      <c r="AU118" s="63" t="str">
        <f>IF(BE118=0%,"Not Started",IF(BE118&lt;5%,"Proses RBT-RBB",IF(BE118=5%,"Selesai RBT-RBB",IF(BE118&lt;10%,"Proses RBT-RBL",IF(BE118=10%,"Selesai RBT-RBL",IF(BE118&lt;15%,"Proses RBT-RBTD",IF(BE118=15%,"Selesai RBT-RBTD",IF(BE118&lt;20%,"Proses RPP",IF(BE118=20%,"Selesai RPP",IF(BE118&lt;25%,"Proses KAK",IF(BE118=25%,"Selesai KAK",IF(BE118&lt;30%,"Proses Pengadaan",IF(BE118=30%,"Selesai Pengadaan",IF(BE118&lt;45%,"Proses Desain",IF(BE118=45%,"Selesai Desain",IF(BE118&lt;80%,"Proses Pengembangan",IF(BE118=80%,"Selesai Pengembangan",IF(BE118&lt;87.5%,"Proses SIT",IF(BE118=87.5%,"Selesai SIT",IF(BE118&lt;95%,"Proses UAT",IF(BE118=95%,"Selesai UAT",IF(BE118&lt;100%,"Proses Implementasi","Selesai Implementasi"))))))))))))))))))))))</f>
        <v>Not Started</v>
      </c>
      <c r="AV118" s="63" t="str">
        <f>IF(BH118=0%,"Not Started",IF(BH118&lt;5%,"Proses RBT-RBB",IF(BH118=5%,"Selesai RBT-RBB",IF(BH118&lt;10%,"Proses RBT-RBL",IF(BH118=10%,"Selesai RBT-RBL",IF(BH118&lt;15%,"Proses RBT-RBTD",IF(BH118=15%,"Selesai RBT-RBTD",IF(BH118&lt;20%,"Proses RPP",IF(BH118=20%,"Selesai RPP",IF(BH118&lt;25%,"Proses KAK",IF(BH118=25%,"Selesai KAK",IF(BH118&lt;30%,"Proses Pengadaan",IF(BH118=30%,"Selesai Pengadaan",IF(BH118&lt;45%,"Proses Desain",IF(BH118=45%,"Selesai Desain",IF(BH118&lt;80%,"Proses Pengembangan",IF(BH118=80%,"Selesai Pengembangan",IF(BH118&lt;87.5%,"Proses SIT",IF(BH118=87.5%,"Selesai SIT",IF(BH118&lt;95%,"Proses UAT",IF(BH118=95%,"Selesai UAT",IF(BH118&lt;100%,"Proses Implementasi","Selesai Implementasi"))))))))))))))))))))))</f>
        <v>Proses RBT-RBL</v>
      </c>
      <c r="AW118" s="63" t="str">
        <f>IF(BI118=0%,"Not Started",IF(BI118&lt;5%,"Proses RBT-RBB",IF(BI118=5%,"Selesai RBT-RBB",IF(BI118&lt;10%,"Proses RBT-RBL",IF(BI118=10%,"Selesai RBT-RBL",IF(BI118&lt;15%,"Proses RBT-RBTD",IF(BI118=15%,"Selesai RBT-RBTD",IF(BI118&lt;20%,"Proses RPP",IF(BI118=20%,"Selesai RPP",IF(BI118&lt;25%,"Proses KAK",IF(BI118=25%,"Selesai KAK",IF(BI118&lt;30%,"Proses Pengadaan",IF(BI118=30%,"Selesai Pengadaan",IF(BI118&lt;45%,"Proses Desain",IF(BI118=45%,"Selesai Desain",IF(BI118&lt;80%,"Proses Pengembangan",IF(BI118=80%,"Selesai Pengembangan",IF(BI118&lt;87.5%,"Proses SIT",IF(BI118=87.5%,"Selesai SIT",IF(BI118&lt;95%,"Proses UAT",IF(BI118=95%,"Selesai UAT",IF(BI118&lt;100%,"Proses Implementasi","Selesai Implementasi"))))))))))))))))))))))</f>
        <v>Selesai RBT-RBTD</v>
      </c>
      <c r="AX118" s="63"/>
      <c r="AY118" s="63" t="str">
        <f>IF(BK118=0%,"Not Started",IF(BK118&lt;5%,"Proses RBT-RBB",IF(BK118=5%,"Selesai RBT-RBB",IF(BK118&lt;10%,"Proses RBT-RBL",IF(BK118=10%,"Selesai RBT-RBL",IF(BK118&lt;15%,"Proses RBT-RBTD",IF(BK118=15%,"Selesai RBT-RBTD",IF(BK118&lt;20%,"Proses RPP",IF(BK118=20%,"Selesai RPP",IF(BK118&lt;25%,"Proses KAK",IF(BK118=25%,"Selesai KAK",IF(BK118&lt;30%,"Proses Pengadaan",IF(BK118=30%,"Selesai Pengadaan",IF(BK118&lt;45%,"Proses Desain",IF(BK118=45%,"Selesai Desain",IF(BK118&lt;80%,"Proses Pengembangan",IF(BK118=80%,"Selesai Pengembangan",IF(BK118&lt;87.5%,"Proses SIT",IF(BK118=87.5%,"Selesai SIT",IF(BK118&lt;95%,"Proses UAT",IF(BK118=95%,"Selesai UAT",IF(BK118&lt;100%,"Proses Implementasi","Selesai Implementasi"))))))))))))))))))))))</f>
        <v>Proses Desain</v>
      </c>
      <c r="AZ118" s="63"/>
      <c r="BA118" s="63" t="str">
        <f>IF(BM118=0%,"Not Started",IF(BM118&lt;5%,"Proses RBT-RBB",IF(BM118=5%,"Selesai RBT-RBB",IF(BM118&lt;10%,"Proses RBT-RBL",IF(BM118=10%,"Selesai RBT-RBL",IF(BM118&lt;15%,"Proses RBT-RBTD",IF(BM118=15%,"Selesai RBT-RBTD",IF(BM118&lt;20%,"Proses RPP",IF(BM118=20%,"Selesai RPP",IF(BM118&lt;25%,"Proses KAK",IF(BM118=25%,"Selesai KAK",IF(BM118&lt;30%,"Proses Pengadaan",IF(BM118=30%,"Selesai Pengadaan",IF(BM118&lt;45%,"Proses Desain",IF(BM118=45%,"Selesai Desain",IF(BM118&lt;80%,"Proses Pengembangan",IF(BM118=80%,"Selesai Pengembangan",IF(BM118&lt;87.5%,"Proses SIT",IF(BM118=87.5%,"Selesai SIT",IF(BM118&lt;95%,"Proses UAT",IF(BM118=95%,"Selesai UAT",IF(BM118&lt;100%,"Proses Implementasi","Selesai Implementasi"))))))))))))))))))))))</f>
        <v>Selesai Implementasi</v>
      </c>
      <c r="BB118" s="63"/>
      <c r="BC118" s="63" t="str">
        <f t="shared" si="288"/>
        <v>Selesai Implementasi</v>
      </c>
      <c r="BD118" s="63"/>
      <c r="BE118" s="43">
        <v>0</v>
      </c>
      <c r="BF118" s="43">
        <v>0</v>
      </c>
      <c r="BG118" s="43">
        <v>0</v>
      </c>
      <c r="BH118" s="43">
        <v>7.0000000000000007E-2</v>
      </c>
      <c r="BI118" s="43">
        <v>0.15</v>
      </c>
      <c r="BJ118" s="43">
        <v>0.3</v>
      </c>
      <c r="BK118" s="43">
        <v>0.4</v>
      </c>
      <c r="BL118" s="43">
        <v>0.8</v>
      </c>
      <c r="BM118" s="43">
        <v>1</v>
      </c>
      <c r="BN118" s="43">
        <v>1</v>
      </c>
      <c r="BO118" s="43">
        <v>1</v>
      </c>
      <c r="BP118" s="43">
        <v>1</v>
      </c>
      <c r="BQ118" s="63" t="str">
        <f>IF(CC118=0%,"Not Started",IF(CC118&lt;5%,"Proses RBT-RBB",IF(CC118=5%,"Selesai RBT-RBB",IF(CC118&lt;10%,"Proses RBT-RBL",IF(CC118=10%,"Selesai RBT-RBL",IF(CC118&lt;15%,"Proses RBT-RBTD",IF(CC118=15%,"Selesai RBT-RBTD",IF(CC118&lt;20%,"Proses RPP",IF(CC118=20%,"Selesai RPP",IF(CC118&lt;25%,"Proses KAK",IF(CC118=25%,"Selesai KAK",IF(CC118&lt;30%,"Proses Pengadaan",IF(CC118=30%,"Selesai Pengadaan",IF(CC118&lt;45%,"Proses Desain",IF(CC118=45%,"Selesai Desain",IF(CC118&lt;80%,"Proses Pengembangan",IF(CC118=80%,"Selesai Pengembangan",IF(CC118&lt;87.5%,"Proses SIT",IF(CC118=87.5%,"Selesai SIT",IF(CC118&lt;95%,"Proses UAT",IF(CC118=95%,"Selesai UAT",IF(CC118&lt;100%,"Proses Implementasi","Selesai Implementasi"))))))))))))))))))))))</f>
        <v>Not Started</v>
      </c>
      <c r="BR118" s="63"/>
      <c r="BS118" s="63"/>
      <c r="BT118" s="63"/>
      <c r="BU118" s="63"/>
      <c r="BV118" s="63"/>
      <c r="BW118" s="63"/>
      <c r="BX118" s="63"/>
      <c r="BY118" s="63"/>
      <c r="BZ118" s="63"/>
      <c r="CA118" s="63"/>
      <c r="CB118" s="63"/>
      <c r="CC118" s="44">
        <f>(($DY118/100%)*15%)+(($DZ118/100%)*5%)+(($EA118/100%)*5%)+(($EB118/100%)*5%)+(($EC118/100%)*15%)+(($ED118/100%)*35%)+(($EE118/100%)*7.5%)+(($EF118/100%)*7.5%)+(($EG118/100%)*5%)</f>
        <v>0</v>
      </c>
      <c r="CD118" s="44"/>
      <c r="CE118" s="44"/>
      <c r="CF118" s="44"/>
      <c r="CG118" s="44"/>
      <c r="CH118" s="44"/>
      <c r="CI118" s="44"/>
      <c r="CJ118" s="44"/>
      <c r="CK118" s="44"/>
      <c r="CL118" s="44"/>
      <c r="CM118" s="44"/>
      <c r="CN118" s="44"/>
      <c r="CO118" s="45">
        <f>IF(BE118=0%, 100%, (CC118/BE118))</f>
        <v>1</v>
      </c>
      <c r="CP118" s="45"/>
      <c r="CQ118" s="45"/>
      <c r="CR118" s="45"/>
      <c r="CS118" s="45"/>
      <c r="CT118" s="45"/>
      <c r="CU118" s="45"/>
      <c r="CV118" s="45"/>
      <c r="CW118" s="45">
        <f>IF(BM118=0%, 100%, (CK118/BM118))</f>
        <v>0</v>
      </c>
      <c r="CX118" s="45"/>
      <c r="CY118" s="45">
        <f t="shared" si="290"/>
        <v>0</v>
      </c>
      <c r="CZ118" s="45"/>
      <c r="DA118" s="45" t="str">
        <f>IF(BE118=0%,"NS",IF(CC118=100%,"DONE",IF(CO118&gt;100%,"AS",IF(CO118&lt;75%,"BS",IF(CO118&lt;89.9%,"AR","OS")))))</f>
        <v>NS</v>
      </c>
      <c r="DB118" s="45"/>
      <c r="DC118" s="45"/>
      <c r="DD118" s="45"/>
      <c r="DE118" s="45"/>
      <c r="DF118" s="45"/>
      <c r="DG118" s="45"/>
      <c r="DH118" s="45"/>
      <c r="DI118" s="45" t="str">
        <f>IF(BM118=0%,"NS",IF(CK118=100%,"DONE",IF(CW118&gt;100%,"AS",IF(CW118&lt;75%,"BS",IF(CW118&lt;89.9%,"AR","OS")))))</f>
        <v>BS</v>
      </c>
      <c r="DJ118" s="45" t="s">
        <v>599</v>
      </c>
      <c r="DK118" s="45" t="str">
        <f t="shared" si="286"/>
        <v>BS</v>
      </c>
      <c r="DL118" s="45"/>
      <c r="DM118" s="45">
        <f>CC118/$BP118</f>
        <v>0</v>
      </c>
      <c r="DN118" s="45"/>
      <c r="DO118" s="45"/>
      <c r="DP118" s="45"/>
      <c r="DQ118" s="45"/>
      <c r="DR118" s="45"/>
      <c r="DS118" s="45"/>
      <c r="DT118" s="45"/>
      <c r="DU118" s="45"/>
      <c r="DV118" s="45"/>
      <c r="DW118" s="45"/>
      <c r="DX118" s="45"/>
      <c r="DY118" s="46"/>
      <c r="DZ118" s="41"/>
      <c r="EA118" s="41"/>
      <c r="EB118" s="41"/>
      <c r="EC118" s="41"/>
      <c r="ED118" s="41"/>
      <c r="EE118" s="41"/>
      <c r="EF118" s="41"/>
      <c r="EG118" s="41"/>
      <c r="EH118" s="472" t="s">
        <v>1503</v>
      </c>
      <c r="EI118" s="260"/>
      <c r="EJ118" s="59"/>
      <c r="EK118" s="229"/>
      <c r="EL118" s="230"/>
      <c r="EM118" s="229"/>
      <c r="EN118" s="222"/>
      <c r="EO118" s="222"/>
      <c r="EP118" s="222"/>
      <c r="EQ118" s="231"/>
      <c r="ER118" s="213"/>
      <c r="ES118" s="220"/>
      <c r="ET118" s="220"/>
      <c r="EU118" s="220"/>
      <c r="EV118" s="220"/>
      <c r="EW118" s="220"/>
      <c r="EX118" s="220"/>
      <c r="EY118" s="220"/>
      <c r="EZ118" s="220"/>
      <c r="FA118" s="220"/>
      <c r="FB118" s="222"/>
      <c r="FC118" s="222"/>
      <c r="FD118" s="222"/>
      <c r="FE118" s="220"/>
      <c r="FF118" s="220"/>
      <c r="FG118" s="222"/>
      <c r="FH118" s="220"/>
      <c r="FI118" s="220"/>
      <c r="FJ118" s="220"/>
      <c r="FK118" s="220"/>
      <c r="FL118" s="215"/>
      <c r="FM118" s="172" t="s">
        <v>749</v>
      </c>
      <c r="FN118" s="172" t="s">
        <v>563</v>
      </c>
      <c r="FO118" s="172"/>
      <c r="FP118" s="172" t="s">
        <v>686</v>
      </c>
      <c r="FQ118" s="172"/>
      <c r="FR118" s="289"/>
      <c r="FS118" s="267"/>
      <c r="FT118" s="267" t="s">
        <v>1505</v>
      </c>
      <c r="FU118" s="48"/>
    </row>
    <row r="119" spans="1:177" s="16" customFormat="1" ht="409.5">
      <c r="A119" s="63" t="s">
        <v>828</v>
      </c>
      <c r="B119" s="48" t="s">
        <v>468</v>
      </c>
      <c r="C119" s="64" t="s">
        <v>206</v>
      </c>
      <c r="D119" s="225" t="s">
        <v>207</v>
      </c>
      <c r="E119" s="48" t="s">
        <v>829</v>
      </c>
      <c r="F119" s="227">
        <v>1</v>
      </c>
      <c r="G119" s="322" t="s">
        <v>830</v>
      </c>
      <c r="H119" s="409" t="s">
        <v>831</v>
      </c>
      <c r="I119" s="288" t="s">
        <v>832</v>
      </c>
      <c r="J119" s="48">
        <v>2024</v>
      </c>
      <c r="K119" s="48">
        <v>2025</v>
      </c>
      <c r="L119" s="48" t="s">
        <v>288</v>
      </c>
      <c r="M119" s="48" t="s">
        <v>173</v>
      </c>
      <c r="N119" s="48" t="s">
        <v>174</v>
      </c>
      <c r="O119" s="48" t="s">
        <v>833</v>
      </c>
      <c r="P119" s="63" t="s">
        <v>458</v>
      </c>
      <c r="Q119" s="214" t="s">
        <v>213</v>
      </c>
      <c r="R119" s="63" t="s">
        <v>834</v>
      </c>
      <c r="S119" s="63" t="str">
        <f t="shared" si="283"/>
        <v>Selesai Implementasi</v>
      </c>
      <c r="T119" s="63" t="str">
        <f t="shared" si="145"/>
        <v>DONE</v>
      </c>
      <c r="U119" s="63" t="str">
        <f t="shared" si="284"/>
        <v>Rifanda Yulio</v>
      </c>
      <c r="V119" s="67">
        <f t="shared" si="285"/>
        <v>0.99999999999999989</v>
      </c>
      <c r="W119" s="66" t="s">
        <v>532</v>
      </c>
      <c r="X119" s="59">
        <f t="shared" ref="X119:X127" si="294">AR119</f>
        <v>45716</v>
      </c>
      <c r="Y119" s="68" t="s">
        <v>485</v>
      </c>
      <c r="Z119" s="48"/>
      <c r="AA119" s="279"/>
      <c r="AB119" s="48"/>
      <c r="AC119" s="48"/>
      <c r="AD119" s="48"/>
      <c r="AE119" s="48"/>
      <c r="AF119" s="48"/>
      <c r="AG119" s="48"/>
      <c r="AH119" s="48"/>
      <c r="AI119" s="217">
        <v>45640</v>
      </c>
      <c r="AJ119" s="217">
        <v>45657</v>
      </c>
      <c r="AK119" s="217">
        <v>45654</v>
      </c>
      <c r="AL119" s="217">
        <v>45674</v>
      </c>
      <c r="AM119" s="217">
        <v>45677</v>
      </c>
      <c r="AN119" s="217">
        <v>45688</v>
      </c>
      <c r="AO119" s="217">
        <v>45691</v>
      </c>
      <c r="AP119" s="217">
        <v>45702</v>
      </c>
      <c r="AQ119" s="217">
        <v>45705</v>
      </c>
      <c r="AR119" s="218">
        <v>45716</v>
      </c>
      <c r="AS119" s="63" t="str">
        <f t="shared" ref="AS119:AS127" si="295">IF(BE119=0%,"Not Started",IF(BE119&lt;5%,"Proses RBT-RBB",IF(BE119=5%,"Selesai RBT-RBB",IF(BE119&lt;10%,"Proses RBT-RBL",IF(BE119=10%,"Selesai RBT-RBL",IF(BE119&lt;15%,"Proses RBT-RBTD",IF(BE119=15%,"Selesai RBT-RBTD",IF(BE119&lt;20%,"Proses RPP",IF(BE119=20%,"Selesai RPP",IF(BE119&lt;25%,"Proses KAK",IF(BE119=25%,"Selesai KAK",IF(BE119&lt;30%,"Proses Pengadaan",IF(BE119=30%,"Selesai Pengadaan",IF(BE119&lt;45%,"Proses Desain",IF(BE119=45%,"Selesai Desain",IF(BE119&lt;80%,"Proses Pengembangan",IF(BE119=80%,"Selesai Pengembangan",IF(BE119&lt;87.5%,"Proses SIT",IF(BE119=87.5%,"Selesai SIT",IF(BE119&lt;95%,"Proses UAT",IF(BE119=95%,"Selesai UAT",IF(BE119&lt;100%,"Proses Implementasi","Selesai Implementasi"))))))))))))))))))))))</f>
        <v>Selesai Implementasi</v>
      </c>
      <c r="AT119" s="63" t="str">
        <f t="shared" ref="AT119:AT127" si="296">IF(BF119=0%,"Not Started",IF(BF119&lt;5%,"Proses RBT-RBB",IF(BF119=5%,"Selesai RBT-RBB",IF(BF119&lt;10%,"Proses RBT-RBL",IF(BF119=10%,"Selesai RBT-RBL",IF(BF119&lt;15%,"Proses RBT-RBTD",IF(BF119=15%,"Selesai RBT-RBTD",IF(BF119&lt;20%,"Proses RPP",IF(BF119=20%,"Selesai RPP",IF(BF119&lt;25%,"Proses KAK",IF(BF119=25%,"Selesai KAK",IF(BF119&lt;30%,"Proses Pengadaan",IF(BF119=30%,"Selesai Pengadaan",IF(BF119&lt;45%,"Proses Desain",IF(BF119=45%,"Selesai Desain",IF(BF119&lt;80%,"Proses Pengembangan",IF(BF119=80%,"Selesai Pengembangan",IF(BF119&lt;87.5%,"Proses SIT",IF(BF119=87.5%,"Selesai SIT",IF(BF119&lt;95%,"Proses UAT",IF(BF119=95%,"Selesai UAT",IF(BF119&lt;100%,"Proses Implementasi","Selesai Implementasi"))))))))))))))))))))))</f>
        <v>Selesai Implementasi</v>
      </c>
      <c r="AU119" s="63" t="str">
        <f t="shared" ref="AU119:AU127" si="297">IF(BG119=0%,"Not Started",IF(BG119&lt;5%,"Proses RBT-RBB",IF(BG119=5%,"Selesai RBT-RBB",IF(BG119&lt;10%,"Proses RBT-RBL",IF(BG119=10%,"Selesai RBT-RBL",IF(BG119&lt;15%,"Proses RBT-RBTD",IF(BG119=15%,"Selesai RBT-RBTD",IF(BG119&lt;20%,"Proses RPP",IF(BG119=20%,"Selesai RPP",IF(BG119&lt;25%,"Proses KAK",IF(BG119=25%,"Selesai KAK",IF(BG119&lt;30%,"Proses Pengadaan",IF(BG119=30%,"Selesai Pengadaan",IF(BG119&lt;45%,"Proses Desain",IF(BG119=45%,"Selesai Desain",IF(BG119&lt;80%,"Proses Pengembangan",IF(BG119=80%,"Selesai Pengembangan",IF(BG119&lt;87.5%,"Proses SIT",IF(BG119=87.5%,"Selesai SIT",IF(BG119&lt;95%,"Proses UAT",IF(BG119=95%,"Selesai UAT",IF(BG119&lt;100%,"Proses Implementasi","Selesai Implementasi"))))))))))))))))))))))</f>
        <v>Selesai Implementasi</v>
      </c>
      <c r="AV119" s="63" t="str">
        <f t="shared" ref="AV119:AV127" si="298">IF(BH119=0%,"Not Started",IF(BH119&lt;5%,"Proses RBT-RBB",IF(BH119=5%,"Selesai RBT-RBB",IF(BH119&lt;10%,"Proses RBT-RBL",IF(BH119=10%,"Selesai RBT-RBL",IF(BH119&lt;15%,"Proses RBT-RBTD",IF(BH119=15%,"Selesai RBT-RBTD",IF(BH119&lt;20%,"Proses RPP",IF(BH119=20%,"Selesai RPP",IF(BH119&lt;25%,"Proses KAK",IF(BH119=25%,"Selesai KAK",IF(BH119&lt;30%,"Proses Pengadaan",IF(BH119=30%,"Selesai Pengadaan",IF(BH119&lt;45%,"Proses Desain",IF(BH119=45%,"Selesai Desain",IF(BH119&lt;80%,"Proses Pengembangan",IF(BH119=80%,"Selesai Pengembangan",IF(BH119&lt;87.5%,"Proses SIT",IF(BH119=87.5%,"Selesai SIT",IF(BH119&lt;95%,"Proses UAT",IF(BH119=95%,"Selesai UAT",IF(BH119&lt;100%,"Proses Implementasi","Selesai Implementasi"))))))))))))))))))))))</f>
        <v>Selesai Implementasi</v>
      </c>
      <c r="AW119" s="63" t="str">
        <f t="shared" ref="AW119:AW127" si="299">IF(BI119=0%,"Not Started",IF(BI119&lt;5%,"Proses RBT-RBB",IF(BI119=5%,"Selesai RBT-RBB",IF(BI119&lt;10%,"Proses RBT-RBL",IF(BI119=10%,"Selesai RBT-RBL",IF(BI119&lt;15%,"Proses RBT-RBTD",IF(BI119=15%,"Selesai RBT-RBTD",IF(BI119&lt;20%,"Proses RPP",IF(BI119=20%,"Selesai RPP",IF(BI119&lt;25%,"Proses KAK",IF(BI119=25%,"Selesai KAK",IF(BI119&lt;30%,"Proses Pengadaan",IF(BI119=30%,"Selesai Pengadaan",IF(BI119&lt;45%,"Proses Desain",IF(BI119=45%,"Selesai Desain",IF(BI119&lt;80%,"Proses Pengembangan",IF(BI119=80%,"Selesai Pengembangan",IF(BI119&lt;87.5%,"Proses SIT",IF(BI119=87.5%,"Selesai SIT",IF(BI119&lt;95%,"Proses UAT",IF(BI119=95%,"Selesai UAT",IF(BI119&lt;100%,"Proses Implementasi","Selesai Implementasi"))))))))))))))))))))))</f>
        <v>Selesai Implementasi</v>
      </c>
      <c r="AX119" s="63" t="str">
        <f t="shared" ref="AX119:AX127" si="300">IF(BJ119=0%,"Not Started",IF(BJ119&lt;5%,"Proses RBT-RBB",IF(BJ119=5%,"Selesai RBT-RBB",IF(BJ119&lt;10%,"Proses RBT-RBL",IF(BJ119=10%,"Selesai RBT-RBL",IF(BJ119&lt;15%,"Proses RBT-RBTD",IF(BJ119=15%,"Selesai RBT-RBTD",IF(BJ119&lt;20%,"Proses RPP",IF(BJ119=20%,"Selesai RPP",IF(BJ119&lt;25%,"Proses KAK",IF(BJ119=25%,"Selesai KAK",IF(BJ119&lt;30%,"Proses Pengadaan",IF(BJ119=30%,"Selesai Pengadaan",IF(BJ119&lt;45%,"Proses Desain",IF(BJ119=45%,"Selesai Desain",IF(BJ119&lt;80%,"Proses Pengembangan",IF(BJ119=80%,"Selesai Pengembangan",IF(BJ119&lt;87.5%,"Proses SIT",IF(BJ119=87.5%,"Selesai SIT",IF(BJ119&lt;95%,"Proses UAT",IF(BJ119=95%,"Selesai UAT",IF(BJ119&lt;100%,"Proses Implementasi","Selesai Implementasi"))))))))))))))))))))))</f>
        <v>Selesai Implementasi</v>
      </c>
      <c r="AY119" s="63" t="str">
        <f t="shared" ref="AY119:AY127" si="301">IF(BK119=0%,"Not Started",IF(BK119&lt;5%,"Proses RBT-RBB",IF(BK119=5%,"Selesai RBT-RBB",IF(BK119&lt;10%,"Proses RBT-RBL",IF(BK119=10%,"Selesai RBT-RBL",IF(BK119&lt;15%,"Proses RBT-RBTD",IF(BK119=15%,"Selesai RBT-RBTD",IF(BK119&lt;20%,"Proses RPP",IF(BK119=20%,"Selesai RPP",IF(BK119&lt;25%,"Proses KAK",IF(BK119=25%,"Selesai KAK",IF(BK119&lt;30%,"Proses Pengadaan",IF(BK119=30%,"Selesai Pengadaan",IF(BK119&lt;45%,"Proses Desain",IF(BK119=45%,"Selesai Desain",IF(BK119&lt;80%,"Proses Pengembangan",IF(BK119=80%,"Selesai Pengembangan",IF(BK119&lt;87.5%,"Proses SIT",IF(BK119=87.5%,"Selesai SIT",IF(BK119&lt;95%,"Proses UAT",IF(BK119=95%,"Selesai UAT",IF(BK119&lt;100%,"Proses Implementasi","Selesai Implementasi"))))))))))))))))))))))</f>
        <v>Selesai Implementasi</v>
      </c>
      <c r="AZ119" s="63" t="str">
        <f t="shared" ref="AZ119:AZ127" si="302">IF(BL119=0%,"Not Started",IF(BL119&lt;5%,"Proses RBT-RBB",IF(BL119=5%,"Selesai RBT-RBB",IF(BL119&lt;10%,"Proses RBT-RBL",IF(BL119=10%,"Selesai RBT-RBL",IF(BL119&lt;15%,"Proses RBT-RBTD",IF(BL119=15%,"Selesai RBT-RBTD",IF(BL119&lt;20%,"Proses RPP",IF(BL119=20%,"Selesai RPP",IF(BL119&lt;25%,"Proses KAK",IF(BL119=25%,"Selesai KAK",IF(BL119&lt;30%,"Proses Pengadaan",IF(BL119=30%,"Selesai Pengadaan",IF(BL119&lt;45%,"Proses Desain",IF(BL119=45%,"Selesai Desain",IF(BL119&lt;80%,"Proses Pengembangan",IF(BL119=80%,"Selesai Pengembangan",IF(BL119&lt;87.5%,"Proses SIT",IF(BL119=87.5%,"Selesai SIT",IF(BL119&lt;95%,"Proses UAT",IF(BL119=95%,"Selesai UAT",IF(BL119&lt;100%,"Proses Implementasi","Selesai Implementasi"))))))))))))))))))))))</f>
        <v>Selesai Implementasi</v>
      </c>
      <c r="BA119" s="63" t="str">
        <f t="shared" ref="BA119:BA127" si="303">IF(BM119=0%,"Not Started",IF(BM119&lt;5%,"Proses RBT-RBB",IF(BM119=5%,"Selesai RBT-RBB",IF(BM119&lt;10%,"Proses RBT-RBL",IF(BM119=10%,"Selesai RBT-RBL",IF(BM119&lt;15%,"Proses RBT-RBTD",IF(BM119=15%,"Selesai RBT-RBTD",IF(BM119&lt;20%,"Proses RPP",IF(BM119=20%,"Selesai RPP",IF(BM119&lt;25%,"Proses KAK",IF(BM119=25%,"Selesai KAK",IF(BM119&lt;30%,"Proses Pengadaan",IF(BM119=30%,"Selesai Pengadaan",IF(BM119&lt;45%,"Proses Desain",IF(BM119=45%,"Selesai Desain",IF(BM119&lt;80%,"Proses Pengembangan",IF(BM119=80%,"Selesai Pengembangan",IF(BM119&lt;87.5%,"Proses SIT",IF(BM119=87.5%,"Selesai SIT",IF(BM119&lt;95%,"Proses UAT",IF(BM119=95%,"Selesai UAT",IF(BM119&lt;100%,"Proses Implementasi","Selesai Implementasi"))))))))))))))))))))))</f>
        <v>Selesai Implementasi</v>
      </c>
      <c r="BB119" s="63" t="str">
        <f t="shared" ref="BB119:BB127" si="304">IF(BN119=0%,"Not Started",IF(BN119&lt;5%,"Proses RBT-RBB",IF(BN119=5%,"Selesai RBT-RBB",IF(BN119&lt;10%,"Proses RBT-RBL",IF(BN119=10%,"Selesai RBT-RBL",IF(BN119&lt;15%,"Proses RBT-RBTD",IF(BN119=15%,"Selesai RBT-RBTD",IF(BN119&lt;20%,"Proses RPP",IF(BN119=20%,"Selesai RPP",IF(BN119&lt;25%,"Proses KAK",IF(BN119=25%,"Selesai KAK",IF(BN119&lt;30%,"Proses Pengadaan",IF(BN119=30%,"Selesai Pengadaan",IF(BN119&lt;45%,"Proses Desain",IF(BN119=45%,"Selesai Desain",IF(BN119&lt;80%,"Proses Pengembangan",IF(BN119=80%,"Selesai Pengembangan",IF(BN119&lt;87.5%,"Proses SIT",IF(BN119=87.5%,"Selesai SIT",IF(BN119&lt;95%,"Proses UAT",IF(BN119=95%,"Selesai UAT",IF(BN119&lt;100%,"Proses Implementasi","Selesai Implementasi"))))))))))))))))))))))</f>
        <v>Selesai Implementasi</v>
      </c>
      <c r="BC119" s="63" t="str">
        <f t="shared" si="288"/>
        <v>Selesai Implementasi</v>
      </c>
      <c r="BD119" s="63" t="str">
        <f t="shared" ref="BD119:BD127" si="305">IF(BP119=0%,"Not Started",IF(BP119&lt;5%,"Proses RBT-RBB",IF(BP119=5%,"Selesai RBT-RBB",IF(BP119&lt;10%,"Proses RBT-RBL",IF(BP119=10%,"Selesai RBT-RBL",IF(BP119&lt;15%,"Proses RBT-RBTD",IF(BP119=15%,"Selesai RBT-RBTD",IF(BP119&lt;20%,"Proses RPP",IF(BP119=20%,"Selesai RPP",IF(BP119&lt;25%,"Proses KAK",IF(BP119=25%,"Selesai KAK",IF(BP119&lt;30%,"Proses Pengadaan",IF(BP119=30%,"Selesai Pengadaan",IF(BP119&lt;45%,"Proses Desain",IF(BP119=45%,"Selesai Desain",IF(BP119&lt;80%,"Proses Pengembangan",IF(BP119=80%,"Selesai Pengembangan",IF(BP119&lt;87.5%,"Proses SIT",IF(BP119=87.5%,"Selesai SIT",IF(BP119&lt;95%,"Proses UAT",IF(BP119=95%,"Selesai UAT",IF(BP119&lt;100%,"Proses Implementasi","Selesai Implementasi"))))))))))))))))))))))</f>
        <v>Selesai Implementasi</v>
      </c>
      <c r="BE119" s="351">
        <v>1</v>
      </c>
      <c r="BF119" s="351">
        <v>1</v>
      </c>
      <c r="BG119" s="351">
        <v>1</v>
      </c>
      <c r="BH119" s="351">
        <v>1</v>
      </c>
      <c r="BI119" s="351">
        <v>1</v>
      </c>
      <c r="BJ119" s="351">
        <v>1</v>
      </c>
      <c r="BK119" s="351">
        <v>1</v>
      </c>
      <c r="BL119" s="351">
        <v>1</v>
      </c>
      <c r="BM119" s="351">
        <v>1</v>
      </c>
      <c r="BN119" s="351">
        <v>1</v>
      </c>
      <c r="BO119" s="351">
        <v>1</v>
      </c>
      <c r="BP119" s="351">
        <v>1</v>
      </c>
      <c r="BQ119" s="63" t="str">
        <f t="shared" ref="BQ119:BQ127" si="306">IF(CC119=0%,"Not Started",IF(CC119&lt;5%,"Proses RBT-RBB",IF(CC119=5%,"Selesai RBT-RBB",IF(CC119&lt;10%,"Proses RBT-RBL",IF(CC119=10%,"Selesai RBT-RBL",IF(CC119&lt;15%,"Proses RBT-RBTD",IF(CC119=15%,"Selesai RBT-RBTD",IF(CC119&lt;20%,"Proses RPP",IF(CC119=20%,"Selesai RPP",IF(CC119&lt;25%,"Proses KAK",IF(CC119=25%,"Selesai KAK",IF(CC119&lt;30%,"Proses Pengadaan",IF(CC119=30%,"Selesai Pengadaan",IF(CC119&lt;45%,"Proses Desain",IF(CC119=45%,"Selesai Desain",IF(CC119&lt;80%,"Proses Pengembangan",IF(CC119=80%,"Selesai Pengembangan",IF(CC119&lt;87.5%,"Proses SIT",IF(CC119=87.5%,"Selesai SIT",IF(CC119&lt;95%,"Proses UAT",IF(CC119=95%,"Selesai UAT",IF(CC119&lt;100%,"Proses Implementasi","Selesai Implementasi"))))))))))))))))))))))</f>
        <v>Selesai Implementasi</v>
      </c>
      <c r="BR119" s="63" t="str">
        <f t="shared" ref="BR119:BR127" si="307">IF(CD119=0%,"Not Started",IF(CD119&lt;5%,"Proses RBT-RBB",IF(CD119=5%,"Selesai RBT-RBB",IF(CD119&lt;10%,"Proses RBT-RBL",IF(CD119=10%,"Selesai RBT-RBL",IF(CD119&lt;15%,"Proses RBT-RBTD",IF(CD119=15%,"Selesai RBT-RBTD",IF(CD119&lt;20%,"Proses RPP",IF(CD119=20%,"Selesai RPP",IF(CD119&lt;25%,"Proses KAK",IF(CD119=25%,"Selesai KAK",IF(CD119&lt;30%,"Proses Pengadaan",IF(CD119=30%,"Selesai Pengadaan",IF(CD119&lt;45%,"Proses Desain",IF(CD119=45%,"Selesai Desain",IF(CD119&lt;80%,"Proses Pengembangan",IF(CD119=80%,"Selesai Pengembangan",IF(CD119&lt;87.5%,"Proses SIT",IF(CD119=87.5%,"Selesai SIT",IF(CD119&lt;95%,"Proses UAT",IF(CD119=95%,"Selesai UAT",IF(CD119&lt;100%,"Proses Implementasi","Selesai Implementasi"))))))))))))))))))))))</f>
        <v>Not Started</v>
      </c>
      <c r="BS119" s="63" t="str">
        <f t="shared" ref="BS119:BS127" si="308">IF(CE119=0%,"Not Started",IF(CE119&lt;5%,"Proses RBT-RBB",IF(CE119=5%,"Selesai RBT-RBB",IF(CE119&lt;10%,"Proses RBT-RBL",IF(CE119=10%,"Selesai RBT-RBL",IF(CE119&lt;15%,"Proses RBT-RBTD",IF(CE119=15%,"Selesai RBT-RBTD",IF(CE119&lt;20%,"Proses RPP",IF(CE119=20%,"Selesai RPP",IF(CE119&lt;25%,"Proses KAK",IF(CE119=25%,"Selesai KAK",IF(CE119&lt;30%,"Proses Pengadaan",IF(CE119=30%,"Selesai Pengadaan",IF(CE119&lt;45%,"Proses Desain",IF(CE119=45%,"Selesai Desain",IF(CE119&lt;80%,"Proses Pengembangan",IF(CE119=80%,"Selesai Pengembangan",IF(CE119&lt;87.5%,"Proses SIT",IF(CE119=87.5%,"Selesai SIT",IF(CE119&lt;95%,"Proses UAT",IF(CE119=95%,"Selesai UAT",IF(CE119&lt;100%,"Proses Implementasi","Selesai Implementasi"))))))))))))))))))))))</f>
        <v>Not Started</v>
      </c>
      <c r="BT119" s="63" t="str">
        <f t="shared" ref="BT119:BT127" si="309">IF(CF119=0%,"Not Started",IF(CF119&lt;5%,"Proses RBT-RBB",IF(CF119=5%,"Selesai RBT-RBB",IF(CF119&lt;10%,"Proses RBT-RBL",IF(CF119=10%,"Selesai RBT-RBL",IF(CF119&lt;15%,"Proses RBT-RBTD",IF(CF119=15%,"Selesai RBT-RBTD",IF(CF119&lt;20%,"Proses RPP",IF(CF119=20%,"Selesai RPP",IF(CF119&lt;25%,"Proses KAK",IF(CF119=25%,"Selesai KAK",IF(CF119&lt;30%,"Proses Pengadaan",IF(CF119=30%,"Selesai Pengadaan",IF(CF119&lt;45%,"Proses Desain",IF(CF119=45%,"Selesai Desain",IF(CF119&lt;80%,"Proses Pengembangan",IF(CF119=80%,"Selesai Pengembangan",IF(CF119&lt;87.5%,"Proses SIT",IF(CF119=87.5%,"Selesai SIT",IF(CF119&lt;95%,"Proses UAT",IF(CF119=95%,"Selesai UAT",IF(CF119&lt;100%,"Proses Implementasi","Selesai Implementasi"))))))))))))))))))))))</f>
        <v>Not Started</v>
      </c>
      <c r="BU119" s="63" t="str">
        <f t="shared" ref="BU119:BU127" si="310">IF(CG119=0%,"Not Started",IF(CG119&lt;5%,"Proses RBT-RBB",IF(CG119=5%,"Selesai RBT-RBB",IF(CG119&lt;10%,"Proses RBT-RBL",IF(CG119=10%,"Selesai RBT-RBL",IF(CG119&lt;15%,"Proses RBT-RBTD",IF(CG119=15%,"Selesai RBT-RBTD",IF(CG119&lt;20%,"Proses RPP",IF(CG119=20%,"Selesai RPP",IF(CG119&lt;25%,"Proses KAK",IF(CG119=25%,"Selesai KAK",IF(CG119&lt;30%,"Proses Pengadaan",IF(CG119=30%,"Selesai Pengadaan",IF(CG119&lt;45%,"Proses Desain",IF(CG119=45%,"Selesai Desain",IF(CG119&lt;80%,"Proses Pengembangan",IF(CG119=80%,"Selesai Pengembangan",IF(CG119&lt;87.5%,"Proses SIT",IF(CG119=87.5%,"Selesai SIT",IF(CG119&lt;95%,"Proses UAT",IF(CG119=95%,"Selesai UAT",IF(CG119&lt;100%,"Proses Implementasi","Selesai Implementasi"))))))))))))))))))))))</f>
        <v>Not Started</v>
      </c>
      <c r="BV119" s="63" t="str">
        <f t="shared" ref="BV119:BV127" si="311">IF(CH119=0%,"Not Started",IF(CH119&lt;5%,"Proses RBT-RBB",IF(CH119=5%,"Selesai RBT-RBB",IF(CH119&lt;10%,"Proses RBT-RBL",IF(CH119=10%,"Selesai RBT-RBL",IF(CH119&lt;15%,"Proses RBT-RBTD",IF(CH119=15%,"Selesai RBT-RBTD",IF(CH119&lt;20%,"Proses RPP",IF(CH119=20%,"Selesai RPP",IF(CH119&lt;25%,"Proses KAK",IF(CH119=25%,"Selesai KAK",IF(CH119&lt;30%,"Proses Pengadaan",IF(CH119=30%,"Selesai Pengadaan",IF(CH119&lt;45%,"Proses Desain",IF(CH119=45%,"Selesai Desain",IF(CH119&lt;80%,"Proses Pengembangan",IF(CH119=80%,"Selesai Pengembangan",IF(CH119&lt;87.5%,"Proses SIT",IF(CH119=87.5%,"Selesai SIT",IF(CH119&lt;95%,"Proses UAT",IF(CH119=95%,"Selesai UAT",IF(CH119&lt;100%,"Proses Implementasi","Selesai Implementasi"))))))))))))))))))))))</f>
        <v>Not Started</v>
      </c>
      <c r="BW119" s="63" t="str">
        <f t="shared" ref="BW119:BW127" si="312">IF(CI119=0%,"Not Started",IF(CI119&lt;5%,"Proses RBT-RBB",IF(CI119=5%,"Selesai RBT-RBB",IF(CI119&lt;10%,"Proses RBT-RBL",IF(CI119=10%,"Selesai RBT-RBL",IF(CI119&lt;15%,"Proses RBT-RBTD",IF(CI119=15%,"Selesai RBT-RBTD",IF(CI119&lt;20%,"Proses RPP",IF(CI119=20%,"Selesai RPP",IF(CI119&lt;25%,"Proses KAK",IF(CI119=25%,"Selesai KAK",IF(CI119&lt;30%,"Proses Pengadaan",IF(CI119=30%,"Selesai Pengadaan",IF(CI119&lt;45%,"Proses Desain",IF(CI119=45%,"Selesai Desain",IF(CI119&lt;80%,"Proses Pengembangan",IF(CI119=80%,"Selesai Pengembangan",IF(CI119&lt;87.5%,"Proses SIT",IF(CI119=87.5%,"Selesai SIT",IF(CI119&lt;95%,"Proses UAT",IF(CI119=95%,"Selesai UAT",IF(CI119&lt;100%,"Proses Implementasi","Selesai Implementasi"))))))))))))))))))))))</f>
        <v>Not Started</v>
      </c>
      <c r="BX119" s="63" t="str">
        <f t="shared" ref="BX119:BX127" si="313">IF(CJ119=0%,"Not Started",IF(CJ119&lt;5%,"Proses RBT-RBB",IF(CJ119=5%,"Selesai RBT-RBB",IF(CJ119&lt;10%,"Proses RBT-RBL",IF(CJ119=10%,"Selesai RBT-RBL",IF(CJ119&lt;15%,"Proses RBT-RBTD",IF(CJ119=15%,"Selesai RBT-RBTD",IF(CJ119&lt;20%,"Proses RPP",IF(CJ119=20%,"Selesai RPP",IF(CJ119&lt;25%,"Proses KAK",IF(CJ119=25%,"Selesai KAK",IF(CJ119&lt;30%,"Proses Pengadaan",IF(CJ119=30%,"Selesai Pengadaan",IF(CJ119&lt;45%,"Proses Desain",IF(CJ119=45%,"Selesai Desain",IF(CJ119&lt;80%,"Proses Pengembangan",IF(CJ119=80%,"Selesai Pengembangan",IF(CJ119&lt;87.5%,"Proses SIT",IF(CJ119=87.5%,"Selesai SIT",IF(CJ119&lt;95%,"Proses UAT",IF(CJ119=95%,"Selesai UAT",IF(CJ119&lt;100%,"Proses Implementasi","Selesai Implementasi"))))))))))))))))))))))</f>
        <v>Not Started</v>
      </c>
      <c r="BY119" s="63" t="str">
        <f t="shared" ref="BY119:BY127" si="314">IF(CK119=0%,"Not Started",IF(CK119&lt;5%,"Proses RBT-RBB",IF(CK119=5%,"Selesai RBT-RBB",IF(CK119&lt;10%,"Proses RBT-RBL",IF(CK119=10%,"Selesai RBT-RBL",IF(CK119&lt;15%,"Proses RBT-RBTD",IF(CK119=15%,"Selesai RBT-RBTD",IF(CK119&lt;20%,"Proses RPP",IF(CK119=20%,"Selesai RPP",IF(CK119&lt;25%,"Proses KAK",IF(CK119=25%,"Selesai KAK",IF(CK119&lt;30%,"Proses Pengadaan",IF(CK119=30%,"Selesai Pengadaan",IF(CK119&lt;45%,"Proses Desain",IF(CK119=45%,"Selesai Desain",IF(CK119&lt;80%,"Proses Pengembangan",IF(CK119=80%,"Selesai Pengembangan",IF(CK119&lt;87.5%,"Proses SIT",IF(CK119=87.5%,"Selesai SIT",IF(CK119&lt;95%,"Proses UAT",IF(CK119=95%,"Selesai UAT",IF(CK119&lt;100%,"Proses Implementasi","Selesai Implementasi"))))))))))))))))))))))</f>
        <v>Not Started</v>
      </c>
      <c r="BZ119" s="63" t="str">
        <f t="shared" ref="BZ119:BZ127" si="315">IF(CL119=0%,"Not Started",IF(CL119&lt;5%,"Proses RBT-RBB",IF(CL119=5%,"Selesai RBT-RBB",IF(CL119&lt;10%,"Proses RBT-RBL",IF(CL119=10%,"Selesai RBT-RBL",IF(CL119&lt;15%,"Proses RBT-RBTD",IF(CL119=15%,"Selesai RBT-RBTD",IF(CL119&lt;20%,"Proses RPP",IF(CL119=20%,"Selesai RPP",IF(CL119&lt;25%,"Proses KAK",IF(CL119=25%,"Selesai KAK",IF(CL119&lt;30%,"Proses Pengadaan",IF(CL119=30%,"Selesai Pengadaan",IF(CL119&lt;45%,"Proses Desain",IF(CL119=45%,"Selesai Desain",IF(CL119&lt;80%,"Proses Pengembangan",IF(CL119=80%,"Selesai Pengembangan",IF(CL119&lt;87.5%,"Proses SIT",IF(CL119=87.5%,"Selesai SIT",IF(CL119&lt;95%,"Proses UAT",IF(CL119=95%,"Selesai UAT",IF(CL119&lt;100%,"Proses Implementasi","Selesai Implementasi"))))))))))))))))))))))</f>
        <v>Not Started</v>
      </c>
      <c r="CA119" s="63" t="str">
        <f t="shared" ref="CA119:CA127" si="316">IF(CM119=0%,"Not Started",IF(CM119&lt;5%,"Proses RBT-RBB",IF(CM119=5%,"Selesai RBT-RBB",IF(CM119&lt;10%,"Proses RBT-RBL",IF(CM119=10%,"Selesai RBT-RBL",IF(CM119&lt;15%,"Proses RBT-RBTD",IF(CM119=15%,"Selesai RBT-RBTD",IF(CM119&lt;20%,"Proses RPP",IF(CM119=20%,"Selesai RPP",IF(CM119&lt;25%,"Proses KAK",IF(CM119=25%,"Selesai KAK",IF(CM119&lt;30%,"Proses Pengadaan",IF(CM119=30%,"Selesai Pengadaan",IF(CM119&lt;45%,"Proses Desain",IF(CM119=45%,"Selesai Desain",IF(CM119&lt;80%,"Proses Pengembangan",IF(CM119=80%,"Selesai Pengembangan",IF(CM119&lt;87.5%,"Proses SIT",IF(CM119=87.5%,"Selesai SIT",IF(CM119&lt;95%,"Proses UAT",IF(CM119=95%,"Selesai UAT",IF(CM119&lt;100%,"Proses Implementasi","Selesai Implementasi"))))))))))))))))))))))</f>
        <v>Not Started</v>
      </c>
      <c r="CB119" s="63" t="str">
        <f t="shared" ref="CB119:CB127" si="317">IF(CN119=0%,"Not Started",IF(CN119&lt;5%,"Proses RBT-RBB",IF(CN119=5%,"Selesai RBT-RBB",IF(CN119&lt;10%,"Proses RBT-RBL",IF(CN119=10%,"Selesai RBT-RBL",IF(CN119&lt;15%,"Proses RBT-RBTD",IF(CN119=15%,"Selesai RBT-RBTD",IF(CN119&lt;20%,"Proses RPP",IF(CN119=20%,"Selesai RPP",IF(CN119&lt;25%,"Proses KAK",IF(CN119=25%,"Selesai KAK",IF(CN119&lt;30%,"Proses Pengadaan",IF(CN119=30%,"Selesai Pengadaan",IF(CN119&lt;45%,"Proses Desain",IF(CN119=45%,"Selesai Desain",IF(CN119&lt;80%,"Proses Pengembangan",IF(CN119=80%,"Selesai Pengembangan",IF(CN119&lt;87.5%,"Proses SIT",IF(CN119=87.5%,"Selesai SIT",IF(CN119&lt;95%,"Proses UAT",IF(CN119=95%,"Selesai UAT",IF(CN119&lt;100%,"Proses Implementasi","Selesai Implementasi"))))))))))))))))))))))</f>
        <v>Not Started</v>
      </c>
      <c r="CC119" s="44">
        <f t="shared" si="289"/>
        <v>0.99999999999999989</v>
      </c>
      <c r="CD119" s="44"/>
      <c r="CE119" s="44"/>
      <c r="CF119" s="44"/>
      <c r="CG119" s="44"/>
      <c r="CH119" s="44"/>
      <c r="CI119" s="44"/>
      <c r="CJ119" s="44"/>
      <c r="CK119" s="44"/>
      <c r="CL119" s="44"/>
      <c r="CM119" s="44"/>
      <c r="CN119" s="44"/>
      <c r="CO119" s="45">
        <f t="shared" ref="CO119:CO127" si="318">IF(BE119=0%, 100%, (CC119/BE119))</f>
        <v>0.99999999999999989</v>
      </c>
      <c r="CP119" s="45">
        <f t="shared" ref="CP119:CP127" si="319">IF(BF119=0%, 100%, (CD119/BF119))</f>
        <v>0</v>
      </c>
      <c r="CQ119" s="45">
        <f t="shared" ref="CQ119:CQ127" si="320">IF(BG119=0%, 100%, (CE119/BG119))</f>
        <v>0</v>
      </c>
      <c r="CR119" s="45">
        <f t="shared" ref="CR119:CR127" si="321">IF(BH119=0%, 100%, (CF119/BH119))</f>
        <v>0</v>
      </c>
      <c r="CS119" s="45">
        <f t="shared" ref="CS119:CS127" si="322">IF(BI119=0%, 100%, (CG119/BI119))</f>
        <v>0</v>
      </c>
      <c r="CT119" s="45">
        <f t="shared" ref="CT119:CT127" si="323">IF(BJ119=0%, 100%, (CH119/BJ119))</f>
        <v>0</v>
      </c>
      <c r="CU119" s="45">
        <f t="shared" ref="CU119:CU127" si="324">IF(BK119=0%, 100%, (CI119/BK119))</f>
        <v>0</v>
      </c>
      <c r="CV119" s="45">
        <f t="shared" ref="CV119:CV127" si="325">IF(BL119=0%, 100%, (CJ119/BL119))</f>
        <v>0</v>
      </c>
      <c r="CW119" s="45">
        <f t="shared" ref="CW119:CW127" si="326">IF(BM119=0%, 100%, (CK119/BM119))</f>
        <v>0</v>
      </c>
      <c r="CX119" s="45">
        <f t="shared" ref="CX119:CX127" si="327">IF(BN119=0%, 100%, (CL119/BN119))</f>
        <v>0</v>
      </c>
      <c r="CY119" s="45">
        <f t="shared" si="290"/>
        <v>0</v>
      </c>
      <c r="CZ119" s="45"/>
      <c r="DA119" s="45" t="str">
        <f t="shared" ref="DA119:DA127" si="328">IF(BE119=0%,"NS",IF(CC119=100%,"DONE",IF(CO119&gt;100%,"AS",IF(CO119&lt;75%,"BS",IF(CO119&lt;89.9%,"AR","OS")))))</f>
        <v>DONE</v>
      </c>
      <c r="DB119" s="45" t="str">
        <f t="shared" ref="DB119:DB127" si="329">IF(BF119=0%,"NS",IF(CD119=100%,"DONE",IF(CP119&gt;100%,"AS",IF(CP119&lt;75%,"BS",IF(CP119&lt;89.9%,"AR","OS")))))</f>
        <v>BS</v>
      </c>
      <c r="DC119" s="45" t="str">
        <f t="shared" ref="DC119:DC127" si="330">IF(BG119=0%,"NS",IF(CE119=100%,"DONE",IF(CQ119&gt;100%,"AS",IF(CQ119&lt;75%,"BS",IF(CQ119&lt;89.9%,"AR","OS")))))</f>
        <v>BS</v>
      </c>
      <c r="DD119" s="45" t="str">
        <f t="shared" ref="DD119:DD127" si="331">IF(BH119=0%,"NS",IF(CF119=100%,"DONE",IF(CR119&gt;100%,"AS",IF(CR119&lt;75%,"BS",IF(CR119&lt;89.9%,"AR","OS")))))</f>
        <v>BS</v>
      </c>
      <c r="DE119" s="45" t="str">
        <f t="shared" ref="DE119:DE127" si="332">IF(BI119=0%,"NS",IF(CG119=100%,"DONE",IF(CS119&gt;100%,"AS",IF(CS119&lt;75%,"BS",IF(CS119&lt;89.9%,"AR","OS")))))</f>
        <v>BS</v>
      </c>
      <c r="DF119" s="45" t="str">
        <f t="shared" ref="DF119:DF127" si="333">IF(BJ119=0%,"NS",IF(CH119=100%,"DONE",IF(CT119&gt;100%,"AS",IF(CT119&lt;75%,"BS",IF(CT119&lt;89.9%,"AR","OS")))))</f>
        <v>BS</v>
      </c>
      <c r="DG119" s="45" t="str">
        <f t="shared" ref="DG119:DG127" si="334">IF(BK119=0%,"NS",IF(CI119=100%,"DONE",IF(CU119&gt;100%,"AS",IF(CU119&lt;75%,"BS",IF(CU119&lt;89.9%,"AR","OS")))))</f>
        <v>BS</v>
      </c>
      <c r="DH119" s="45" t="str">
        <f t="shared" ref="DH119:DH127" si="335">IF(BL119=0%,"NS",IF(CJ119=100%,"DONE",IF(CV119&gt;100%,"AS",IF(CV119&lt;75%,"BS",IF(CV119&lt;89.9%,"AR","OS")))))</f>
        <v>BS</v>
      </c>
      <c r="DI119" s="45" t="str">
        <f t="shared" ref="DI119:DI127" si="336">IF(BM119=0%,"NS",IF(CK119=100%,"DONE",IF(CW119&gt;100%,"AS",IF(CW119&lt;75%,"BS",IF(CW119&lt;89.9%,"AR","OS")))))</f>
        <v>BS</v>
      </c>
      <c r="DJ119" s="45" t="str">
        <f t="shared" ref="DJ119:DJ127" si="337">IF(BN119=0%,"NS",IF(CL119=100%,"DONE",IF(CX119&gt;100%,"AS",IF(CX119&lt;75%,"BS",IF(CX119&lt;89.9%,"AR","OS")))))</f>
        <v>BS</v>
      </c>
      <c r="DK119" s="45" t="str">
        <f t="shared" si="286"/>
        <v>BS</v>
      </c>
      <c r="DL119" s="45" t="str">
        <f t="shared" ref="DL119:DL127" si="338">IF(BP119=0%,"NS",IF(CN119=100%,"DONE",IF(CZ119&gt;100%,"AS",IF(CZ119&lt;75%,"BS",IF(CZ119&lt;89.9%,"AR","OS")))))</f>
        <v>BS</v>
      </c>
      <c r="DM119" s="45">
        <f t="shared" ref="DM119:DM127" si="339">CC119/$BP119</f>
        <v>0.99999999999999989</v>
      </c>
      <c r="DN119" s="45">
        <f t="shared" ref="DN119:DN127" si="340">CD119/$BP119</f>
        <v>0</v>
      </c>
      <c r="DO119" s="45">
        <f t="shared" ref="DO119:DO127" si="341">CE119/$BP119</f>
        <v>0</v>
      </c>
      <c r="DP119" s="45">
        <f t="shared" ref="DP119:DP127" si="342">CF119/$BP119</f>
        <v>0</v>
      </c>
      <c r="DQ119" s="45">
        <f t="shared" ref="DQ119:DQ127" si="343">CG119/$BP119</f>
        <v>0</v>
      </c>
      <c r="DR119" s="45">
        <f t="shared" ref="DR119:DR127" si="344">CH119/$BP119</f>
        <v>0</v>
      </c>
      <c r="DS119" s="45">
        <f t="shared" ref="DS119:DS127" si="345">CI119/$BP119</f>
        <v>0</v>
      </c>
      <c r="DT119" s="45">
        <f t="shared" ref="DT119:DT127" si="346">CJ119/$BP119</f>
        <v>0</v>
      </c>
      <c r="DU119" s="45">
        <f t="shared" ref="DU119:DU127" si="347">CK119/$BP119</f>
        <v>0</v>
      </c>
      <c r="DV119" s="45">
        <f t="shared" ref="DV119:DV127" si="348">CL119/$BP119</f>
        <v>0</v>
      </c>
      <c r="DW119" s="45">
        <f t="shared" ref="DW119:DW127" si="349">CM119/$BP119</f>
        <v>0</v>
      </c>
      <c r="DX119" s="45">
        <f t="shared" ref="DX119:DX127" si="350">CN119/$BP119</f>
        <v>0</v>
      </c>
      <c r="DY119" s="41">
        <v>1</v>
      </c>
      <c r="DZ119" s="41">
        <v>1</v>
      </c>
      <c r="EA119" s="41">
        <v>1</v>
      </c>
      <c r="EB119" s="41">
        <v>1</v>
      </c>
      <c r="EC119" s="41">
        <v>1</v>
      </c>
      <c r="ED119" s="41">
        <v>1</v>
      </c>
      <c r="EE119" s="41">
        <v>1</v>
      </c>
      <c r="EF119" s="41">
        <v>1</v>
      </c>
      <c r="EG119" s="41">
        <v>1</v>
      </c>
      <c r="EH119" s="191" t="s">
        <v>835</v>
      </c>
      <c r="EI119" s="230">
        <v>45710</v>
      </c>
      <c r="EJ119" s="59">
        <f t="shared" ref="EJ119:EJ127" si="351">AR119</f>
        <v>45716</v>
      </c>
      <c r="EK119" s="229"/>
      <c r="EL119" s="230">
        <v>45645</v>
      </c>
      <c r="EM119" s="230"/>
      <c r="EN119" s="222" t="s">
        <v>836</v>
      </c>
      <c r="EO119" s="222" t="s">
        <v>837</v>
      </c>
      <c r="EP119" s="220"/>
      <c r="EQ119" s="222"/>
      <c r="ER119" s="223"/>
      <c r="ES119" s="220"/>
      <c r="ET119" s="222"/>
      <c r="EU119" s="222"/>
      <c r="EV119" s="220"/>
      <c r="EW119" s="220"/>
      <c r="EX119" s="220"/>
      <c r="EY119" s="220"/>
      <c r="EZ119" s="220"/>
      <c r="FA119" s="222" t="s">
        <v>838</v>
      </c>
      <c r="FB119" s="220"/>
      <c r="FC119" s="222"/>
      <c r="FD119" s="220"/>
      <c r="FE119" s="220"/>
      <c r="FF119" s="222"/>
      <c r="FG119" s="222"/>
      <c r="FH119" s="220"/>
      <c r="FI119" s="220"/>
      <c r="FJ119" s="220"/>
      <c r="FK119" s="220"/>
      <c r="FL119" s="215"/>
      <c r="FM119" s="172"/>
      <c r="FN119" s="340" t="s">
        <v>220</v>
      </c>
      <c r="FO119" s="172"/>
      <c r="FP119" s="172" t="s">
        <v>222</v>
      </c>
      <c r="FQ119" s="172" t="s">
        <v>839</v>
      </c>
      <c r="FR119" s="313" t="s">
        <v>184</v>
      </c>
      <c r="FS119" s="267" t="s">
        <v>840</v>
      </c>
      <c r="FT119" s="267" t="s">
        <v>841</v>
      </c>
      <c r="FU119" s="48">
        <v>6</v>
      </c>
    </row>
    <row r="120" spans="1:177" s="16" customFormat="1" ht="208">
      <c r="A120" s="63" t="s">
        <v>842</v>
      </c>
      <c r="B120" s="48" t="s">
        <v>468</v>
      </c>
      <c r="C120" s="64" t="s">
        <v>206</v>
      </c>
      <c r="D120" s="225" t="s">
        <v>207</v>
      </c>
      <c r="E120" s="48" t="s">
        <v>829</v>
      </c>
      <c r="F120" s="227">
        <f t="shared" ref="F120:F128" si="352">F119+1</f>
        <v>2</v>
      </c>
      <c r="G120" s="65" t="s">
        <v>830</v>
      </c>
      <c r="H120" s="65" t="s">
        <v>831</v>
      </c>
      <c r="I120" s="65" t="s">
        <v>843</v>
      </c>
      <c r="J120" s="48">
        <v>2025</v>
      </c>
      <c r="K120" s="48">
        <v>2025</v>
      </c>
      <c r="L120" s="48" t="s">
        <v>288</v>
      </c>
      <c r="M120" s="48" t="s">
        <v>173</v>
      </c>
      <c r="N120" s="48" t="s">
        <v>174</v>
      </c>
      <c r="O120" s="63" t="s">
        <v>844</v>
      </c>
      <c r="P120" s="63" t="s">
        <v>458</v>
      </c>
      <c r="Q120" s="214" t="s">
        <v>213</v>
      </c>
      <c r="R120" s="63" t="s">
        <v>845</v>
      </c>
      <c r="S120" s="63" t="str">
        <f t="shared" si="283"/>
        <v>Selesai Implementasi</v>
      </c>
      <c r="T120" s="63" t="str">
        <f t="shared" si="145"/>
        <v>DONE</v>
      </c>
      <c r="U120" s="63" t="str">
        <f t="shared" si="284"/>
        <v>Rifanda Yulio</v>
      </c>
      <c r="V120" s="67">
        <f t="shared" si="285"/>
        <v>0.99999999999999989</v>
      </c>
      <c r="W120" s="66" t="s">
        <v>243</v>
      </c>
      <c r="X120" s="59">
        <f t="shared" si="294"/>
        <v>46010</v>
      </c>
      <c r="Y120" s="68">
        <v>0</v>
      </c>
      <c r="Z120" s="48"/>
      <c r="AA120" s="62">
        <v>45748</v>
      </c>
      <c r="AB120" s="42">
        <v>45823</v>
      </c>
      <c r="AC120" s="42">
        <v>45824</v>
      </c>
      <c r="AD120" s="42">
        <v>45838</v>
      </c>
      <c r="AE120" s="42"/>
      <c r="AF120" s="42"/>
      <c r="AG120" s="42"/>
      <c r="AH120" s="42"/>
      <c r="AI120" s="42">
        <v>45839</v>
      </c>
      <c r="AJ120" s="42">
        <v>45869</v>
      </c>
      <c r="AK120" s="42">
        <v>45870</v>
      </c>
      <c r="AL120" s="42">
        <v>45961</v>
      </c>
      <c r="AM120" s="42">
        <v>45971</v>
      </c>
      <c r="AN120" s="42">
        <v>45982</v>
      </c>
      <c r="AO120" s="42">
        <v>45985</v>
      </c>
      <c r="AP120" s="42">
        <v>46006</v>
      </c>
      <c r="AQ120" s="42">
        <v>46007</v>
      </c>
      <c r="AR120" s="339">
        <v>46010</v>
      </c>
      <c r="AS120" s="63" t="str">
        <f t="shared" si="295"/>
        <v>Selesai Implementasi</v>
      </c>
      <c r="AT120" s="63" t="str">
        <f t="shared" si="296"/>
        <v>Selesai Implementasi</v>
      </c>
      <c r="AU120" s="63" t="str">
        <f t="shared" si="297"/>
        <v>Selesai Implementasi</v>
      </c>
      <c r="AV120" s="63" t="str">
        <f t="shared" si="298"/>
        <v>Selesai Implementasi</v>
      </c>
      <c r="AW120" s="63" t="str">
        <f t="shared" si="299"/>
        <v>Selesai Implementasi</v>
      </c>
      <c r="AX120" s="63" t="str">
        <f t="shared" si="300"/>
        <v>Selesai Implementasi</v>
      </c>
      <c r="AY120" s="63" t="str">
        <f t="shared" si="301"/>
        <v>Selesai Implementasi</v>
      </c>
      <c r="AZ120" s="63" t="str">
        <f t="shared" si="302"/>
        <v>Selesai Implementasi</v>
      </c>
      <c r="BA120" s="63" t="str">
        <f t="shared" si="303"/>
        <v>Selesai Implementasi</v>
      </c>
      <c r="BB120" s="63" t="str">
        <f t="shared" si="304"/>
        <v>Selesai Implementasi</v>
      </c>
      <c r="BC120" s="63" t="str">
        <f t="shared" si="288"/>
        <v>Selesai Implementasi</v>
      </c>
      <c r="BD120" s="63" t="str">
        <f t="shared" si="305"/>
        <v>Selesai Implementasi</v>
      </c>
      <c r="BE120" s="351">
        <v>1</v>
      </c>
      <c r="BF120" s="351">
        <v>1</v>
      </c>
      <c r="BG120" s="351">
        <v>1</v>
      </c>
      <c r="BH120" s="351">
        <v>1</v>
      </c>
      <c r="BI120" s="351">
        <v>1</v>
      </c>
      <c r="BJ120" s="351">
        <v>1</v>
      </c>
      <c r="BK120" s="351">
        <v>1</v>
      </c>
      <c r="BL120" s="351">
        <v>1</v>
      </c>
      <c r="BM120" s="351">
        <v>1</v>
      </c>
      <c r="BN120" s="351">
        <v>1</v>
      </c>
      <c r="BO120" s="351">
        <v>1</v>
      </c>
      <c r="BP120" s="351">
        <v>1</v>
      </c>
      <c r="BQ120" s="63" t="str">
        <f t="shared" si="306"/>
        <v>Selesai Implementasi</v>
      </c>
      <c r="BR120" s="63" t="str">
        <f t="shared" si="307"/>
        <v>Not Started</v>
      </c>
      <c r="BS120" s="63" t="str">
        <f t="shared" si="308"/>
        <v>Not Started</v>
      </c>
      <c r="BT120" s="63" t="str">
        <f t="shared" si="309"/>
        <v>Not Started</v>
      </c>
      <c r="BU120" s="63" t="str">
        <f t="shared" si="310"/>
        <v>Not Started</v>
      </c>
      <c r="BV120" s="63" t="str">
        <f t="shared" si="311"/>
        <v>Not Started</v>
      </c>
      <c r="BW120" s="63" t="str">
        <f t="shared" si="312"/>
        <v>Not Started</v>
      </c>
      <c r="BX120" s="63" t="str">
        <f t="shared" si="313"/>
        <v>Not Started</v>
      </c>
      <c r="BY120" s="63" t="str">
        <f t="shared" si="314"/>
        <v>Not Started</v>
      </c>
      <c r="BZ120" s="63" t="str">
        <f t="shared" si="315"/>
        <v>Not Started</v>
      </c>
      <c r="CA120" s="63" t="str">
        <f t="shared" si="316"/>
        <v>Not Started</v>
      </c>
      <c r="CB120" s="63" t="str">
        <f t="shared" si="317"/>
        <v>Not Started</v>
      </c>
      <c r="CC120" s="44">
        <f t="shared" si="289"/>
        <v>0.99999999999999989</v>
      </c>
      <c r="CD120" s="44"/>
      <c r="CE120" s="44"/>
      <c r="CF120" s="44"/>
      <c r="CG120" s="44"/>
      <c r="CH120" s="44"/>
      <c r="CI120" s="44"/>
      <c r="CJ120" s="44"/>
      <c r="CK120" s="44"/>
      <c r="CL120" s="44"/>
      <c r="CM120" s="44"/>
      <c r="CN120" s="44"/>
      <c r="CO120" s="45">
        <f t="shared" si="318"/>
        <v>0.99999999999999989</v>
      </c>
      <c r="CP120" s="45">
        <f t="shared" si="319"/>
        <v>0</v>
      </c>
      <c r="CQ120" s="45">
        <f t="shared" si="320"/>
        <v>0</v>
      </c>
      <c r="CR120" s="45">
        <f t="shared" si="321"/>
        <v>0</v>
      </c>
      <c r="CS120" s="45">
        <f t="shared" si="322"/>
        <v>0</v>
      </c>
      <c r="CT120" s="45">
        <f t="shared" si="323"/>
        <v>0</v>
      </c>
      <c r="CU120" s="45">
        <f t="shared" si="324"/>
        <v>0</v>
      </c>
      <c r="CV120" s="45">
        <f t="shared" si="325"/>
        <v>0</v>
      </c>
      <c r="CW120" s="45">
        <f t="shared" si="326"/>
        <v>0</v>
      </c>
      <c r="CX120" s="45">
        <f t="shared" si="327"/>
        <v>0</v>
      </c>
      <c r="CY120" s="45">
        <f t="shared" si="290"/>
        <v>0</v>
      </c>
      <c r="CZ120" s="45"/>
      <c r="DA120" s="45" t="str">
        <f t="shared" si="328"/>
        <v>DONE</v>
      </c>
      <c r="DB120" s="45" t="str">
        <f t="shared" si="329"/>
        <v>BS</v>
      </c>
      <c r="DC120" s="45" t="str">
        <f t="shared" si="330"/>
        <v>BS</v>
      </c>
      <c r="DD120" s="45" t="str">
        <f t="shared" si="331"/>
        <v>BS</v>
      </c>
      <c r="DE120" s="45" t="str">
        <f t="shared" si="332"/>
        <v>BS</v>
      </c>
      <c r="DF120" s="45" t="str">
        <f t="shared" si="333"/>
        <v>BS</v>
      </c>
      <c r="DG120" s="45" t="str">
        <f t="shared" si="334"/>
        <v>BS</v>
      </c>
      <c r="DH120" s="45" t="str">
        <f t="shared" si="335"/>
        <v>BS</v>
      </c>
      <c r="DI120" s="45" t="str">
        <f t="shared" si="336"/>
        <v>BS</v>
      </c>
      <c r="DJ120" s="45" t="str">
        <f t="shared" si="337"/>
        <v>BS</v>
      </c>
      <c r="DK120" s="45" t="str">
        <f t="shared" si="286"/>
        <v>BS</v>
      </c>
      <c r="DL120" s="45" t="str">
        <f t="shared" si="338"/>
        <v>BS</v>
      </c>
      <c r="DM120" s="45">
        <f t="shared" si="339"/>
        <v>0.99999999999999989</v>
      </c>
      <c r="DN120" s="45">
        <f t="shared" si="340"/>
        <v>0</v>
      </c>
      <c r="DO120" s="45">
        <f t="shared" si="341"/>
        <v>0</v>
      </c>
      <c r="DP120" s="45">
        <f t="shared" si="342"/>
        <v>0</v>
      </c>
      <c r="DQ120" s="45">
        <f t="shared" si="343"/>
        <v>0</v>
      </c>
      <c r="DR120" s="45">
        <f t="shared" si="344"/>
        <v>0</v>
      </c>
      <c r="DS120" s="45">
        <f t="shared" si="345"/>
        <v>0</v>
      </c>
      <c r="DT120" s="45">
        <f t="shared" si="346"/>
        <v>0</v>
      </c>
      <c r="DU120" s="45">
        <f t="shared" si="347"/>
        <v>0</v>
      </c>
      <c r="DV120" s="45">
        <f t="shared" si="348"/>
        <v>0</v>
      </c>
      <c r="DW120" s="45">
        <f t="shared" si="349"/>
        <v>0</v>
      </c>
      <c r="DX120" s="45">
        <f t="shared" si="350"/>
        <v>0</v>
      </c>
      <c r="DY120" s="46">
        <v>1</v>
      </c>
      <c r="DZ120" s="41">
        <v>1</v>
      </c>
      <c r="EA120" s="41">
        <v>1</v>
      </c>
      <c r="EB120" s="41">
        <v>1</v>
      </c>
      <c r="EC120" s="41">
        <v>1</v>
      </c>
      <c r="ED120" s="41">
        <v>1</v>
      </c>
      <c r="EE120" s="41">
        <v>1</v>
      </c>
      <c r="EF120" s="41">
        <v>1</v>
      </c>
      <c r="EG120" s="41">
        <v>1</v>
      </c>
      <c r="EH120" s="51" t="s">
        <v>1494</v>
      </c>
      <c r="EI120" s="580">
        <v>46011</v>
      </c>
      <c r="EJ120" s="59">
        <f t="shared" si="351"/>
        <v>46010</v>
      </c>
      <c r="EK120" s="229"/>
      <c r="EL120" s="230"/>
      <c r="EM120" s="229"/>
      <c r="EN120" s="222"/>
      <c r="EO120" s="222"/>
      <c r="EP120" s="222"/>
      <c r="EQ120" s="231"/>
      <c r="ER120" s="213"/>
      <c r="ES120" s="220"/>
      <c r="ET120" s="220"/>
      <c r="EU120" s="220"/>
      <c r="EV120" s="220"/>
      <c r="EW120" s="220"/>
      <c r="EX120" s="220"/>
      <c r="EY120" s="220"/>
      <c r="EZ120" s="220"/>
      <c r="FA120" s="220"/>
      <c r="FB120" s="222"/>
      <c r="FC120" s="222"/>
      <c r="FD120" s="222"/>
      <c r="FE120" s="220"/>
      <c r="FF120" s="220"/>
      <c r="FG120" s="222"/>
      <c r="FH120" s="220"/>
      <c r="FI120" s="220"/>
      <c r="FJ120" s="220"/>
      <c r="FK120" s="220"/>
      <c r="FL120" s="215"/>
      <c r="FM120" s="172" t="s">
        <v>219</v>
      </c>
      <c r="FN120" s="172" t="s">
        <v>220</v>
      </c>
      <c r="FO120" s="172" t="s">
        <v>221</v>
      </c>
      <c r="FP120" s="172" t="s">
        <v>846</v>
      </c>
      <c r="FQ120" s="172" t="s">
        <v>847</v>
      </c>
      <c r="FR120" s="289" t="s">
        <v>184</v>
      </c>
      <c r="FS120" s="267" t="s">
        <v>840</v>
      </c>
      <c r="FT120" s="267" t="s">
        <v>841</v>
      </c>
      <c r="FU120" s="48">
        <v>7</v>
      </c>
    </row>
    <row r="121" spans="1:177" s="16" customFormat="1" ht="208">
      <c r="A121" s="63" t="s">
        <v>848</v>
      </c>
      <c r="B121" s="48" t="s">
        <v>468</v>
      </c>
      <c r="C121" s="64" t="s">
        <v>206</v>
      </c>
      <c r="D121" s="225" t="s">
        <v>207</v>
      </c>
      <c r="E121" s="48" t="s">
        <v>829</v>
      </c>
      <c r="F121" s="227">
        <f t="shared" si="352"/>
        <v>3</v>
      </c>
      <c r="G121" s="65" t="s">
        <v>830</v>
      </c>
      <c r="H121" s="65" t="s">
        <v>831</v>
      </c>
      <c r="I121" s="65" t="s">
        <v>849</v>
      </c>
      <c r="J121" s="48">
        <v>2025</v>
      </c>
      <c r="K121" s="48">
        <v>2026</v>
      </c>
      <c r="L121" s="48" t="s">
        <v>288</v>
      </c>
      <c r="M121" s="48" t="s">
        <v>173</v>
      </c>
      <c r="N121" s="48" t="s">
        <v>174</v>
      </c>
      <c r="O121" s="63" t="s">
        <v>850</v>
      </c>
      <c r="P121" s="63" t="s">
        <v>458</v>
      </c>
      <c r="Q121" s="214" t="s">
        <v>213</v>
      </c>
      <c r="R121" s="63" t="s">
        <v>834</v>
      </c>
      <c r="S121" s="63" t="str">
        <f t="shared" si="283"/>
        <v>Proses RPP</v>
      </c>
      <c r="T121" s="63" t="str">
        <f t="shared" si="145"/>
        <v>On Progress</v>
      </c>
      <c r="U121" s="63" t="str">
        <f t="shared" si="284"/>
        <v>Rifanda Yulio</v>
      </c>
      <c r="V121" s="67">
        <f t="shared" si="285"/>
        <v>0.18</v>
      </c>
      <c r="W121" s="66" t="s">
        <v>448</v>
      </c>
      <c r="X121" s="59">
        <f t="shared" si="294"/>
        <v>46295</v>
      </c>
      <c r="Y121" s="68">
        <v>0</v>
      </c>
      <c r="Z121" s="48"/>
      <c r="AA121" s="62">
        <v>45839</v>
      </c>
      <c r="AB121" s="42">
        <v>45930</v>
      </c>
      <c r="AC121" s="42">
        <v>45931</v>
      </c>
      <c r="AD121" s="42">
        <v>45960</v>
      </c>
      <c r="AE121" s="42">
        <v>45931</v>
      </c>
      <c r="AF121" s="42">
        <v>45960</v>
      </c>
      <c r="AG121" s="42">
        <v>45962</v>
      </c>
      <c r="AH121" s="42">
        <v>46053</v>
      </c>
      <c r="AI121" s="42">
        <v>46054</v>
      </c>
      <c r="AJ121" s="42">
        <v>46081</v>
      </c>
      <c r="AK121" s="42">
        <v>46082</v>
      </c>
      <c r="AL121" s="42">
        <v>46203</v>
      </c>
      <c r="AM121" s="42">
        <v>46204</v>
      </c>
      <c r="AN121" s="42">
        <v>46234</v>
      </c>
      <c r="AO121" s="42">
        <v>46235</v>
      </c>
      <c r="AP121" s="42">
        <v>46265</v>
      </c>
      <c r="AQ121" s="42">
        <v>46266</v>
      </c>
      <c r="AR121" s="339">
        <v>46295</v>
      </c>
      <c r="AS121" s="63" t="str">
        <f t="shared" si="295"/>
        <v>Selesai Pengadaan</v>
      </c>
      <c r="AT121" s="63" t="str">
        <f t="shared" si="296"/>
        <v>Selesai Desain</v>
      </c>
      <c r="AU121" s="63" t="str">
        <f t="shared" si="297"/>
        <v>Proses Pengembangan</v>
      </c>
      <c r="AV121" s="63" t="str">
        <f t="shared" si="298"/>
        <v>Proses Pengembangan</v>
      </c>
      <c r="AW121" s="63" t="str">
        <f t="shared" si="299"/>
        <v>Proses Pengembangan</v>
      </c>
      <c r="AX121" s="63" t="str">
        <f t="shared" si="300"/>
        <v>Selesai Pengembangan</v>
      </c>
      <c r="AY121" s="63" t="str">
        <f t="shared" si="301"/>
        <v>Proses SIT</v>
      </c>
      <c r="AZ121" s="63" t="str">
        <f t="shared" si="302"/>
        <v>Selesai UAT</v>
      </c>
      <c r="BA121" s="63" t="str">
        <f t="shared" si="303"/>
        <v>Selesai Implementasi</v>
      </c>
      <c r="BB121" s="63" t="str">
        <f t="shared" si="304"/>
        <v>Selesai Implementasi</v>
      </c>
      <c r="BC121" s="63" t="str">
        <f t="shared" si="288"/>
        <v>Selesai Implementasi</v>
      </c>
      <c r="BD121" s="63" t="str">
        <f t="shared" si="305"/>
        <v>Selesai Implementasi</v>
      </c>
      <c r="BE121" s="43">
        <v>0.3</v>
      </c>
      <c r="BF121" s="43">
        <v>0.45</v>
      </c>
      <c r="BG121" s="43">
        <v>0.54</v>
      </c>
      <c r="BH121" s="43">
        <v>0.63</v>
      </c>
      <c r="BI121" s="43">
        <v>0.72</v>
      </c>
      <c r="BJ121" s="43">
        <v>0.8</v>
      </c>
      <c r="BK121" s="43">
        <v>0.87</v>
      </c>
      <c r="BL121" s="43">
        <v>0.95</v>
      </c>
      <c r="BM121" s="43">
        <v>1</v>
      </c>
      <c r="BN121" s="43">
        <v>1</v>
      </c>
      <c r="BO121" s="43">
        <v>1</v>
      </c>
      <c r="BP121" s="43">
        <v>1</v>
      </c>
      <c r="BQ121" s="63" t="str">
        <f t="shared" si="306"/>
        <v>Proses RPP</v>
      </c>
      <c r="BR121" s="63" t="str">
        <f t="shared" si="307"/>
        <v>Not Started</v>
      </c>
      <c r="BS121" s="63" t="str">
        <f t="shared" si="308"/>
        <v>Not Started</v>
      </c>
      <c r="BT121" s="63" t="str">
        <f t="shared" si="309"/>
        <v>Not Started</v>
      </c>
      <c r="BU121" s="63" t="str">
        <f t="shared" si="310"/>
        <v>Not Started</v>
      </c>
      <c r="BV121" s="63" t="str">
        <f t="shared" si="311"/>
        <v>Not Started</v>
      </c>
      <c r="BW121" s="63" t="str">
        <f t="shared" si="312"/>
        <v>Not Started</v>
      </c>
      <c r="BX121" s="63" t="str">
        <f t="shared" si="313"/>
        <v>Not Started</v>
      </c>
      <c r="BY121" s="63" t="str">
        <f t="shared" si="314"/>
        <v>Not Started</v>
      </c>
      <c r="BZ121" s="63" t="str">
        <f t="shared" si="315"/>
        <v>Not Started</v>
      </c>
      <c r="CA121" s="63" t="str">
        <f t="shared" si="316"/>
        <v>Not Started</v>
      </c>
      <c r="CB121" s="63" t="str">
        <f t="shared" si="317"/>
        <v>Not Started</v>
      </c>
      <c r="CC121" s="44">
        <f t="shared" si="289"/>
        <v>0.18</v>
      </c>
      <c r="CD121" s="44"/>
      <c r="CE121" s="44"/>
      <c r="CF121" s="44"/>
      <c r="CG121" s="44"/>
      <c r="CH121" s="44"/>
      <c r="CI121" s="44"/>
      <c r="CJ121" s="44"/>
      <c r="CK121" s="44"/>
      <c r="CL121" s="44"/>
      <c r="CM121" s="44"/>
      <c r="CN121" s="44"/>
      <c r="CO121" s="45">
        <f t="shared" si="318"/>
        <v>0.6</v>
      </c>
      <c r="CP121" s="45">
        <f t="shared" si="319"/>
        <v>0</v>
      </c>
      <c r="CQ121" s="45">
        <f t="shared" si="320"/>
        <v>0</v>
      </c>
      <c r="CR121" s="45">
        <f t="shared" si="321"/>
        <v>0</v>
      </c>
      <c r="CS121" s="45">
        <f t="shared" si="322"/>
        <v>0</v>
      </c>
      <c r="CT121" s="45">
        <f t="shared" si="323"/>
        <v>0</v>
      </c>
      <c r="CU121" s="45">
        <f t="shared" si="324"/>
        <v>0</v>
      </c>
      <c r="CV121" s="45">
        <f t="shared" si="325"/>
        <v>0</v>
      </c>
      <c r="CW121" s="45">
        <f t="shared" si="326"/>
        <v>0</v>
      </c>
      <c r="CX121" s="45">
        <f t="shared" si="327"/>
        <v>0</v>
      </c>
      <c r="CY121" s="45">
        <f t="shared" si="290"/>
        <v>0</v>
      </c>
      <c r="CZ121" s="45"/>
      <c r="DA121" s="45" t="str">
        <f t="shared" si="328"/>
        <v>BS</v>
      </c>
      <c r="DB121" s="45" t="str">
        <f t="shared" si="329"/>
        <v>BS</v>
      </c>
      <c r="DC121" s="45" t="str">
        <f t="shared" si="330"/>
        <v>BS</v>
      </c>
      <c r="DD121" s="45" t="str">
        <f t="shared" si="331"/>
        <v>BS</v>
      </c>
      <c r="DE121" s="45" t="str">
        <f t="shared" si="332"/>
        <v>BS</v>
      </c>
      <c r="DF121" s="45" t="str">
        <f t="shared" si="333"/>
        <v>BS</v>
      </c>
      <c r="DG121" s="45" t="str">
        <f t="shared" si="334"/>
        <v>BS</v>
      </c>
      <c r="DH121" s="45" t="str">
        <f t="shared" si="335"/>
        <v>BS</v>
      </c>
      <c r="DI121" s="45" t="str">
        <f t="shared" si="336"/>
        <v>BS</v>
      </c>
      <c r="DJ121" s="45" t="str">
        <f t="shared" si="337"/>
        <v>BS</v>
      </c>
      <c r="DK121" s="45" t="str">
        <f t="shared" si="286"/>
        <v>BS</v>
      </c>
      <c r="DL121" s="45" t="str">
        <f t="shared" si="338"/>
        <v>BS</v>
      </c>
      <c r="DM121" s="45">
        <f t="shared" si="339"/>
        <v>0.18</v>
      </c>
      <c r="DN121" s="45">
        <f t="shared" si="340"/>
        <v>0</v>
      </c>
      <c r="DO121" s="45">
        <f t="shared" si="341"/>
        <v>0</v>
      </c>
      <c r="DP121" s="45">
        <f t="shared" si="342"/>
        <v>0</v>
      </c>
      <c r="DQ121" s="45">
        <f t="shared" si="343"/>
        <v>0</v>
      </c>
      <c r="DR121" s="45">
        <f t="shared" si="344"/>
        <v>0</v>
      </c>
      <c r="DS121" s="45">
        <f t="shared" si="345"/>
        <v>0</v>
      </c>
      <c r="DT121" s="45">
        <f t="shared" si="346"/>
        <v>0</v>
      </c>
      <c r="DU121" s="45">
        <f t="shared" si="347"/>
        <v>0</v>
      </c>
      <c r="DV121" s="45">
        <f t="shared" si="348"/>
        <v>0</v>
      </c>
      <c r="DW121" s="45">
        <f t="shared" si="349"/>
        <v>0</v>
      </c>
      <c r="DX121" s="45">
        <f t="shared" si="350"/>
        <v>0</v>
      </c>
      <c r="DY121" s="41">
        <v>1</v>
      </c>
      <c r="DZ121" s="41">
        <v>0.3</v>
      </c>
      <c r="EA121" s="41">
        <v>0.3</v>
      </c>
      <c r="EB121" s="41"/>
      <c r="EC121" s="41"/>
      <c r="ED121" s="41"/>
      <c r="EE121" s="41"/>
      <c r="EF121" s="41"/>
      <c r="EG121" s="41"/>
      <c r="EH121" s="47" t="s">
        <v>851</v>
      </c>
      <c r="EI121" s="222"/>
      <c r="EJ121" s="59">
        <f t="shared" si="351"/>
        <v>46295</v>
      </c>
      <c r="EK121" s="229"/>
      <c r="EL121" s="230"/>
      <c r="EM121" s="229"/>
      <c r="EN121" s="222"/>
      <c r="EO121" s="222"/>
      <c r="EP121" s="222"/>
      <c r="EQ121" s="231"/>
      <c r="ER121" s="213"/>
      <c r="ES121" s="220"/>
      <c r="ET121" s="220"/>
      <c r="EU121" s="220"/>
      <c r="EV121" s="220"/>
      <c r="EW121" s="220"/>
      <c r="EX121" s="220"/>
      <c r="EY121" s="220"/>
      <c r="EZ121" s="220"/>
      <c r="FA121" s="220"/>
      <c r="FB121" s="222"/>
      <c r="FC121" s="222"/>
      <c r="FD121" s="222"/>
      <c r="FE121" s="220"/>
      <c r="FF121" s="220"/>
      <c r="FG121" s="222"/>
      <c r="FH121" s="220"/>
      <c r="FI121" s="220"/>
      <c r="FJ121" s="220"/>
      <c r="FK121" s="220"/>
      <c r="FL121" s="215"/>
      <c r="FM121" s="172" t="s">
        <v>219</v>
      </c>
      <c r="FN121" s="172" t="s">
        <v>220</v>
      </c>
      <c r="FO121" s="172" t="s">
        <v>221</v>
      </c>
      <c r="FP121" s="172" t="s">
        <v>846</v>
      </c>
      <c r="FQ121" s="172" t="s">
        <v>301</v>
      </c>
      <c r="FR121" s="289" t="s">
        <v>184</v>
      </c>
      <c r="FS121" s="267" t="s">
        <v>840</v>
      </c>
      <c r="FT121" s="267" t="s">
        <v>841</v>
      </c>
      <c r="FU121" s="48">
        <v>7</v>
      </c>
    </row>
    <row r="122" spans="1:177" s="16" customFormat="1" ht="208">
      <c r="A122" s="63" t="s">
        <v>852</v>
      </c>
      <c r="B122" s="48" t="s">
        <v>468</v>
      </c>
      <c r="C122" s="64" t="s">
        <v>206</v>
      </c>
      <c r="D122" s="225" t="s">
        <v>207</v>
      </c>
      <c r="E122" s="48" t="s">
        <v>829</v>
      </c>
      <c r="F122" s="227">
        <f t="shared" si="352"/>
        <v>4</v>
      </c>
      <c r="G122" s="65" t="s">
        <v>830</v>
      </c>
      <c r="H122" s="65" t="s">
        <v>831</v>
      </c>
      <c r="I122" s="65" t="s">
        <v>853</v>
      </c>
      <c r="J122" s="48">
        <v>2026</v>
      </c>
      <c r="K122" s="48">
        <v>2027</v>
      </c>
      <c r="L122" s="48" t="s">
        <v>288</v>
      </c>
      <c r="M122" s="48" t="s">
        <v>173</v>
      </c>
      <c r="N122" s="48" t="s">
        <v>174</v>
      </c>
      <c r="O122" s="63" t="s">
        <v>854</v>
      </c>
      <c r="P122" s="63" t="s">
        <v>458</v>
      </c>
      <c r="Q122" s="214" t="s">
        <v>213</v>
      </c>
      <c r="R122" s="63" t="s">
        <v>214</v>
      </c>
      <c r="S122" s="63" t="str">
        <f t="shared" si="283"/>
        <v>Not Started</v>
      </c>
      <c r="T122" s="63" t="str">
        <f t="shared" si="145"/>
        <v>Not Started</v>
      </c>
      <c r="U122" s="63" t="str">
        <f t="shared" si="284"/>
        <v>Rifanda Yulio</v>
      </c>
      <c r="V122" s="67">
        <f t="shared" si="285"/>
        <v>0</v>
      </c>
      <c r="W122" s="66" t="s">
        <v>237</v>
      </c>
      <c r="X122" s="59">
        <f t="shared" si="294"/>
        <v>46752</v>
      </c>
      <c r="Y122" s="68">
        <v>0</v>
      </c>
      <c r="Z122" s="48"/>
      <c r="AA122" s="62">
        <v>46235</v>
      </c>
      <c r="AB122" s="515">
        <v>46325</v>
      </c>
      <c r="AC122" s="42">
        <v>46327</v>
      </c>
      <c r="AD122" s="42">
        <v>46356</v>
      </c>
      <c r="AE122" s="42">
        <v>46357</v>
      </c>
      <c r="AF122" s="42">
        <v>46387</v>
      </c>
      <c r="AG122" s="48"/>
      <c r="AH122" s="48"/>
      <c r="AI122" s="42">
        <v>46388</v>
      </c>
      <c r="AJ122" s="42">
        <v>46418</v>
      </c>
      <c r="AK122" s="42">
        <v>46419</v>
      </c>
      <c r="AL122" s="42">
        <v>46629</v>
      </c>
      <c r="AM122" s="42">
        <v>46631</v>
      </c>
      <c r="AN122" s="42">
        <v>46675</v>
      </c>
      <c r="AO122" s="42">
        <v>46676</v>
      </c>
      <c r="AP122" s="42">
        <v>46721</v>
      </c>
      <c r="AQ122" s="42">
        <v>46722</v>
      </c>
      <c r="AR122" s="339">
        <v>46752</v>
      </c>
      <c r="AS122" s="63" t="str">
        <f t="shared" si="295"/>
        <v>Not Started</v>
      </c>
      <c r="AT122" s="63" t="str">
        <f t="shared" si="296"/>
        <v>Not Started</v>
      </c>
      <c r="AU122" s="63" t="str">
        <f t="shared" si="297"/>
        <v>Not Started</v>
      </c>
      <c r="AV122" s="63" t="str">
        <f t="shared" si="298"/>
        <v>Not Started</v>
      </c>
      <c r="AW122" s="63" t="str">
        <f t="shared" si="299"/>
        <v>Not Started</v>
      </c>
      <c r="AX122" s="63" t="str">
        <f t="shared" si="300"/>
        <v>Not Started</v>
      </c>
      <c r="AY122" s="63" t="str">
        <f t="shared" si="301"/>
        <v>Not Started</v>
      </c>
      <c r="AZ122" s="63" t="str">
        <f t="shared" si="302"/>
        <v>Selesai RBT-RBB</v>
      </c>
      <c r="BA122" s="63" t="str">
        <f t="shared" si="303"/>
        <v>Selesai RBT-RBL</v>
      </c>
      <c r="BB122" s="63" t="str">
        <f t="shared" si="304"/>
        <v>Selesai RBT-RBTD</v>
      </c>
      <c r="BC122" s="63" t="str">
        <f t="shared" si="288"/>
        <v>Selesai RPP</v>
      </c>
      <c r="BD122" s="63" t="str">
        <f t="shared" si="305"/>
        <v>Selesai Pengadaan</v>
      </c>
      <c r="BE122" s="43">
        <v>0</v>
      </c>
      <c r="BF122" s="43">
        <v>0</v>
      </c>
      <c r="BG122" s="43">
        <v>0</v>
      </c>
      <c r="BH122" s="43">
        <v>0</v>
      </c>
      <c r="BI122" s="43">
        <v>0</v>
      </c>
      <c r="BJ122" s="43">
        <v>0</v>
      </c>
      <c r="BK122" s="43">
        <v>0</v>
      </c>
      <c r="BL122" s="43">
        <v>0.05</v>
      </c>
      <c r="BM122" s="43">
        <v>0.1</v>
      </c>
      <c r="BN122" s="43">
        <v>0.15</v>
      </c>
      <c r="BO122" s="43">
        <v>0.2</v>
      </c>
      <c r="BP122" s="43">
        <v>0.3</v>
      </c>
      <c r="BQ122" s="63" t="str">
        <f t="shared" si="306"/>
        <v>Not Started</v>
      </c>
      <c r="BR122" s="63" t="str">
        <f t="shared" si="307"/>
        <v>Not Started</v>
      </c>
      <c r="BS122" s="63" t="str">
        <f t="shared" si="308"/>
        <v>Not Started</v>
      </c>
      <c r="BT122" s="63" t="str">
        <f t="shared" si="309"/>
        <v>Not Started</v>
      </c>
      <c r="BU122" s="63" t="str">
        <f t="shared" si="310"/>
        <v>Not Started</v>
      </c>
      <c r="BV122" s="63" t="str">
        <f t="shared" si="311"/>
        <v>Not Started</v>
      </c>
      <c r="BW122" s="63" t="str">
        <f t="shared" si="312"/>
        <v>Not Started</v>
      </c>
      <c r="BX122" s="63" t="str">
        <f t="shared" si="313"/>
        <v>Not Started</v>
      </c>
      <c r="BY122" s="63" t="str">
        <f t="shared" si="314"/>
        <v>Not Started</v>
      </c>
      <c r="BZ122" s="63" t="str">
        <f t="shared" si="315"/>
        <v>Not Started</v>
      </c>
      <c r="CA122" s="63" t="str">
        <f t="shared" si="316"/>
        <v>Not Started</v>
      </c>
      <c r="CB122" s="63" t="str">
        <f t="shared" si="317"/>
        <v>Not Started</v>
      </c>
      <c r="CC122" s="44">
        <f t="shared" si="289"/>
        <v>0</v>
      </c>
      <c r="CD122" s="44"/>
      <c r="CE122" s="44"/>
      <c r="CF122" s="44"/>
      <c r="CG122" s="44"/>
      <c r="CH122" s="44"/>
      <c r="CI122" s="44"/>
      <c r="CJ122" s="44"/>
      <c r="CK122" s="44"/>
      <c r="CL122" s="44"/>
      <c r="CM122" s="44"/>
      <c r="CN122" s="44"/>
      <c r="CO122" s="45">
        <f t="shared" si="318"/>
        <v>1</v>
      </c>
      <c r="CP122" s="45">
        <f t="shared" si="319"/>
        <v>1</v>
      </c>
      <c r="CQ122" s="45">
        <f t="shared" si="320"/>
        <v>1</v>
      </c>
      <c r="CR122" s="45">
        <f t="shared" si="321"/>
        <v>1</v>
      </c>
      <c r="CS122" s="45">
        <f t="shared" si="322"/>
        <v>1</v>
      </c>
      <c r="CT122" s="45">
        <f t="shared" si="323"/>
        <v>1</v>
      </c>
      <c r="CU122" s="45">
        <f t="shared" si="324"/>
        <v>1</v>
      </c>
      <c r="CV122" s="45">
        <f t="shared" si="325"/>
        <v>0</v>
      </c>
      <c r="CW122" s="45">
        <f t="shared" si="326"/>
        <v>0</v>
      </c>
      <c r="CX122" s="45">
        <f t="shared" si="327"/>
        <v>0</v>
      </c>
      <c r="CY122" s="45">
        <f t="shared" si="290"/>
        <v>0</v>
      </c>
      <c r="CZ122" s="45"/>
      <c r="DA122" s="45" t="str">
        <f t="shared" si="328"/>
        <v>NS</v>
      </c>
      <c r="DB122" s="45" t="str">
        <f t="shared" si="329"/>
        <v>NS</v>
      </c>
      <c r="DC122" s="45" t="str">
        <f t="shared" si="330"/>
        <v>NS</v>
      </c>
      <c r="DD122" s="45" t="str">
        <f t="shared" si="331"/>
        <v>NS</v>
      </c>
      <c r="DE122" s="45" t="str">
        <f t="shared" si="332"/>
        <v>NS</v>
      </c>
      <c r="DF122" s="45" t="str">
        <f t="shared" si="333"/>
        <v>NS</v>
      </c>
      <c r="DG122" s="45" t="str">
        <f t="shared" si="334"/>
        <v>NS</v>
      </c>
      <c r="DH122" s="45" t="str">
        <f t="shared" si="335"/>
        <v>BS</v>
      </c>
      <c r="DI122" s="45" t="str">
        <f t="shared" si="336"/>
        <v>BS</v>
      </c>
      <c r="DJ122" s="45" t="str">
        <f t="shared" si="337"/>
        <v>BS</v>
      </c>
      <c r="DK122" s="45" t="str">
        <f t="shared" si="286"/>
        <v>BS</v>
      </c>
      <c r="DL122" s="45" t="str">
        <f t="shared" si="338"/>
        <v>BS</v>
      </c>
      <c r="DM122" s="45">
        <f t="shared" si="339"/>
        <v>0</v>
      </c>
      <c r="DN122" s="45">
        <f t="shared" si="340"/>
        <v>0</v>
      </c>
      <c r="DO122" s="45">
        <f t="shared" si="341"/>
        <v>0</v>
      </c>
      <c r="DP122" s="45">
        <f t="shared" si="342"/>
        <v>0</v>
      </c>
      <c r="DQ122" s="45">
        <f t="shared" si="343"/>
        <v>0</v>
      </c>
      <c r="DR122" s="45">
        <f t="shared" si="344"/>
        <v>0</v>
      </c>
      <c r="DS122" s="45">
        <f t="shared" si="345"/>
        <v>0</v>
      </c>
      <c r="DT122" s="45">
        <f t="shared" si="346"/>
        <v>0</v>
      </c>
      <c r="DU122" s="45">
        <f t="shared" si="347"/>
        <v>0</v>
      </c>
      <c r="DV122" s="45">
        <f t="shared" si="348"/>
        <v>0</v>
      </c>
      <c r="DW122" s="45">
        <f t="shared" si="349"/>
        <v>0</v>
      </c>
      <c r="DX122" s="45">
        <f t="shared" si="350"/>
        <v>0</v>
      </c>
      <c r="DY122" s="41"/>
      <c r="DZ122" s="41"/>
      <c r="EA122" s="41"/>
      <c r="EB122" s="41"/>
      <c r="EC122" s="41"/>
      <c r="ED122" s="41"/>
      <c r="EE122" s="41"/>
      <c r="EF122" s="41"/>
      <c r="EG122" s="41"/>
      <c r="EH122" s="51"/>
      <c r="EI122" s="222"/>
      <c r="EJ122" s="59">
        <f t="shared" si="351"/>
        <v>46752</v>
      </c>
      <c r="EK122" s="229"/>
      <c r="EL122" s="230"/>
      <c r="EM122" s="229"/>
      <c r="EN122" s="222"/>
      <c r="EO122" s="222"/>
      <c r="EP122" s="222"/>
      <c r="EQ122" s="231"/>
      <c r="ER122" s="213"/>
      <c r="ES122" s="220"/>
      <c r="ET122" s="220"/>
      <c r="EU122" s="220"/>
      <c r="EV122" s="220"/>
      <c r="EW122" s="220"/>
      <c r="EX122" s="220"/>
      <c r="EY122" s="220"/>
      <c r="EZ122" s="220"/>
      <c r="FA122" s="220"/>
      <c r="FB122" s="222"/>
      <c r="FC122" s="222"/>
      <c r="FD122" s="222"/>
      <c r="FE122" s="220"/>
      <c r="FF122" s="220"/>
      <c r="FG122" s="222"/>
      <c r="FH122" s="220"/>
      <c r="FI122" s="220"/>
      <c r="FJ122" s="220"/>
      <c r="FK122" s="220"/>
      <c r="FL122" s="215"/>
      <c r="FM122" s="172" t="s">
        <v>219</v>
      </c>
      <c r="FN122" s="172" t="s">
        <v>220</v>
      </c>
      <c r="FO122" s="172" t="s">
        <v>221</v>
      </c>
      <c r="FP122" s="172" t="s">
        <v>846</v>
      </c>
      <c r="FQ122" s="172" t="s">
        <v>399</v>
      </c>
      <c r="FR122" s="289" t="s">
        <v>184</v>
      </c>
      <c r="FS122" s="267"/>
      <c r="FT122" s="267" t="s">
        <v>841</v>
      </c>
      <c r="FU122" s="48">
        <v>7</v>
      </c>
    </row>
    <row r="123" spans="1:177" s="16" customFormat="1" ht="144">
      <c r="A123" s="63"/>
      <c r="B123" s="48" t="s">
        <v>468</v>
      </c>
      <c r="C123" s="64" t="s">
        <v>206</v>
      </c>
      <c r="D123" s="225" t="s">
        <v>207</v>
      </c>
      <c r="E123" s="48" t="s">
        <v>829</v>
      </c>
      <c r="F123" s="227">
        <f t="shared" si="352"/>
        <v>5</v>
      </c>
      <c r="G123" s="65" t="s">
        <v>830</v>
      </c>
      <c r="H123" s="65" t="s">
        <v>831</v>
      </c>
      <c r="I123" s="222" t="s">
        <v>855</v>
      </c>
      <c r="J123" s="48">
        <v>2024</v>
      </c>
      <c r="K123" s="48">
        <v>2025</v>
      </c>
      <c r="L123" s="48" t="s">
        <v>288</v>
      </c>
      <c r="M123" s="48" t="s">
        <v>173</v>
      </c>
      <c r="N123" s="48" t="s">
        <v>174</v>
      </c>
      <c r="O123" s="48" t="s">
        <v>833</v>
      </c>
      <c r="P123" s="63" t="s">
        <v>458</v>
      </c>
      <c r="Q123" s="214" t="s">
        <v>213</v>
      </c>
      <c r="R123" s="63" t="s">
        <v>834</v>
      </c>
      <c r="S123" s="63" t="str">
        <f t="shared" si="283"/>
        <v>Selesai Implementasi</v>
      </c>
      <c r="T123" s="63" t="str">
        <f t="shared" si="145"/>
        <v>DONE</v>
      </c>
      <c r="U123" s="63" t="str">
        <f t="shared" si="284"/>
        <v>Rifanda Yulio</v>
      </c>
      <c r="V123" s="67">
        <f t="shared" si="285"/>
        <v>0.99999999999999989</v>
      </c>
      <c r="W123" s="66" t="s">
        <v>532</v>
      </c>
      <c r="X123" s="59">
        <f t="shared" si="294"/>
        <v>45798</v>
      </c>
      <c r="Y123" s="68">
        <v>0</v>
      </c>
      <c r="Z123" s="48"/>
      <c r="AA123" s="279"/>
      <c r="AB123" s="263"/>
      <c r="AC123" s="263"/>
      <c r="AD123" s="263"/>
      <c r="AE123" s="48"/>
      <c r="AF123" s="48"/>
      <c r="AG123" s="48"/>
      <c r="AH123" s="48"/>
      <c r="AI123" s="217">
        <v>45640</v>
      </c>
      <c r="AJ123" s="217">
        <v>45657</v>
      </c>
      <c r="AK123" s="218">
        <v>45658</v>
      </c>
      <c r="AL123" s="218">
        <v>45744</v>
      </c>
      <c r="AM123" s="218">
        <v>45703</v>
      </c>
      <c r="AN123" s="218">
        <v>45765</v>
      </c>
      <c r="AO123" s="218">
        <v>45717</v>
      </c>
      <c r="AP123" s="218">
        <v>45777</v>
      </c>
      <c r="AQ123" s="218">
        <v>45778</v>
      </c>
      <c r="AR123" s="218">
        <v>45798</v>
      </c>
      <c r="AS123" s="63" t="str">
        <f t="shared" si="295"/>
        <v>Selesai Implementasi</v>
      </c>
      <c r="AT123" s="63" t="str">
        <f t="shared" si="296"/>
        <v>Selesai Implementasi</v>
      </c>
      <c r="AU123" s="63" t="str">
        <f t="shared" si="297"/>
        <v>Selesai Implementasi</v>
      </c>
      <c r="AV123" s="63" t="str">
        <f t="shared" si="298"/>
        <v>Selesai Implementasi</v>
      </c>
      <c r="AW123" s="63" t="str">
        <f t="shared" si="299"/>
        <v>Selesai Implementasi</v>
      </c>
      <c r="AX123" s="63" t="str">
        <f t="shared" si="300"/>
        <v>Selesai Implementasi</v>
      </c>
      <c r="AY123" s="63" t="str">
        <f t="shared" si="301"/>
        <v>Selesai Implementasi</v>
      </c>
      <c r="AZ123" s="63" t="str">
        <f t="shared" si="302"/>
        <v>Selesai Implementasi</v>
      </c>
      <c r="BA123" s="63" t="str">
        <f t="shared" si="303"/>
        <v>Selesai Implementasi</v>
      </c>
      <c r="BB123" s="63" t="str">
        <f t="shared" si="304"/>
        <v>Selesai Implementasi</v>
      </c>
      <c r="BC123" s="63" t="str">
        <f t="shared" si="288"/>
        <v>Selesai Implementasi</v>
      </c>
      <c r="BD123" s="63" t="str">
        <f t="shared" si="305"/>
        <v>Selesai Implementasi</v>
      </c>
      <c r="BE123" s="351">
        <v>1</v>
      </c>
      <c r="BF123" s="351">
        <v>1</v>
      </c>
      <c r="BG123" s="351">
        <v>1</v>
      </c>
      <c r="BH123" s="351">
        <v>1</v>
      </c>
      <c r="BI123" s="351">
        <v>1</v>
      </c>
      <c r="BJ123" s="351">
        <v>1</v>
      </c>
      <c r="BK123" s="351">
        <v>1</v>
      </c>
      <c r="BL123" s="351">
        <v>1</v>
      </c>
      <c r="BM123" s="351">
        <v>1</v>
      </c>
      <c r="BN123" s="351">
        <v>1</v>
      </c>
      <c r="BO123" s="351">
        <v>1</v>
      </c>
      <c r="BP123" s="351">
        <v>1</v>
      </c>
      <c r="BQ123" s="63" t="str">
        <f t="shared" si="306"/>
        <v>Selesai Implementasi</v>
      </c>
      <c r="BR123" s="63" t="str">
        <f t="shared" si="307"/>
        <v>Not Started</v>
      </c>
      <c r="BS123" s="63" t="str">
        <f t="shared" si="308"/>
        <v>Not Started</v>
      </c>
      <c r="BT123" s="63" t="str">
        <f t="shared" si="309"/>
        <v>Not Started</v>
      </c>
      <c r="BU123" s="63" t="str">
        <f t="shared" si="310"/>
        <v>Not Started</v>
      </c>
      <c r="BV123" s="63" t="str">
        <f t="shared" si="311"/>
        <v>Not Started</v>
      </c>
      <c r="BW123" s="63" t="str">
        <f t="shared" si="312"/>
        <v>Not Started</v>
      </c>
      <c r="BX123" s="63" t="str">
        <f t="shared" si="313"/>
        <v>Not Started</v>
      </c>
      <c r="BY123" s="63" t="str">
        <f t="shared" si="314"/>
        <v>Not Started</v>
      </c>
      <c r="BZ123" s="63" t="str">
        <f t="shared" si="315"/>
        <v>Not Started</v>
      </c>
      <c r="CA123" s="63" t="str">
        <f t="shared" si="316"/>
        <v>Not Started</v>
      </c>
      <c r="CB123" s="63" t="str">
        <f t="shared" si="317"/>
        <v>Not Started</v>
      </c>
      <c r="CC123" s="44">
        <f t="shared" si="289"/>
        <v>0.99999999999999989</v>
      </c>
      <c r="CD123" s="44"/>
      <c r="CE123" s="44"/>
      <c r="CF123" s="44"/>
      <c r="CG123" s="44"/>
      <c r="CH123" s="44"/>
      <c r="CI123" s="44"/>
      <c r="CJ123" s="44"/>
      <c r="CK123" s="44"/>
      <c r="CL123" s="44"/>
      <c r="CM123" s="44"/>
      <c r="CN123" s="44"/>
      <c r="CO123" s="45">
        <f t="shared" si="318"/>
        <v>0.99999999999999989</v>
      </c>
      <c r="CP123" s="45">
        <f t="shared" si="319"/>
        <v>0</v>
      </c>
      <c r="CQ123" s="45">
        <f t="shared" si="320"/>
        <v>0</v>
      </c>
      <c r="CR123" s="45">
        <f t="shared" si="321"/>
        <v>0</v>
      </c>
      <c r="CS123" s="45">
        <f t="shared" si="322"/>
        <v>0</v>
      </c>
      <c r="CT123" s="45">
        <f t="shared" si="323"/>
        <v>0</v>
      </c>
      <c r="CU123" s="45">
        <f t="shared" si="324"/>
        <v>0</v>
      </c>
      <c r="CV123" s="45">
        <f t="shared" si="325"/>
        <v>0</v>
      </c>
      <c r="CW123" s="45">
        <f t="shared" si="326"/>
        <v>0</v>
      </c>
      <c r="CX123" s="45">
        <f t="shared" si="327"/>
        <v>0</v>
      </c>
      <c r="CY123" s="45">
        <f t="shared" si="290"/>
        <v>0</v>
      </c>
      <c r="CZ123" s="45"/>
      <c r="DA123" s="45" t="str">
        <f t="shared" si="328"/>
        <v>DONE</v>
      </c>
      <c r="DB123" s="45" t="str">
        <f t="shared" si="329"/>
        <v>BS</v>
      </c>
      <c r="DC123" s="45" t="str">
        <f t="shared" si="330"/>
        <v>BS</v>
      </c>
      <c r="DD123" s="45" t="str">
        <f t="shared" si="331"/>
        <v>BS</v>
      </c>
      <c r="DE123" s="45" t="str">
        <f t="shared" si="332"/>
        <v>BS</v>
      </c>
      <c r="DF123" s="45" t="str">
        <f t="shared" si="333"/>
        <v>BS</v>
      </c>
      <c r="DG123" s="45" t="str">
        <f t="shared" si="334"/>
        <v>BS</v>
      </c>
      <c r="DH123" s="45" t="str">
        <f t="shared" si="335"/>
        <v>BS</v>
      </c>
      <c r="DI123" s="45" t="str">
        <f t="shared" si="336"/>
        <v>BS</v>
      </c>
      <c r="DJ123" s="45" t="str">
        <f t="shared" si="337"/>
        <v>BS</v>
      </c>
      <c r="DK123" s="45" t="str">
        <f t="shared" si="286"/>
        <v>BS</v>
      </c>
      <c r="DL123" s="45" t="str">
        <f t="shared" si="338"/>
        <v>BS</v>
      </c>
      <c r="DM123" s="45">
        <f t="shared" si="339"/>
        <v>0.99999999999999989</v>
      </c>
      <c r="DN123" s="45">
        <f t="shared" si="340"/>
        <v>0</v>
      </c>
      <c r="DO123" s="45">
        <f t="shared" si="341"/>
        <v>0</v>
      </c>
      <c r="DP123" s="45">
        <f t="shared" si="342"/>
        <v>0</v>
      </c>
      <c r="DQ123" s="45">
        <f t="shared" si="343"/>
        <v>0</v>
      </c>
      <c r="DR123" s="45">
        <f t="shared" si="344"/>
        <v>0</v>
      </c>
      <c r="DS123" s="45">
        <f t="shared" si="345"/>
        <v>0</v>
      </c>
      <c r="DT123" s="45">
        <f t="shared" si="346"/>
        <v>0</v>
      </c>
      <c r="DU123" s="45">
        <f t="shared" si="347"/>
        <v>0</v>
      </c>
      <c r="DV123" s="45">
        <f t="shared" si="348"/>
        <v>0</v>
      </c>
      <c r="DW123" s="45">
        <f t="shared" si="349"/>
        <v>0</v>
      </c>
      <c r="DX123" s="45">
        <f t="shared" si="350"/>
        <v>0</v>
      </c>
      <c r="DY123" s="41">
        <v>1</v>
      </c>
      <c r="DZ123" s="41">
        <v>1</v>
      </c>
      <c r="EA123" s="41">
        <v>1</v>
      </c>
      <c r="EB123" s="41">
        <v>1</v>
      </c>
      <c r="EC123" s="41">
        <v>1</v>
      </c>
      <c r="ED123" s="41">
        <v>1</v>
      </c>
      <c r="EE123" s="41">
        <v>1</v>
      </c>
      <c r="EF123" s="41">
        <v>1</v>
      </c>
      <c r="EG123" s="41">
        <v>1</v>
      </c>
      <c r="EH123" s="51" t="s">
        <v>856</v>
      </c>
      <c r="EI123" s="230">
        <v>45829</v>
      </c>
      <c r="EJ123" s="59">
        <f t="shared" si="351"/>
        <v>45798</v>
      </c>
      <c r="EK123" s="229"/>
      <c r="EL123" s="230"/>
      <c r="EM123" s="230"/>
      <c r="EN123" s="222"/>
      <c r="EO123" s="222"/>
      <c r="EP123" s="220"/>
      <c r="EQ123" s="222"/>
      <c r="ER123" s="223"/>
      <c r="ES123" s="220"/>
      <c r="ET123" s="222"/>
      <c r="EU123" s="222"/>
      <c r="EV123" s="220"/>
      <c r="EW123" s="220"/>
      <c r="EX123" s="220"/>
      <c r="EY123" s="220"/>
      <c r="EZ123" s="220"/>
      <c r="FA123" s="222"/>
      <c r="FB123" s="220"/>
      <c r="FC123" s="222"/>
      <c r="FD123" s="220"/>
      <c r="FE123" s="220"/>
      <c r="FF123" s="222"/>
      <c r="FG123" s="222"/>
      <c r="FH123" s="220"/>
      <c r="FI123" s="220"/>
      <c r="FJ123" s="220"/>
      <c r="FK123" s="220"/>
      <c r="FL123" s="215"/>
      <c r="FM123" s="172"/>
      <c r="FN123" s="340" t="s">
        <v>220</v>
      </c>
      <c r="FO123" s="172"/>
      <c r="FP123" s="172" t="s">
        <v>222</v>
      </c>
      <c r="FQ123" s="172" t="s">
        <v>857</v>
      </c>
      <c r="FR123" s="289" t="s">
        <v>184</v>
      </c>
      <c r="FS123" s="267" t="s">
        <v>840</v>
      </c>
      <c r="FT123" s="267" t="s">
        <v>841</v>
      </c>
      <c r="FU123" s="48"/>
    </row>
    <row r="124" spans="1:177" s="16" customFormat="1" ht="144">
      <c r="A124" s="63"/>
      <c r="B124" s="48" t="s">
        <v>468</v>
      </c>
      <c r="C124" s="64" t="s">
        <v>206</v>
      </c>
      <c r="D124" s="225" t="s">
        <v>207</v>
      </c>
      <c r="E124" s="48" t="s">
        <v>829</v>
      </c>
      <c r="F124" s="227">
        <f t="shared" si="352"/>
        <v>6</v>
      </c>
      <c r="G124" s="65" t="s">
        <v>830</v>
      </c>
      <c r="H124" s="65" t="s">
        <v>831</v>
      </c>
      <c r="I124" s="222" t="s">
        <v>858</v>
      </c>
      <c r="J124" s="63">
        <v>2024</v>
      </c>
      <c r="K124" s="48">
        <v>2026</v>
      </c>
      <c r="L124" s="48" t="s">
        <v>288</v>
      </c>
      <c r="M124" s="48" t="s">
        <v>173</v>
      </c>
      <c r="N124" s="48" t="s">
        <v>174</v>
      </c>
      <c r="O124" s="283" t="s">
        <v>493</v>
      </c>
      <c r="P124" s="63" t="s">
        <v>458</v>
      </c>
      <c r="Q124" s="214" t="s">
        <v>213</v>
      </c>
      <c r="R124" s="66" t="s">
        <v>214</v>
      </c>
      <c r="S124" s="63" t="str">
        <f t="shared" si="283"/>
        <v>Proses SIT</v>
      </c>
      <c r="T124" s="63" t="str">
        <f t="shared" si="145"/>
        <v>On Progress</v>
      </c>
      <c r="U124" s="63" t="str">
        <f t="shared" si="284"/>
        <v>Rifanda Yulio</v>
      </c>
      <c r="V124" s="67">
        <f t="shared" si="285"/>
        <v>0.86999999999999988</v>
      </c>
      <c r="W124" s="66" t="s">
        <v>532</v>
      </c>
      <c r="X124" s="59">
        <f t="shared" si="294"/>
        <v>45991</v>
      </c>
      <c r="Y124" s="68">
        <v>0</v>
      </c>
      <c r="Z124" s="48"/>
      <c r="AA124" s="279"/>
      <c r="AB124" s="263"/>
      <c r="AC124" s="263"/>
      <c r="AD124" s="378"/>
      <c r="AE124" s="48"/>
      <c r="AF124" s="48"/>
      <c r="AG124" s="48"/>
      <c r="AH124" s="48"/>
      <c r="AI124" s="218">
        <v>45809</v>
      </c>
      <c r="AJ124" s="218">
        <v>45822</v>
      </c>
      <c r="AK124" s="218">
        <v>45823</v>
      </c>
      <c r="AL124" s="218">
        <v>45869</v>
      </c>
      <c r="AM124" s="218">
        <v>45870</v>
      </c>
      <c r="AN124" s="218">
        <v>45887</v>
      </c>
      <c r="AO124" s="218">
        <v>45888</v>
      </c>
      <c r="AP124" s="218">
        <v>45918</v>
      </c>
      <c r="AQ124" s="218">
        <v>45922</v>
      </c>
      <c r="AR124" s="218">
        <v>45991</v>
      </c>
      <c r="AS124" s="63" t="str">
        <f t="shared" si="295"/>
        <v>Selesai Implementasi</v>
      </c>
      <c r="AT124" s="63" t="str">
        <f t="shared" si="296"/>
        <v>Selesai Implementasi</v>
      </c>
      <c r="AU124" s="63" t="str">
        <f t="shared" si="297"/>
        <v>Selesai Implementasi</v>
      </c>
      <c r="AV124" s="63" t="str">
        <f t="shared" si="298"/>
        <v>Selesai Implementasi</v>
      </c>
      <c r="AW124" s="63" t="str">
        <f t="shared" si="299"/>
        <v>Selesai Implementasi</v>
      </c>
      <c r="AX124" s="63" t="str">
        <f t="shared" si="300"/>
        <v>Selesai Implementasi</v>
      </c>
      <c r="AY124" s="63" t="str">
        <f t="shared" si="301"/>
        <v>Selesai Implementasi</v>
      </c>
      <c r="AZ124" s="63" t="str">
        <f t="shared" si="302"/>
        <v>Selesai Implementasi</v>
      </c>
      <c r="BA124" s="63" t="str">
        <f t="shared" si="303"/>
        <v>Selesai Implementasi</v>
      </c>
      <c r="BB124" s="63" t="str">
        <f t="shared" si="304"/>
        <v>Selesai Implementasi</v>
      </c>
      <c r="BC124" s="63" t="str">
        <f t="shared" si="288"/>
        <v>Selesai Implementasi</v>
      </c>
      <c r="BD124" s="63" t="str">
        <f t="shared" si="305"/>
        <v>Selesai Implementasi</v>
      </c>
      <c r="BE124" s="43">
        <v>1</v>
      </c>
      <c r="BF124" s="43">
        <v>1</v>
      </c>
      <c r="BG124" s="43">
        <v>1</v>
      </c>
      <c r="BH124" s="43">
        <v>1</v>
      </c>
      <c r="BI124" s="43">
        <v>1</v>
      </c>
      <c r="BJ124" s="43">
        <v>1</v>
      </c>
      <c r="BK124" s="43">
        <v>1</v>
      </c>
      <c r="BL124" s="43">
        <v>1</v>
      </c>
      <c r="BM124" s="43">
        <v>1</v>
      </c>
      <c r="BN124" s="43">
        <v>1</v>
      </c>
      <c r="BO124" s="43">
        <v>1</v>
      </c>
      <c r="BP124" s="43">
        <v>1</v>
      </c>
      <c r="BQ124" s="63" t="str">
        <f t="shared" si="306"/>
        <v>Proses SIT</v>
      </c>
      <c r="BR124" s="63" t="str">
        <f t="shared" si="307"/>
        <v>Not Started</v>
      </c>
      <c r="BS124" s="63" t="str">
        <f t="shared" si="308"/>
        <v>Not Started</v>
      </c>
      <c r="BT124" s="63" t="str">
        <f t="shared" si="309"/>
        <v>Not Started</v>
      </c>
      <c r="BU124" s="63" t="str">
        <f t="shared" si="310"/>
        <v>Not Started</v>
      </c>
      <c r="BV124" s="63" t="str">
        <f t="shared" si="311"/>
        <v>Not Started</v>
      </c>
      <c r="BW124" s="63" t="str">
        <f t="shared" si="312"/>
        <v>Not Started</v>
      </c>
      <c r="BX124" s="63" t="str">
        <f t="shared" si="313"/>
        <v>Not Started</v>
      </c>
      <c r="BY124" s="63" t="str">
        <f t="shared" si="314"/>
        <v>Not Started</v>
      </c>
      <c r="BZ124" s="63" t="str">
        <f t="shared" si="315"/>
        <v>Not Started</v>
      </c>
      <c r="CA124" s="63" t="str">
        <f t="shared" si="316"/>
        <v>Not Started</v>
      </c>
      <c r="CB124" s="63" t="str">
        <f t="shared" si="317"/>
        <v>Not Started</v>
      </c>
      <c r="CC124" s="44">
        <f t="shared" si="289"/>
        <v>0.86999999999999988</v>
      </c>
      <c r="CD124" s="44"/>
      <c r="CE124" s="44"/>
      <c r="CF124" s="44"/>
      <c r="CG124" s="44"/>
      <c r="CH124" s="44"/>
      <c r="CI124" s="44"/>
      <c r="CJ124" s="44"/>
      <c r="CK124" s="44"/>
      <c r="CL124" s="44"/>
      <c r="CM124" s="44"/>
      <c r="CN124" s="44"/>
      <c r="CO124" s="45">
        <f t="shared" si="318"/>
        <v>0.86999999999999988</v>
      </c>
      <c r="CP124" s="45">
        <f t="shared" si="319"/>
        <v>0</v>
      </c>
      <c r="CQ124" s="45">
        <f t="shared" si="320"/>
        <v>0</v>
      </c>
      <c r="CR124" s="45">
        <f t="shared" si="321"/>
        <v>0</v>
      </c>
      <c r="CS124" s="45">
        <f t="shared" si="322"/>
        <v>0</v>
      </c>
      <c r="CT124" s="45">
        <f t="shared" si="323"/>
        <v>0</v>
      </c>
      <c r="CU124" s="45">
        <f t="shared" si="324"/>
        <v>0</v>
      </c>
      <c r="CV124" s="45">
        <f t="shared" si="325"/>
        <v>0</v>
      </c>
      <c r="CW124" s="45">
        <f t="shared" si="326"/>
        <v>0</v>
      </c>
      <c r="CX124" s="45">
        <f t="shared" si="327"/>
        <v>0</v>
      </c>
      <c r="CY124" s="45">
        <f t="shared" si="290"/>
        <v>0</v>
      </c>
      <c r="CZ124" s="45">
        <f>IF(BP124=0%, 100%, (CN124/BP124))</f>
        <v>0</v>
      </c>
      <c r="DA124" s="45" t="str">
        <f t="shared" si="328"/>
        <v>AR</v>
      </c>
      <c r="DB124" s="45" t="str">
        <f t="shared" si="329"/>
        <v>BS</v>
      </c>
      <c r="DC124" s="45" t="str">
        <f t="shared" si="330"/>
        <v>BS</v>
      </c>
      <c r="DD124" s="45" t="str">
        <f t="shared" si="331"/>
        <v>BS</v>
      </c>
      <c r="DE124" s="45" t="str">
        <f t="shared" si="332"/>
        <v>BS</v>
      </c>
      <c r="DF124" s="45" t="str">
        <f t="shared" si="333"/>
        <v>BS</v>
      </c>
      <c r="DG124" s="45" t="str">
        <f t="shared" si="334"/>
        <v>BS</v>
      </c>
      <c r="DH124" s="45" t="str">
        <f t="shared" si="335"/>
        <v>BS</v>
      </c>
      <c r="DI124" s="45" t="str">
        <f t="shared" si="336"/>
        <v>BS</v>
      </c>
      <c r="DJ124" s="45" t="str">
        <f t="shared" si="337"/>
        <v>BS</v>
      </c>
      <c r="DK124" s="45" t="str">
        <f t="shared" si="286"/>
        <v>BS</v>
      </c>
      <c r="DL124" s="45" t="str">
        <f t="shared" si="338"/>
        <v>BS</v>
      </c>
      <c r="DM124" s="45">
        <f t="shared" si="339"/>
        <v>0.86999999999999988</v>
      </c>
      <c r="DN124" s="45">
        <f t="shared" si="340"/>
        <v>0</v>
      </c>
      <c r="DO124" s="45">
        <f t="shared" si="341"/>
        <v>0</v>
      </c>
      <c r="DP124" s="45">
        <f t="shared" si="342"/>
        <v>0</v>
      </c>
      <c r="DQ124" s="45">
        <f t="shared" si="343"/>
        <v>0</v>
      </c>
      <c r="DR124" s="45">
        <f t="shared" si="344"/>
        <v>0</v>
      </c>
      <c r="DS124" s="45">
        <f t="shared" si="345"/>
        <v>0</v>
      </c>
      <c r="DT124" s="45">
        <f t="shared" si="346"/>
        <v>0</v>
      </c>
      <c r="DU124" s="45">
        <f t="shared" si="347"/>
        <v>0</v>
      </c>
      <c r="DV124" s="45">
        <f t="shared" si="348"/>
        <v>0</v>
      </c>
      <c r="DW124" s="45">
        <f t="shared" si="349"/>
        <v>0</v>
      </c>
      <c r="DX124" s="45">
        <f t="shared" si="350"/>
        <v>0</v>
      </c>
      <c r="DY124" s="41">
        <v>1</v>
      </c>
      <c r="DZ124" s="41">
        <v>0.9</v>
      </c>
      <c r="EA124" s="41">
        <v>1</v>
      </c>
      <c r="EB124" s="41">
        <v>1</v>
      </c>
      <c r="EC124" s="41">
        <v>1</v>
      </c>
      <c r="ED124" s="41">
        <v>1</v>
      </c>
      <c r="EE124" s="41">
        <v>1</v>
      </c>
      <c r="EF124" s="41"/>
      <c r="EG124" s="41"/>
      <c r="EH124" s="51" t="s">
        <v>859</v>
      </c>
      <c r="EI124" s="229"/>
      <c r="EJ124" s="59">
        <f t="shared" si="351"/>
        <v>45991</v>
      </c>
      <c r="EK124" s="229"/>
      <c r="EL124" s="230"/>
      <c r="EM124" s="230"/>
      <c r="EN124" s="222"/>
      <c r="EO124" s="222"/>
      <c r="EP124" s="220"/>
      <c r="EQ124" s="222"/>
      <c r="ER124" s="223"/>
      <c r="ES124" s="220"/>
      <c r="ET124" s="222"/>
      <c r="EU124" s="222"/>
      <c r="EV124" s="220"/>
      <c r="EW124" s="220"/>
      <c r="EX124" s="220"/>
      <c r="EY124" s="220"/>
      <c r="EZ124" s="220"/>
      <c r="FA124" s="222"/>
      <c r="FB124" s="220"/>
      <c r="FC124" s="222"/>
      <c r="FD124" s="220"/>
      <c r="FE124" s="220"/>
      <c r="FF124" s="222"/>
      <c r="FG124" s="222"/>
      <c r="FH124" s="220"/>
      <c r="FI124" s="220"/>
      <c r="FJ124" s="220"/>
      <c r="FK124" s="220"/>
      <c r="FL124" s="215"/>
      <c r="FM124" s="172" t="s">
        <v>773</v>
      </c>
      <c r="FN124" s="172" t="s">
        <v>220</v>
      </c>
      <c r="FO124" s="247" t="s">
        <v>221</v>
      </c>
      <c r="FP124" s="172" t="s">
        <v>222</v>
      </c>
      <c r="FQ124" s="172" t="s">
        <v>857</v>
      </c>
      <c r="FR124" s="289" t="s">
        <v>184</v>
      </c>
      <c r="FS124" s="267" t="s">
        <v>840</v>
      </c>
      <c r="FT124" s="267" t="s">
        <v>841</v>
      </c>
      <c r="FU124" s="48"/>
    </row>
    <row r="125" spans="1:177" s="16" customFormat="1" ht="144">
      <c r="A125" s="63"/>
      <c r="B125" s="48" t="s">
        <v>468</v>
      </c>
      <c r="C125" s="64" t="s">
        <v>206</v>
      </c>
      <c r="D125" s="225" t="s">
        <v>207</v>
      </c>
      <c r="E125" s="48" t="s">
        <v>829</v>
      </c>
      <c r="F125" s="227">
        <f t="shared" si="352"/>
        <v>7</v>
      </c>
      <c r="G125" s="65" t="s">
        <v>830</v>
      </c>
      <c r="H125" s="65" t="s">
        <v>831</v>
      </c>
      <c r="I125" s="409" t="s">
        <v>860</v>
      </c>
      <c r="J125" s="63">
        <v>2024</v>
      </c>
      <c r="K125" s="48">
        <v>2025</v>
      </c>
      <c r="L125" s="48" t="s">
        <v>288</v>
      </c>
      <c r="M125" s="48" t="s">
        <v>173</v>
      </c>
      <c r="N125" s="48" t="s">
        <v>174</v>
      </c>
      <c r="O125" s="283" t="s">
        <v>493</v>
      </c>
      <c r="P125" s="63" t="s">
        <v>458</v>
      </c>
      <c r="Q125" s="214" t="s">
        <v>213</v>
      </c>
      <c r="R125" s="66" t="s">
        <v>214</v>
      </c>
      <c r="S125" s="63" t="str">
        <f t="shared" si="283"/>
        <v>Selesai Implementasi</v>
      </c>
      <c r="T125" s="63" t="str">
        <f t="shared" si="145"/>
        <v>DONE</v>
      </c>
      <c r="U125" s="63" t="str">
        <f t="shared" si="284"/>
        <v>Rifanda Yulio</v>
      </c>
      <c r="V125" s="67">
        <f t="shared" si="285"/>
        <v>0.99999999999999989</v>
      </c>
      <c r="W125" s="66" t="s">
        <v>532</v>
      </c>
      <c r="X125" s="59">
        <f t="shared" si="294"/>
        <v>45930</v>
      </c>
      <c r="Y125" s="68">
        <v>0</v>
      </c>
      <c r="Z125" s="48"/>
      <c r="AA125" s="279"/>
      <c r="AB125" s="263"/>
      <c r="AC125" s="263"/>
      <c r="AD125" s="378"/>
      <c r="AE125" s="48"/>
      <c r="AF125" s="48"/>
      <c r="AG125" s="48"/>
      <c r="AH125" s="48"/>
      <c r="AI125" s="218">
        <v>45737</v>
      </c>
      <c r="AJ125" s="218" t="s">
        <v>861</v>
      </c>
      <c r="AK125" s="218">
        <v>45755</v>
      </c>
      <c r="AL125" s="218">
        <v>45852</v>
      </c>
      <c r="AM125" s="218">
        <v>45853</v>
      </c>
      <c r="AN125" s="218">
        <v>45866</v>
      </c>
      <c r="AO125" s="218">
        <v>45865</v>
      </c>
      <c r="AP125" s="218">
        <v>45883</v>
      </c>
      <c r="AQ125" s="218">
        <v>45884</v>
      </c>
      <c r="AR125" s="218">
        <v>45930</v>
      </c>
      <c r="AS125" s="63" t="str">
        <f t="shared" si="295"/>
        <v>Selesai Implementasi</v>
      </c>
      <c r="AT125" s="63" t="str">
        <f t="shared" si="296"/>
        <v>Selesai Implementasi</v>
      </c>
      <c r="AU125" s="63" t="str">
        <f t="shared" si="297"/>
        <v>Selesai Implementasi</v>
      </c>
      <c r="AV125" s="63" t="str">
        <f t="shared" si="298"/>
        <v>Selesai Implementasi</v>
      </c>
      <c r="AW125" s="63" t="str">
        <f t="shared" si="299"/>
        <v>Selesai Implementasi</v>
      </c>
      <c r="AX125" s="63" t="str">
        <f t="shared" si="300"/>
        <v>Selesai Implementasi</v>
      </c>
      <c r="AY125" s="63" t="str">
        <f t="shared" si="301"/>
        <v>Selesai Implementasi</v>
      </c>
      <c r="AZ125" s="63" t="str">
        <f t="shared" si="302"/>
        <v>Selesai Implementasi</v>
      </c>
      <c r="BA125" s="63" t="str">
        <f t="shared" si="303"/>
        <v>Selesai Implementasi</v>
      </c>
      <c r="BB125" s="63" t="str">
        <f t="shared" si="304"/>
        <v>Selesai Implementasi</v>
      </c>
      <c r="BC125" s="63" t="str">
        <f t="shared" si="288"/>
        <v>Selesai Implementasi</v>
      </c>
      <c r="BD125" s="63" t="str">
        <f t="shared" si="305"/>
        <v>Selesai Implementasi</v>
      </c>
      <c r="BE125" s="351">
        <v>1</v>
      </c>
      <c r="BF125" s="351">
        <v>1</v>
      </c>
      <c r="BG125" s="351">
        <v>1</v>
      </c>
      <c r="BH125" s="351">
        <v>1</v>
      </c>
      <c r="BI125" s="351">
        <v>1</v>
      </c>
      <c r="BJ125" s="351">
        <v>1</v>
      </c>
      <c r="BK125" s="351">
        <v>1</v>
      </c>
      <c r="BL125" s="351">
        <v>1</v>
      </c>
      <c r="BM125" s="351">
        <v>1</v>
      </c>
      <c r="BN125" s="351">
        <v>1</v>
      </c>
      <c r="BO125" s="351">
        <v>1</v>
      </c>
      <c r="BP125" s="351">
        <v>1</v>
      </c>
      <c r="BQ125" s="63" t="str">
        <f t="shared" si="306"/>
        <v>Selesai Implementasi</v>
      </c>
      <c r="BR125" s="63" t="str">
        <f t="shared" si="307"/>
        <v>Not Started</v>
      </c>
      <c r="BS125" s="63" t="str">
        <f t="shared" si="308"/>
        <v>Not Started</v>
      </c>
      <c r="BT125" s="63" t="str">
        <f t="shared" si="309"/>
        <v>Not Started</v>
      </c>
      <c r="BU125" s="63" t="str">
        <f t="shared" si="310"/>
        <v>Not Started</v>
      </c>
      <c r="BV125" s="63" t="str">
        <f t="shared" si="311"/>
        <v>Not Started</v>
      </c>
      <c r="BW125" s="63" t="str">
        <f t="shared" si="312"/>
        <v>Not Started</v>
      </c>
      <c r="BX125" s="63" t="str">
        <f t="shared" si="313"/>
        <v>Not Started</v>
      </c>
      <c r="BY125" s="63" t="str">
        <f t="shared" si="314"/>
        <v>Not Started</v>
      </c>
      <c r="BZ125" s="63" t="str">
        <f t="shared" si="315"/>
        <v>Not Started</v>
      </c>
      <c r="CA125" s="63" t="str">
        <f t="shared" si="316"/>
        <v>Not Started</v>
      </c>
      <c r="CB125" s="63" t="str">
        <f t="shared" si="317"/>
        <v>Not Started</v>
      </c>
      <c r="CC125" s="44">
        <f t="shared" si="289"/>
        <v>0.99999999999999989</v>
      </c>
      <c r="CD125" s="44"/>
      <c r="CE125" s="44"/>
      <c r="CF125" s="44"/>
      <c r="CG125" s="44"/>
      <c r="CH125" s="44"/>
      <c r="CI125" s="44"/>
      <c r="CJ125" s="44"/>
      <c r="CK125" s="44"/>
      <c r="CL125" s="44"/>
      <c r="CM125" s="44"/>
      <c r="CN125" s="44"/>
      <c r="CO125" s="45">
        <f t="shared" si="318"/>
        <v>0.99999999999999989</v>
      </c>
      <c r="CP125" s="45">
        <f t="shared" si="319"/>
        <v>0</v>
      </c>
      <c r="CQ125" s="45">
        <f t="shared" si="320"/>
        <v>0</v>
      </c>
      <c r="CR125" s="45">
        <f t="shared" si="321"/>
        <v>0</v>
      </c>
      <c r="CS125" s="45">
        <f t="shared" si="322"/>
        <v>0</v>
      </c>
      <c r="CT125" s="45">
        <f t="shared" si="323"/>
        <v>0</v>
      </c>
      <c r="CU125" s="45">
        <f t="shared" si="324"/>
        <v>0</v>
      </c>
      <c r="CV125" s="45">
        <f t="shared" si="325"/>
        <v>0</v>
      </c>
      <c r="CW125" s="45">
        <f t="shared" si="326"/>
        <v>0</v>
      </c>
      <c r="CX125" s="45">
        <f t="shared" si="327"/>
        <v>0</v>
      </c>
      <c r="CY125" s="45">
        <f t="shared" si="290"/>
        <v>0</v>
      </c>
      <c r="CZ125" s="45"/>
      <c r="DA125" s="45" t="str">
        <f t="shared" si="328"/>
        <v>DONE</v>
      </c>
      <c r="DB125" s="45" t="str">
        <f t="shared" si="329"/>
        <v>BS</v>
      </c>
      <c r="DC125" s="45" t="str">
        <f t="shared" si="330"/>
        <v>BS</v>
      </c>
      <c r="DD125" s="45" t="str">
        <f t="shared" si="331"/>
        <v>BS</v>
      </c>
      <c r="DE125" s="45" t="str">
        <f t="shared" si="332"/>
        <v>BS</v>
      </c>
      <c r="DF125" s="45" t="str">
        <f t="shared" si="333"/>
        <v>BS</v>
      </c>
      <c r="DG125" s="45" t="str">
        <f t="shared" si="334"/>
        <v>BS</v>
      </c>
      <c r="DH125" s="45" t="str">
        <f t="shared" si="335"/>
        <v>BS</v>
      </c>
      <c r="DI125" s="45" t="str">
        <f t="shared" si="336"/>
        <v>BS</v>
      </c>
      <c r="DJ125" s="45" t="str">
        <f t="shared" si="337"/>
        <v>BS</v>
      </c>
      <c r="DK125" s="45" t="str">
        <f t="shared" si="286"/>
        <v>BS</v>
      </c>
      <c r="DL125" s="45" t="str">
        <f t="shared" si="338"/>
        <v>BS</v>
      </c>
      <c r="DM125" s="45">
        <f t="shared" si="339"/>
        <v>0.99999999999999989</v>
      </c>
      <c r="DN125" s="45">
        <f t="shared" si="340"/>
        <v>0</v>
      </c>
      <c r="DO125" s="45">
        <f t="shared" si="341"/>
        <v>0</v>
      </c>
      <c r="DP125" s="45">
        <f t="shared" si="342"/>
        <v>0</v>
      </c>
      <c r="DQ125" s="45">
        <f t="shared" si="343"/>
        <v>0</v>
      </c>
      <c r="DR125" s="45">
        <f t="shared" si="344"/>
        <v>0</v>
      </c>
      <c r="DS125" s="45">
        <f t="shared" si="345"/>
        <v>0</v>
      </c>
      <c r="DT125" s="45">
        <f t="shared" si="346"/>
        <v>0</v>
      </c>
      <c r="DU125" s="45">
        <f t="shared" si="347"/>
        <v>0</v>
      </c>
      <c r="DV125" s="45">
        <f t="shared" si="348"/>
        <v>0</v>
      </c>
      <c r="DW125" s="45">
        <f t="shared" si="349"/>
        <v>0</v>
      </c>
      <c r="DX125" s="45">
        <f t="shared" si="350"/>
        <v>0</v>
      </c>
      <c r="DY125" s="41">
        <v>1</v>
      </c>
      <c r="DZ125" s="41">
        <v>1</v>
      </c>
      <c r="EA125" s="41">
        <v>1</v>
      </c>
      <c r="EB125" s="41">
        <v>1</v>
      </c>
      <c r="EC125" s="41">
        <v>1</v>
      </c>
      <c r="ED125" s="41">
        <v>1</v>
      </c>
      <c r="EE125" s="41">
        <v>1</v>
      </c>
      <c r="EF125" s="41">
        <v>1</v>
      </c>
      <c r="EG125" s="41">
        <v>1</v>
      </c>
      <c r="EH125" s="191" t="s">
        <v>862</v>
      </c>
      <c r="EI125" s="230">
        <v>45921</v>
      </c>
      <c r="EJ125" s="59">
        <f t="shared" si="351"/>
        <v>45930</v>
      </c>
      <c r="EK125" s="229"/>
      <c r="EL125" s="230"/>
      <c r="EM125" s="230"/>
      <c r="EN125" s="222"/>
      <c r="EO125" s="222"/>
      <c r="EP125" s="220"/>
      <c r="EQ125" s="222"/>
      <c r="ER125" s="223"/>
      <c r="ES125" s="220"/>
      <c r="ET125" s="222"/>
      <c r="EU125" s="222"/>
      <c r="EV125" s="220"/>
      <c r="EW125" s="220"/>
      <c r="EX125" s="220"/>
      <c r="EY125" s="220"/>
      <c r="EZ125" s="220"/>
      <c r="FA125" s="222"/>
      <c r="FB125" s="220"/>
      <c r="FC125" s="222"/>
      <c r="FD125" s="220"/>
      <c r="FE125" s="220"/>
      <c r="FF125" s="222"/>
      <c r="FG125" s="222"/>
      <c r="FH125" s="220"/>
      <c r="FI125" s="220"/>
      <c r="FJ125" s="220"/>
      <c r="FK125" s="220"/>
      <c r="FL125" s="215"/>
      <c r="FM125" s="172" t="s">
        <v>773</v>
      </c>
      <c r="FN125" s="172" t="s">
        <v>220</v>
      </c>
      <c r="FO125" s="247" t="s">
        <v>221</v>
      </c>
      <c r="FP125" s="172" t="s">
        <v>222</v>
      </c>
      <c r="FQ125" s="172" t="s">
        <v>863</v>
      </c>
      <c r="FR125" s="289" t="s">
        <v>184</v>
      </c>
      <c r="FS125" s="267" t="s">
        <v>840</v>
      </c>
      <c r="FT125" s="267" t="s">
        <v>841</v>
      </c>
      <c r="FU125" s="48"/>
    </row>
    <row r="126" spans="1:177" s="16" customFormat="1" ht="64">
      <c r="A126" s="64"/>
      <c r="B126" s="48" t="s">
        <v>468</v>
      </c>
      <c r="C126" s="64" t="s">
        <v>206</v>
      </c>
      <c r="D126" s="225" t="s">
        <v>207</v>
      </c>
      <c r="E126" s="48" t="s">
        <v>829</v>
      </c>
      <c r="F126" s="227">
        <f t="shared" si="352"/>
        <v>8</v>
      </c>
      <c r="G126" s="65" t="s">
        <v>830</v>
      </c>
      <c r="H126" s="65" t="s">
        <v>831</v>
      </c>
      <c r="I126" s="222" t="s">
        <v>864</v>
      </c>
      <c r="J126" s="63">
        <v>2024</v>
      </c>
      <c r="K126" s="48">
        <v>2026</v>
      </c>
      <c r="L126" s="48" t="s">
        <v>288</v>
      </c>
      <c r="M126" s="48" t="s">
        <v>173</v>
      </c>
      <c r="N126" s="48" t="s">
        <v>174</v>
      </c>
      <c r="O126" s="63" t="s">
        <v>865</v>
      </c>
      <c r="P126" s="63" t="s">
        <v>458</v>
      </c>
      <c r="Q126" s="214" t="s">
        <v>213</v>
      </c>
      <c r="R126" s="66" t="s">
        <v>214</v>
      </c>
      <c r="S126" s="63" t="str">
        <f t="shared" si="283"/>
        <v>Not Started</v>
      </c>
      <c r="T126" s="63" t="str">
        <f t="shared" si="145"/>
        <v>Not Started</v>
      </c>
      <c r="U126" s="63" t="str">
        <f t="shared" si="284"/>
        <v>Rifanda Yulio</v>
      </c>
      <c r="V126" s="67">
        <f t="shared" si="285"/>
        <v>0</v>
      </c>
      <c r="W126" s="66" t="s">
        <v>380</v>
      </c>
      <c r="X126" s="59">
        <f t="shared" si="294"/>
        <v>46234</v>
      </c>
      <c r="Y126" s="68"/>
      <c r="Z126" s="48" t="s">
        <v>179</v>
      </c>
      <c r="AA126" s="218"/>
      <c r="AB126" s="218" t="s">
        <v>560</v>
      </c>
      <c r="AC126" s="263"/>
      <c r="AD126" s="378"/>
      <c r="AE126" s="218">
        <v>45992</v>
      </c>
      <c r="AF126" s="218">
        <v>46022</v>
      </c>
      <c r="AG126" s="48"/>
      <c r="AH126" s="48"/>
      <c r="AI126" s="218">
        <v>46023</v>
      </c>
      <c r="AJ126" s="218">
        <v>46037</v>
      </c>
      <c r="AK126" s="218">
        <v>46038</v>
      </c>
      <c r="AL126" s="218">
        <v>46142</v>
      </c>
      <c r="AM126" s="218">
        <v>46143</v>
      </c>
      <c r="AN126" s="218">
        <v>46172</v>
      </c>
      <c r="AO126" s="218">
        <v>46174</v>
      </c>
      <c r="AP126" s="376">
        <v>46203</v>
      </c>
      <c r="AQ126" s="218">
        <v>46204</v>
      </c>
      <c r="AR126" s="218">
        <v>46234</v>
      </c>
      <c r="AS126" s="63" t="str">
        <f t="shared" si="295"/>
        <v>Selesai Desain</v>
      </c>
      <c r="AT126" s="63" t="str">
        <f t="shared" si="296"/>
        <v>Proses Pengembangan</v>
      </c>
      <c r="AU126" s="63" t="str">
        <f t="shared" si="297"/>
        <v>Proses Pengembangan</v>
      </c>
      <c r="AV126" s="63" t="str">
        <f t="shared" si="298"/>
        <v>Selesai Pengembangan</v>
      </c>
      <c r="AW126" s="63" t="str">
        <f t="shared" si="299"/>
        <v>Proses SIT</v>
      </c>
      <c r="AX126" s="63" t="str">
        <f t="shared" si="300"/>
        <v>Selesai UAT</v>
      </c>
      <c r="AY126" s="63" t="str">
        <f t="shared" si="301"/>
        <v>Selesai Implementasi</v>
      </c>
      <c r="AZ126" s="63" t="str">
        <f t="shared" si="302"/>
        <v>Selesai Implementasi</v>
      </c>
      <c r="BA126" s="63" t="str">
        <f t="shared" si="303"/>
        <v>Selesai Implementasi</v>
      </c>
      <c r="BB126" s="63" t="str">
        <f t="shared" si="304"/>
        <v>Selesai Implementasi</v>
      </c>
      <c r="BC126" s="63" t="str">
        <f t="shared" si="288"/>
        <v>Selesai Implementasi</v>
      </c>
      <c r="BD126" s="63" t="str">
        <f t="shared" si="305"/>
        <v>Selesai Implementasi</v>
      </c>
      <c r="BE126" s="43">
        <v>0.45</v>
      </c>
      <c r="BF126" s="43">
        <v>0.56999999999999995</v>
      </c>
      <c r="BG126" s="43">
        <v>0.69</v>
      </c>
      <c r="BH126" s="43">
        <v>0.8</v>
      </c>
      <c r="BI126" s="43">
        <v>0.87</v>
      </c>
      <c r="BJ126" s="43">
        <v>0.95</v>
      </c>
      <c r="BK126" s="43">
        <v>1</v>
      </c>
      <c r="BL126" s="43">
        <v>1</v>
      </c>
      <c r="BM126" s="43">
        <v>1</v>
      </c>
      <c r="BN126" s="43">
        <v>1</v>
      </c>
      <c r="BO126" s="43">
        <v>1</v>
      </c>
      <c r="BP126" s="43">
        <v>1</v>
      </c>
      <c r="BQ126" s="63" t="str">
        <f t="shared" si="306"/>
        <v>Not Started</v>
      </c>
      <c r="BR126" s="63" t="str">
        <f t="shared" si="307"/>
        <v>Not Started</v>
      </c>
      <c r="BS126" s="63" t="str">
        <f t="shared" si="308"/>
        <v>Not Started</v>
      </c>
      <c r="BT126" s="63" t="str">
        <f t="shared" si="309"/>
        <v>Not Started</v>
      </c>
      <c r="BU126" s="63" t="str">
        <f t="shared" si="310"/>
        <v>Not Started</v>
      </c>
      <c r="BV126" s="63" t="str">
        <f t="shared" si="311"/>
        <v>Not Started</v>
      </c>
      <c r="BW126" s="63" t="str">
        <f t="shared" si="312"/>
        <v>Not Started</v>
      </c>
      <c r="BX126" s="63" t="str">
        <f t="shared" si="313"/>
        <v>Not Started</v>
      </c>
      <c r="BY126" s="63" t="str">
        <f t="shared" si="314"/>
        <v>Not Started</v>
      </c>
      <c r="BZ126" s="63" t="str">
        <f t="shared" si="315"/>
        <v>Not Started</v>
      </c>
      <c r="CA126" s="63" t="str">
        <f t="shared" si="316"/>
        <v>Not Started</v>
      </c>
      <c r="CB126" s="63" t="str">
        <f t="shared" si="317"/>
        <v>Not Started</v>
      </c>
      <c r="CC126" s="44">
        <f t="shared" si="289"/>
        <v>0</v>
      </c>
      <c r="CD126" s="44"/>
      <c r="CE126" s="44"/>
      <c r="CF126" s="44"/>
      <c r="CG126" s="44"/>
      <c r="CH126" s="44"/>
      <c r="CI126" s="44"/>
      <c r="CJ126" s="44"/>
      <c r="CK126" s="44"/>
      <c r="CL126" s="44"/>
      <c r="CM126" s="44"/>
      <c r="CN126" s="44"/>
      <c r="CO126" s="45">
        <f t="shared" si="318"/>
        <v>0</v>
      </c>
      <c r="CP126" s="45">
        <f t="shared" si="319"/>
        <v>0</v>
      </c>
      <c r="CQ126" s="45">
        <f t="shared" si="320"/>
        <v>0</v>
      </c>
      <c r="CR126" s="45">
        <f t="shared" si="321"/>
        <v>0</v>
      </c>
      <c r="CS126" s="45">
        <f t="shared" si="322"/>
        <v>0</v>
      </c>
      <c r="CT126" s="45">
        <f t="shared" si="323"/>
        <v>0</v>
      </c>
      <c r="CU126" s="45">
        <f t="shared" si="324"/>
        <v>0</v>
      </c>
      <c r="CV126" s="45">
        <f t="shared" si="325"/>
        <v>0</v>
      </c>
      <c r="CW126" s="45">
        <f t="shared" si="326"/>
        <v>0</v>
      </c>
      <c r="CX126" s="45">
        <f t="shared" si="327"/>
        <v>0</v>
      </c>
      <c r="CY126" s="45">
        <f t="shared" si="290"/>
        <v>0</v>
      </c>
      <c r="CZ126" s="45"/>
      <c r="DA126" s="45" t="str">
        <f t="shared" si="328"/>
        <v>BS</v>
      </c>
      <c r="DB126" s="45" t="str">
        <f t="shared" si="329"/>
        <v>BS</v>
      </c>
      <c r="DC126" s="45" t="str">
        <f t="shared" si="330"/>
        <v>BS</v>
      </c>
      <c r="DD126" s="45" t="str">
        <f t="shared" si="331"/>
        <v>BS</v>
      </c>
      <c r="DE126" s="45" t="str">
        <f t="shared" si="332"/>
        <v>BS</v>
      </c>
      <c r="DF126" s="45" t="str">
        <f t="shared" si="333"/>
        <v>BS</v>
      </c>
      <c r="DG126" s="45" t="str">
        <f t="shared" si="334"/>
        <v>BS</v>
      </c>
      <c r="DH126" s="45" t="str">
        <f t="shared" si="335"/>
        <v>BS</v>
      </c>
      <c r="DI126" s="45" t="str">
        <f t="shared" si="336"/>
        <v>BS</v>
      </c>
      <c r="DJ126" s="45" t="str">
        <f t="shared" si="337"/>
        <v>BS</v>
      </c>
      <c r="DK126" s="45" t="str">
        <f t="shared" si="286"/>
        <v>BS</v>
      </c>
      <c r="DL126" s="45" t="str">
        <f t="shared" si="338"/>
        <v>BS</v>
      </c>
      <c r="DM126" s="45">
        <f t="shared" si="339"/>
        <v>0</v>
      </c>
      <c r="DN126" s="45">
        <f t="shared" si="340"/>
        <v>0</v>
      </c>
      <c r="DO126" s="45">
        <f t="shared" si="341"/>
        <v>0</v>
      </c>
      <c r="DP126" s="45">
        <f t="shared" si="342"/>
        <v>0</v>
      </c>
      <c r="DQ126" s="45">
        <f t="shared" si="343"/>
        <v>0</v>
      </c>
      <c r="DR126" s="45">
        <f t="shared" si="344"/>
        <v>0</v>
      </c>
      <c r="DS126" s="45">
        <f t="shared" si="345"/>
        <v>0</v>
      </c>
      <c r="DT126" s="45">
        <f t="shared" si="346"/>
        <v>0</v>
      </c>
      <c r="DU126" s="45">
        <f t="shared" si="347"/>
        <v>0</v>
      </c>
      <c r="DV126" s="45">
        <f t="shared" si="348"/>
        <v>0</v>
      </c>
      <c r="DW126" s="45">
        <f t="shared" si="349"/>
        <v>0</v>
      </c>
      <c r="DX126" s="45">
        <f t="shared" si="350"/>
        <v>0</v>
      </c>
      <c r="DY126" s="41"/>
      <c r="DZ126" s="41"/>
      <c r="EA126" s="41"/>
      <c r="EB126" s="41"/>
      <c r="EC126" s="41"/>
      <c r="ED126" s="41"/>
      <c r="EE126" s="41"/>
      <c r="EF126" s="41"/>
      <c r="EG126" s="41"/>
      <c r="EH126" s="51" t="s">
        <v>866</v>
      </c>
      <c r="EI126" s="229"/>
      <c r="EJ126" s="59">
        <f t="shared" si="351"/>
        <v>46234</v>
      </c>
      <c r="EK126" s="229"/>
      <c r="EL126" s="230"/>
      <c r="EM126" s="230"/>
      <c r="EN126" s="222"/>
      <c r="EO126" s="222"/>
      <c r="EP126" s="220"/>
      <c r="EQ126" s="222"/>
      <c r="ER126" s="223"/>
      <c r="ES126" s="220"/>
      <c r="ET126" s="222"/>
      <c r="EU126" s="222"/>
      <c r="EV126" s="220"/>
      <c r="EW126" s="220"/>
      <c r="EX126" s="220"/>
      <c r="EY126" s="220"/>
      <c r="EZ126" s="220"/>
      <c r="FA126" s="222"/>
      <c r="FB126" s="220"/>
      <c r="FC126" s="222"/>
      <c r="FD126" s="220"/>
      <c r="FE126" s="220"/>
      <c r="FF126" s="222"/>
      <c r="FG126" s="222"/>
      <c r="FH126" s="220"/>
      <c r="FI126" s="220"/>
      <c r="FJ126" s="220"/>
      <c r="FK126" s="220"/>
      <c r="FL126" s="215"/>
      <c r="FM126" s="172"/>
      <c r="FN126" s="340" t="s">
        <v>220</v>
      </c>
      <c r="FO126" s="247"/>
      <c r="FP126" s="172"/>
      <c r="FQ126" s="172"/>
      <c r="FR126" s="289" t="s">
        <v>184</v>
      </c>
      <c r="FS126" s="267"/>
      <c r="FT126" s="267"/>
      <c r="FU126" s="48"/>
    </row>
    <row r="127" spans="1:177" s="16" customFormat="1" ht="208">
      <c r="A127" s="64"/>
      <c r="B127" s="48" t="s">
        <v>468</v>
      </c>
      <c r="C127" s="64" t="s">
        <v>206</v>
      </c>
      <c r="D127" s="225" t="s">
        <v>207</v>
      </c>
      <c r="E127" s="48" t="s">
        <v>829</v>
      </c>
      <c r="F127" s="227">
        <f t="shared" si="352"/>
        <v>9</v>
      </c>
      <c r="G127" s="65" t="s">
        <v>830</v>
      </c>
      <c r="H127" s="65" t="s">
        <v>831</v>
      </c>
      <c r="I127" s="222" t="s">
        <v>867</v>
      </c>
      <c r="J127" s="48">
        <v>2026</v>
      </c>
      <c r="K127" s="48">
        <v>2027</v>
      </c>
      <c r="L127" s="48" t="s">
        <v>288</v>
      </c>
      <c r="M127" s="48" t="s">
        <v>173</v>
      </c>
      <c r="N127" s="48" t="s">
        <v>174</v>
      </c>
      <c r="O127" s="63" t="s">
        <v>493</v>
      </c>
      <c r="P127" s="63" t="s">
        <v>458</v>
      </c>
      <c r="Q127" s="214" t="s">
        <v>213</v>
      </c>
      <c r="R127" s="63" t="s">
        <v>214</v>
      </c>
      <c r="S127" s="63" t="str">
        <f t="shared" si="283"/>
        <v>Not Started</v>
      </c>
      <c r="T127" s="63" t="str">
        <f t="shared" si="145"/>
        <v>Not Started</v>
      </c>
      <c r="U127" s="63" t="str">
        <f t="shared" si="284"/>
        <v>Rifanda Yulio</v>
      </c>
      <c r="V127" s="67">
        <f t="shared" si="285"/>
        <v>0</v>
      </c>
      <c r="W127" s="66" t="s">
        <v>178</v>
      </c>
      <c r="X127" s="59">
        <f t="shared" si="294"/>
        <v>46660</v>
      </c>
      <c r="Y127" s="68"/>
      <c r="Z127" s="48" t="s">
        <v>179</v>
      </c>
      <c r="AA127" s="218">
        <v>46082</v>
      </c>
      <c r="AB127" s="218">
        <v>46203</v>
      </c>
      <c r="AC127" s="218">
        <v>46204</v>
      </c>
      <c r="AD127" s="42">
        <v>46234</v>
      </c>
      <c r="AE127" s="218">
        <v>46204</v>
      </c>
      <c r="AF127" s="42">
        <v>46234</v>
      </c>
      <c r="AG127" s="218">
        <v>46235</v>
      </c>
      <c r="AH127" s="218">
        <v>46356</v>
      </c>
      <c r="AI127" s="218">
        <v>46357</v>
      </c>
      <c r="AJ127" s="218">
        <v>46371</v>
      </c>
      <c r="AK127" s="218">
        <v>46372</v>
      </c>
      <c r="AL127" s="218">
        <v>46537</v>
      </c>
      <c r="AM127" s="218">
        <v>46539</v>
      </c>
      <c r="AN127" s="218">
        <v>46583</v>
      </c>
      <c r="AO127" s="218">
        <v>46584</v>
      </c>
      <c r="AP127" s="376">
        <v>46630</v>
      </c>
      <c r="AQ127" s="218">
        <v>46631</v>
      </c>
      <c r="AR127" s="218">
        <v>46660</v>
      </c>
      <c r="AS127" s="63" t="str">
        <f t="shared" si="295"/>
        <v>Not Started</v>
      </c>
      <c r="AT127" s="63" t="str">
        <f t="shared" si="296"/>
        <v>Not Started</v>
      </c>
      <c r="AU127" s="63" t="str">
        <f t="shared" si="297"/>
        <v>Proses RBT-RBB</v>
      </c>
      <c r="AV127" s="63" t="str">
        <f t="shared" si="298"/>
        <v>Proses RBT-RBL</v>
      </c>
      <c r="AW127" s="63" t="str">
        <f t="shared" si="299"/>
        <v>Proses RBT-RBTD</v>
      </c>
      <c r="AX127" s="63" t="str">
        <f t="shared" si="300"/>
        <v>Selesai RBT-RBTD</v>
      </c>
      <c r="AY127" s="63" t="str">
        <f t="shared" si="301"/>
        <v>Selesai KAK</v>
      </c>
      <c r="AZ127" s="63" t="str">
        <f t="shared" si="302"/>
        <v>Proses Pengadaan</v>
      </c>
      <c r="BA127" s="63" t="str">
        <f t="shared" si="303"/>
        <v>Proses Pengadaan</v>
      </c>
      <c r="BB127" s="63" t="str">
        <f t="shared" si="304"/>
        <v>Proses Pengadaan</v>
      </c>
      <c r="BC127" s="63" t="str">
        <f t="shared" si="288"/>
        <v>Selesai Pengadaan</v>
      </c>
      <c r="BD127" s="63" t="str">
        <f t="shared" si="305"/>
        <v>Selesai Desain</v>
      </c>
      <c r="BE127" s="43">
        <v>0</v>
      </c>
      <c r="BF127" s="43">
        <v>0</v>
      </c>
      <c r="BG127" s="43">
        <v>0.04</v>
      </c>
      <c r="BH127" s="43">
        <v>0.08</v>
      </c>
      <c r="BI127" s="43">
        <v>0.12</v>
      </c>
      <c r="BJ127" s="43">
        <v>0.15</v>
      </c>
      <c r="BK127" s="43">
        <v>0.25</v>
      </c>
      <c r="BL127" s="43">
        <v>0.26</v>
      </c>
      <c r="BM127" s="43">
        <v>0.27</v>
      </c>
      <c r="BN127" s="43">
        <v>0.28000000000000003</v>
      </c>
      <c r="BO127" s="43">
        <v>0.3</v>
      </c>
      <c r="BP127" s="43">
        <v>0.45</v>
      </c>
      <c r="BQ127" s="63" t="str">
        <f t="shared" si="306"/>
        <v>Not Started</v>
      </c>
      <c r="BR127" s="63" t="str">
        <f t="shared" si="307"/>
        <v>Not Started</v>
      </c>
      <c r="BS127" s="63" t="str">
        <f t="shared" si="308"/>
        <v>Not Started</v>
      </c>
      <c r="BT127" s="63" t="str">
        <f t="shared" si="309"/>
        <v>Not Started</v>
      </c>
      <c r="BU127" s="63" t="str">
        <f t="shared" si="310"/>
        <v>Not Started</v>
      </c>
      <c r="BV127" s="63" t="str">
        <f t="shared" si="311"/>
        <v>Not Started</v>
      </c>
      <c r="BW127" s="63" t="str">
        <f t="shared" si="312"/>
        <v>Not Started</v>
      </c>
      <c r="BX127" s="63" t="str">
        <f t="shared" si="313"/>
        <v>Not Started</v>
      </c>
      <c r="BY127" s="63" t="str">
        <f t="shared" si="314"/>
        <v>Not Started</v>
      </c>
      <c r="BZ127" s="63" t="str">
        <f t="shared" si="315"/>
        <v>Not Started</v>
      </c>
      <c r="CA127" s="63" t="str">
        <f t="shared" si="316"/>
        <v>Not Started</v>
      </c>
      <c r="CB127" s="63" t="str">
        <f t="shared" si="317"/>
        <v>Not Started</v>
      </c>
      <c r="CC127" s="44">
        <f t="shared" si="289"/>
        <v>0</v>
      </c>
      <c r="CD127" s="44"/>
      <c r="CE127" s="44"/>
      <c r="CF127" s="44"/>
      <c r="CG127" s="44"/>
      <c r="CH127" s="44"/>
      <c r="CI127" s="44"/>
      <c r="CJ127" s="44"/>
      <c r="CK127" s="44"/>
      <c r="CL127" s="44"/>
      <c r="CM127" s="44"/>
      <c r="CN127" s="44"/>
      <c r="CO127" s="45">
        <f t="shared" si="318"/>
        <v>1</v>
      </c>
      <c r="CP127" s="45">
        <f t="shared" si="319"/>
        <v>1</v>
      </c>
      <c r="CQ127" s="45">
        <f t="shared" si="320"/>
        <v>0</v>
      </c>
      <c r="CR127" s="45">
        <f t="shared" si="321"/>
        <v>0</v>
      </c>
      <c r="CS127" s="45">
        <f t="shared" si="322"/>
        <v>0</v>
      </c>
      <c r="CT127" s="45">
        <f t="shared" si="323"/>
        <v>0</v>
      </c>
      <c r="CU127" s="45">
        <f t="shared" si="324"/>
        <v>0</v>
      </c>
      <c r="CV127" s="45">
        <f t="shared" si="325"/>
        <v>0</v>
      </c>
      <c r="CW127" s="45">
        <f t="shared" si="326"/>
        <v>0</v>
      </c>
      <c r="CX127" s="45">
        <f t="shared" si="327"/>
        <v>0</v>
      </c>
      <c r="CY127" s="45">
        <f t="shared" si="290"/>
        <v>0</v>
      </c>
      <c r="CZ127" s="45"/>
      <c r="DA127" s="45" t="str">
        <f t="shared" si="328"/>
        <v>NS</v>
      </c>
      <c r="DB127" s="45" t="str">
        <f t="shared" si="329"/>
        <v>NS</v>
      </c>
      <c r="DC127" s="45" t="str">
        <f t="shared" si="330"/>
        <v>BS</v>
      </c>
      <c r="DD127" s="45" t="str">
        <f t="shared" si="331"/>
        <v>BS</v>
      </c>
      <c r="DE127" s="45" t="str">
        <f t="shared" si="332"/>
        <v>BS</v>
      </c>
      <c r="DF127" s="45" t="str">
        <f t="shared" si="333"/>
        <v>BS</v>
      </c>
      <c r="DG127" s="45" t="str">
        <f t="shared" si="334"/>
        <v>BS</v>
      </c>
      <c r="DH127" s="45" t="str">
        <f t="shared" si="335"/>
        <v>BS</v>
      </c>
      <c r="DI127" s="45" t="str">
        <f t="shared" si="336"/>
        <v>BS</v>
      </c>
      <c r="DJ127" s="45" t="str">
        <f t="shared" si="337"/>
        <v>BS</v>
      </c>
      <c r="DK127" s="45" t="str">
        <f t="shared" si="286"/>
        <v>BS</v>
      </c>
      <c r="DL127" s="45" t="str">
        <f t="shared" si="338"/>
        <v>BS</v>
      </c>
      <c r="DM127" s="45">
        <f t="shared" si="339"/>
        <v>0</v>
      </c>
      <c r="DN127" s="45">
        <f t="shared" si="340"/>
        <v>0</v>
      </c>
      <c r="DO127" s="45">
        <f t="shared" si="341"/>
        <v>0</v>
      </c>
      <c r="DP127" s="45">
        <f t="shared" si="342"/>
        <v>0</v>
      </c>
      <c r="DQ127" s="45">
        <f t="shared" si="343"/>
        <v>0</v>
      </c>
      <c r="DR127" s="45">
        <f t="shared" si="344"/>
        <v>0</v>
      </c>
      <c r="DS127" s="45">
        <f t="shared" si="345"/>
        <v>0</v>
      </c>
      <c r="DT127" s="45">
        <f t="shared" si="346"/>
        <v>0</v>
      </c>
      <c r="DU127" s="45">
        <f t="shared" si="347"/>
        <v>0</v>
      </c>
      <c r="DV127" s="45">
        <f t="shared" si="348"/>
        <v>0</v>
      </c>
      <c r="DW127" s="45">
        <f t="shared" si="349"/>
        <v>0</v>
      </c>
      <c r="DX127" s="45">
        <f t="shared" si="350"/>
        <v>0</v>
      </c>
      <c r="DY127" s="41"/>
      <c r="DZ127" s="41"/>
      <c r="EA127" s="41"/>
      <c r="EB127" s="41"/>
      <c r="EC127" s="41"/>
      <c r="ED127" s="41"/>
      <c r="EE127" s="41"/>
      <c r="EF127" s="41"/>
      <c r="EG127" s="41"/>
      <c r="EH127" s="191"/>
      <c r="EI127" s="229"/>
      <c r="EJ127" s="59">
        <f t="shared" si="351"/>
        <v>46660</v>
      </c>
      <c r="EK127" s="229"/>
      <c r="EL127" s="230"/>
      <c r="EM127" s="230"/>
      <c r="EN127" s="222"/>
      <c r="EO127" s="222"/>
      <c r="EP127" s="220"/>
      <c r="EQ127" s="222"/>
      <c r="ER127" s="223"/>
      <c r="ES127" s="220"/>
      <c r="ET127" s="222"/>
      <c r="EU127" s="222"/>
      <c r="EV127" s="220"/>
      <c r="EW127" s="220"/>
      <c r="EX127" s="220"/>
      <c r="EY127" s="220"/>
      <c r="EZ127" s="220"/>
      <c r="FA127" s="222"/>
      <c r="FB127" s="220"/>
      <c r="FC127" s="222"/>
      <c r="FD127" s="220"/>
      <c r="FE127" s="220"/>
      <c r="FF127" s="222"/>
      <c r="FG127" s="222"/>
      <c r="FH127" s="220"/>
      <c r="FI127" s="220"/>
      <c r="FJ127" s="220"/>
      <c r="FK127" s="220"/>
      <c r="FL127" s="215"/>
      <c r="FM127" s="172" t="s">
        <v>219</v>
      </c>
      <c r="FN127" s="172" t="s">
        <v>220</v>
      </c>
      <c r="FO127" s="172" t="s">
        <v>221</v>
      </c>
      <c r="FP127" s="172" t="s">
        <v>846</v>
      </c>
      <c r="FQ127" s="172" t="s">
        <v>399</v>
      </c>
      <c r="FR127" s="289" t="s">
        <v>184</v>
      </c>
      <c r="FS127" s="267"/>
      <c r="FT127" s="267"/>
      <c r="FU127" s="48"/>
    </row>
    <row r="128" spans="1:177" s="16" customFormat="1" ht="64">
      <c r="A128" s="64"/>
      <c r="B128" s="48"/>
      <c r="C128" s="64"/>
      <c r="D128" s="225"/>
      <c r="E128" s="48" t="s">
        <v>829</v>
      </c>
      <c r="F128" s="227">
        <f t="shared" si="352"/>
        <v>10</v>
      </c>
      <c r="G128" s="65" t="s">
        <v>830</v>
      </c>
      <c r="H128" s="65" t="s">
        <v>831</v>
      </c>
      <c r="I128" s="222" t="s">
        <v>868</v>
      </c>
      <c r="J128" s="48">
        <v>2026</v>
      </c>
      <c r="K128" s="48">
        <v>2028</v>
      </c>
      <c r="L128" s="48" t="s">
        <v>288</v>
      </c>
      <c r="M128" s="48" t="s">
        <v>173</v>
      </c>
      <c r="N128" s="48" t="s">
        <v>174</v>
      </c>
      <c r="O128" s="63" t="s">
        <v>869</v>
      </c>
      <c r="P128" s="63" t="s">
        <v>494</v>
      </c>
      <c r="Q128" s="214" t="s">
        <v>213</v>
      </c>
      <c r="R128" s="63"/>
      <c r="S128" s="63">
        <f t="shared" si="283"/>
        <v>0</v>
      </c>
      <c r="T128" s="63" t="str">
        <f t="shared" si="145"/>
        <v>Not Started</v>
      </c>
      <c r="U128" s="63"/>
      <c r="V128" s="67">
        <f t="shared" si="285"/>
        <v>0</v>
      </c>
      <c r="W128" s="66" t="s">
        <v>263</v>
      </c>
      <c r="X128" s="59"/>
      <c r="Y128" s="68"/>
      <c r="Z128" s="48"/>
      <c r="AA128" s="218">
        <v>46357</v>
      </c>
      <c r="AB128" s="218">
        <v>46446</v>
      </c>
      <c r="AC128" s="218">
        <v>46447</v>
      </c>
      <c r="AD128" s="42">
        <v>46477</v>
      </c>
      <c r="AE128" s="218">
        <v>46478</v>
      </c>
      <c r="AF128" s="42">
        <v>46507</v>
      </c>
      <c r="AG128" s="218"/>
      <c r="AH128" s="218"/>
      <c r="AI128" s="218">
        <v>46508</v>
      </c>
      <c r="AJ128" s="218">
        <v>46538</v>
      </c>
      <c r="AK128" s="218">
        <v>46539</v>
      </c>
      <c r="AL128" s="218">
        <v>46721</v>
      </c>
      <c r="AM128" s="218">
        <v>46722</v>
      </c>
      <c r="AN128" s="218">
        <v>46767</v>
      </c>
      <c r="AO128" s="218">
        <v>46768</v>
      </c>
      <c r="AP128" s="376">
        <v>46811</v>
      </c>
      <c r="AQ128" s="218">
        <v>46813</v>
      </c>
      <c r="AR128" s="218">
        <v>46843</v>
      </c>
      <c r="AS128" s="63"/>
      <c r="AT128" s="63"/>
      <c r="AU128" s="63"/>
      <c r="AV128" s="63"/>
      <c r="AW128" s="63"/>
      <c r="AX128" s="63"/>
      <c r="AY128" s="63"/>
      <c r="AZ128" s="63"/>
      <c r="BA128" s="63"/>
      <c r="BB128" s="63"/>
      <c r="BC128" s="63" t="str">
        <f t="shared" si="288"/>
        <v>Not Started</v>
      </c>
      <c r="BD128" s="63" t="str">
        <f>IF(BP128=0%,"Not Started",IF(BP128&lt;5%,"Proses RBT-RBB",IF(BP128=5%,"Selesai RBT-RBB",IF(BP128&lt;10%,"Proses RBT-RBL",IF(BP128=10%,"Selesai RBT-RBL",IF(BP128&lt;15%,"Proses RBT-RBTD",IF(BP128=15%,"Selesai RBT-RBTD",IF(BP128&lt;20%,"Proses RPP",IF(BP128=20%,"Selesai RPP",IF(BP128&lt;25%,"Proses KAK",IF(BP128=25%,"Selesai KAK",IF(BP128&lt;30%,"Proses Pengadaan",IF(BP128=30%,"Selesai Pengadaan",IF(BP128&lt;45%,"Proses Desain",IF(BP128=45%,"Selesai Desain",IF(BP128&lt;80%,"Proses Pengembangan",IF(BP128=80%,"Selesai Pengembangan",IF(BP128&lt;87.5%,"Proses SIT",IF(BP128=87.5%,"Selesai SIT",IF(BP128&lt;95%,"Proses UAT",IF(BP128=95%,"Selesai UAT",IF(BP128&lt;100%,"Proses Implementasi","Selesai Implementasi"))))))))))))))))))))))</f>
        <v>Selesai RBT-RBB</v>
      </c>
      <c r="BE128" s="43">
        <v>0</v>
      </c>
      <c r="BF128" s="43">
        <v>0</v>
      </c>
      <c r="BG128" s="43">
        <v>0</v>
      </c>
      <c r="BH128" s="43">
        <v>0</v>
      </c>
      <c r="BI128" s="43">
        <v>0</v>
      </c>
      <c r="BJ128" s="43">
        <v>0</v>
      </c>
      <c r="BK128" s="43">
        <v>0</v>
      </c>
      <c r="BL128" s="43">
        <v>0</v>
      </c>
      <c r="BM128" s="43">
        <v>0</v>
      </c>
      <c r="BN128" s="43">
        <v>0</v>
      </c>
      <c r="BO128" s="43">
        <v>0</v>
      </c>
      <c r="BP128" s="43">
        <v>0.05</v>
      </c>
      <c r="BQ128" s="63"/>
      <c r="BR128" s="63"/>
      <c r="BS128" s="63"/>
      <c r="BT128" s="63"/>
      <c r="BU128" s="63"/>
      <c r="BV128" s="63"/>
      <c r="BW128" s="63"/>
      <c r="BX128" s="63"/>
      <c r="BY128" s="63"/>
      <c r="BZ128" s="63"/>
      <c r="CA128" s="63"/>
      <c r="CB128" s="63"/>
      <c r="CC128" s="44">
        <f t="shared" si="289"/>
        <v>0</v>
      </c>
      <c r="CD128" s="44"/>
      <c r="CE128" s="44"/>
      <c r="CF128" s="44"/>
      <c r="CG128" s="44"/>
      <c r="CH128" s="44"/>
      <c r="CI128" s="44"/>
      <c r="CJ128" s="44"/>
      <c r="CK128" s="44"/>
      <c r="CL128" s="44"/>
      <c r="CM128" s="44"/>
      <c r="CN128" s="44"/>
      <c r="CO128" s="45"/>
      <c r="CP128" s="45"/>
      <c r="CQ128" s="45"/>
      <c r="CR128" s="45"/>
      <c r="CS128" s="45"/>
      <c r="CT128" s="45"/>
      <c r="CU128" s="45"/>
      <c r="CV128" s="45"/>
      <c r="CW128" s="45"/>
      <c r="CX128" s="45"/>
      <c r="CY128" s="45">
        <f t="shared" si="290"/>
        <v>1</v>
      </c>
      <c r="CZ128" s="45"/>
      <c r="DA128" s="45"/>
      <c r="DB128" s="45"/>
      <c r="DC128" s="45"/>
      <c r="DD128" s="45"/>
      <c r="DE128" s="45"/>
      <c r="DF128" s="45"/>
      <c r="DG128" s="45"/>
      <c r="DH128" s="45"/>
      <c r="DI128" s="45"/>
      <c r="DJ128" s="45"/>
      <c r="DK128" s="45" t="str">
        <f t="shared" si="286"/>
        <v>NS</v>
      </c>
      <c r="DL128" s="45"/>
      <c r="DM128" s="45">
        <f t="shared" ref="DM128:DU128" si="353">CC128/$BP128</f>
        <v>0</v>
      </c>
      <c r="DN128" s="45">
        <f t="shared" si="353"/>
        <v>0</v>
      </c>
      <c r="DO128" s="45">
        <f t="shared" si="353"/>
        <v>0</v>
      </c>
      <c r="DP128" s="45">
        <f t="shared" si="353"/>
        <v>0</v>
      </c>
      <c r="DQ128" s="45">
        <f t="shared" si="353"/>
        <v>0</v>
      </c>
      <c r="DR128" s="45">
        <f t="shared" si="353"/>
        <v>0</v>
      </c>
      <c r="DS128" s="45">
        <f t="shared" si="353"/>
        <v>0</v>
      </c>
      <c r="DT128" s="45">
        <f t="shared" si="353"/>
        <v>0</v>
      </c>
      <c r="DU128" s="45">
        <f t="shared" si="353"/>
        <v>0</v>
      </c>
      <c r="DV128" s="45"/>
      <c r="DW128" s="45"/>
      <c r="DX128" s="45"/>
      <c r="DY128" s="41"/>
      <c r="DZ128" s="41"/>
      <c r="EA128" s="41"/>
      <c r="EB128" s="41"/>
      <c r="EC128" s="41"/>
      <c r="ED128" s="41"/>
      <c r="EE128" s="41"/>
      <c r="EF128" s="41"/>
      <c r="EG128" s="41"/>
      <c r="EH128" s="191"/>
      <c r="EI128" s="229"/>
      <c r="EJ128" s="59"/>
      <c r="EK128" s="229"/>
      <c r="EL128" s="230"/>
      <c r="EM128" s="230"/>
      <c r="EN128" s="222"/>
      <c r="EO128" s="222"/>
      <c r="EP128" s="220"/>
      <c r="EQ128" s="222"/>
      <c r="ER128" s="223"/>
      <c r="ES128" s="220"/>
      <c r="ET128" s="222"/>
      <c r="EU128" s="222"/>
      <c r="EV128" s="220"/>
      <c r="EW128" s="220"/>
      <c r="EX128" s="220"/>
      <c r="EY128" s="220"/>
      <c r="EZ128" s="220"/>
      <c r="FA128" s="222"/>
      <c r="FB128" s="220"/>
      <c r="FC128" s="222"/>
      <c r="FD128" s="220"/>
      <c r="FE128" s="220"/>
      <c r="FF128" s="222"/>
      <c r="FG128" s="222"/>
      <c r="FH128" s="220"/>
      <c r="FI128" s="220"/>
      <c r="FJ128" s="220"/>
      <c r="FK128" s="220"/>
      <c r="FL128" s="215"/>
      <c r="FM128" s="172"/>
      <c r="FN128" s="172" t="s">
        <v>220</v>
      </c>
      <c r="FO128" s="172"/>
      <c r="FP128" s="172"/>
      <c r="FQ128" s="172"/>
      <c r="FR128" s="289" t="s">
        <v>184</v>
      </c>
      <c r="FS128" s="267"/>
      <c r="FT128" s="267"/>
      <c r="FU128" s="48"/>
    </row>
    <row r="129" spans="1:177" s="13" customFormat="1" ht="409.5">
      <c r="A129" s="64" t="s">
        <v>870</v>
      </c>
      <c r="B129" s="48" t="s">
        <v>468</v>
      </c>
      <c r="C129" s="64" t="s">
        <v>206</v>
      </c>
      <c r="D129" s="225" t="s">
        <v>207</v>
      </c>
      <c r="E129" s="48" t="s">
        <v>871</v>
      </c>
      <c r="F129" s="279">
        <v>1</v>
      </c>
      <c r="G129" s="222" t="s">
        <v>872</v>
      </c>
      <c r="H129" s="222" t="s">
        <v>873</v>
      </c>
      <c r="I129" s="222" t="s">
        <v>874</v>
      </c>
      <c r="J129" s="48">
        <v>2024</v>
      </c>
      <c r="K129" s="48">
        <v>2025</v>
      </c>
      <c r="L129" s="48" t="s">
        <v>352</v>
      </c>
      <c r="M129" s="48" t="s">
        <v>875</v>
      </c>
      <c r="N129" s="48" t="s">
        <v>174</v>
      </c>
      <c r="O129" s="63" t="s">
        <v>876</v>
      </c>
      <c r="P129" s="63" t="s">
        <v>458</v>
      </c>
      <c r="Q129" s="214" t="s">
        <v>673</v>
      </c>
      <c r="R129" s="63" t="s">
        <v>877</v>
      </c>
      <c r="S129" s="63" t="str">
        <f t="shared" si="283"/>
        <v>Selesai Implementasi</v>
      </c>
      <c r="T129" s="63" t="str">
        <f t="shared" si="145"/>
        <v>DONE</v>
      </c>
      <c r="U129" s="63" t="str">
        <f t="shared" ref="U129:U149" si="354">FN129</f>
        <v>Rangga Dhaniarto</v>
      </c>
      <c r="V129" s="67">
        <f t="shared" si="285"/>
        <v>0.99999999999999989</v>
      </c>
      <c r="W129" s="66" t="s">
        <v>532</v>
      </c>
      <c r="X129" s="59">
        <f t="shared" ref="X129:X157" si="355">AR129</f>
        <v>45716</v>
      </c>
      <c r="Y129" s="68" t="s">
        <v>381</v>
      </c>
      <c r="Z129" s="48"/>
      <c r="AA129" s="230">
        <v>45160</v>
      </c>
      <c r="AB129" s="59">
        <v>45188</v>
      </c>
      <c r="AC129" s="59">
        <v>45160</v>
      </c>
      <c r="AD129" s="59">
        <v>45188</v>
      </c>
      <c r="AE129" s="59"/>
      <c r="AF129" s="59"/>
      <c r="AG129" s="48"/>
      <c r="AH129" s="48"/>
      <c r="AI129" s="59">
        <v>45628</v>
      </c>
      <c r="AJ129" s="59">
        <v>45632</v>
      </c>
      <c r="AK129" s="59">
        <v>45635</v>
      </c>
      <c r="AL129" s="59">
        <v>45674</v>
      </c>
      <c r="AM129" s="59">
        <v>45677</v>
      </c>
      <c r="AN129" s="59">
        <v>45695</v>
      </c>
      <c r="AO129" s="59">
        <v>45698</v>
      </c>
      <c r="AP129" s="339">
        <v>45709</v>
      </c>
      <c r="AQ129" s="59">
        <v>45712</v>
      </c>
      <c r="AR129" s="59">
        <v>45716</v>
      </c>
      <c r="AS129" s="63" t="str">
        <f t="shared" ref="AS129:AS149" si="356">IF(BE129=0%,"Not Started",IF(BE129&lt;5%,"Proses RBT-RBB",IF(BE129=5%,"Selesai RBT-RBB",IF(BE129&lt;10%,"Proses RBT-RBL",IF(BE129=10%,"Selesai RBT-RBL",IF(BE129&lt;15%,"Proses RBT-RBTD",IF(BE129=15%,"Selesai RBT-RBTD",IF(BE129&lt;20%,"Proses RPP",IF(BE129=20%,"Selesai RPP",IF(BE129&lt;25%,"Proses KAK",IF(BE129=25%,"Selesai KAK",IF(BE129&lt;30%,"Proses Pengadaan",IF(BE129=30%,"Selesai Pengadaan",IF(BE129&lt;45%,"Proses Desain",IF(BE129=45%,"Selesai Desain",IF(BE129&lt;80%,"Proses Pengembangan",IF(BE129=80%,"Selesai Pengembangan",IF(BE129&lt;87.5%,"Proses SIT",IF(BE129=87.5%,"Selesai SIT",IF(BE129&lt;95%,"Proses UAT",IF(BE129=95%,"Selesai UAT",IF(BE129&lt;100%,"Proses Implementasi","Selesai Implementasi"))))))))))))))))))))))</f>
        <v>Selesai Implementasi</v>
      </c>
      <c r="AT129" s="63" t="str">
        <f t="shared" ref="AT129:AT149" si="357">IF(BF129=0%,"Not Started",IF(BF129&lt;5%,"Proses RBT-RBB",IF(BF129=5%,"Selesai RBT-RBB",IF(BF129&lt;10%,"Proses RBT-RBL",IF(BF129=10%,"Selesai RBT-RBL",IF(BF129&lt;15%,"Proses RBT-RBTD",IF(BF129=15%,"Selesai RBT-RBTD",IF(BF129&lt;20%,"Proses RPP",IF(BF129=20%,"Selesai RPP",IF(BF129&lt;25%,"Proses KAK",IF(BF129=25%,"Selesai KAK",IF(BF129&lt;30%,"Proses Pengadaan",IF(BF129=30%,"Selesai Pengadaan",IF(BF129&lt;45%,"Proses Desain",IF(BF129=45%,"Selesai Desain",IF(BF129&lt;80%,"Proses Pengembangan",IF(BF129=80%,"Selesai Pengembangan",IF(BF129&lt;87.5%,"Proses SIT",IF(BF129=87.5%,"Selesai SIT",IF(BF129&lt;95%,"Proses UAT",IF(BF129=95%,"Selesai UAT",IF(BF129&lt;100%,"Proses Implementasi","Selesai Implementasi"))))))))))))))))))))))</f>
        <v>Selesai Implementasi</v>
      </c>
      <c r="AU129" s="63" t="str">
        <f t="shared" ref="AU129:AU149" si="358">IF(BG129=0%,"Not Started",IF(BG129&lt;5%,"Proses RBT-RBB",IF(BG129=5%,"Selesai RBT-RBB",IF(BG129&lt;10%,"Proses RBT-RBL",IF(BG129=10%,"Selesai RBT-RBL",IF(BG129&lt;15%,"Proses RBT-RBTD",IF(BG129=15%,"Selesai RBT-RBTD",IF(BG129&lt;20%,"Proses RPP",IF(BG129=20%,"Selesai RPP",IF(BG129&lt;25%,"Proses KAK",IF(BG129=25%,"Selesai KAK",IF(BG129&lt;30%,"Proses Pengadaan",IF(BG129=30%,"Selesai Pengadaan",IF(BG129&lt;45%,"Proses Desain",IF(BG129=45%,"Selesai Desain",IF(BG129&lt;80%,"Proses Pengembangan",IF(BG129=80%,"Selesai Pengembangan",IF(BG129&lt;87.5%,"Proses SIT",IF(BG129=87.5%,"Selesai SIT",IF(BG129&lt;95%,"Proses UAT",IF(BG129=95%,"Selesai UAT",IF(BG129&lt;100%,"Proses Implementasi","Selesai Implementasi"))))))))))))))))))))))</f>
        <v>Selesai Implementasi</v>
      </c>
      <c r="AV129" s="63" t="str">
        <f t="shared" ref="AV129:AV149" si="359">IF(BH129=0%,"Not Started",IF(BH129&lt;5%,"Proses RBT-RBB",IF(BH129=5%,"Selesai RBT-RBB",IF(BH129&lt;10%,"Proses RBT-RBL",IF(BH129=10%,"Selesai RBT-RBL",IF(BH129&lt;15%,"Proses RBT-RBTD",IF(BH129=15%,"Selesai RBT-RBTD",IF(BH129&lt;20%,"Proses RPP",IF(BH129=20%,"Selesai RPP",IF(BH129&lt;25%,"Proses KAK",IF(BH129=25%,"Selesai KAK",IF(BH129&lt;30%,"Proses Pengadaan",IF(BH129=30%,"Selesai Pengadaan",IF(BH129&lt;45%,"Proses Desain",IF(BH129=45%,"Selesai Desain",IF(BH129&lt;80%,"Proses Pengembangan",IF(BH129=80%,"Selesai Pengembangan",IF(BH129&lt;87.5%,"Proses SIT",IF(BH129=87.5%,"Selesai SIT",IF(BH129&lt;95%,"Proses UAT",IF(BH129=95%,"Selesai UAT",IF(BH129&lt;100%,"Proses Implementasi","Selesai Implementasi"))))))))))))))))))))))</f>
        <v>Selesai Implementasi</v>
      </c>
      <c r="AW129" s="63" t="str">
        <f t="shared" ref="AW129:AW149" si="360">IF(BI129=0%,"Not Started",IF(BI129&lt;5%,"Proses RBT-RBB",IF(BI129=5%,"Selesai RBT-RBB",IF(BI129&lt;10%,"Proses RBT-RBL",IF(BI129=10%,"Selesai RBT-RBL",IF(BI129&lt;15%,"Proses RBT-RBTD",IF(BI129=15%,"Selesai RBT-RBTD",IF(BI129&lt;20%,"Proses RPP",IF(BI129=20%,"Selesai RPP",IF(BI129&lt;25%,"Proses KAK",IF(BI129=25%,"Selesai KAK",IF(BI129&lt;30%,"Proses Pengadaan",IF(BI129=30%,"Selesai Pengadaan",IF(BI129&lt;45%,"Proses Desain",IF(BI129=45%,"Selesai Desain",IF(BI129&lt;80%,"Proses Pengembangan",IF(BI129=80%,"Selesai Pengembangan",IF(BI129&lt;87.5%,"Proses SIT",IF(BI129=87.5%,"Selesai SIT",IF(BI129&lt;95%,"Proses UAT",IF(BI129=95%,"Selesai UAT",IF(BI129&lt;100%,"Proses Implementasi","Selesai Implementasi"))))))))))))))))))))))</f>
        <v>Selesai Implementasi</v>
      </c>
      <c r="AX129" s="63" t="str">
        <f t="shared" ref="AX129:AX149" si="361">IF(BJ129=0%,"Not Started",IF(BJ129&lt;5%,"Proses RBT-RBB",IF(BJ129=5%,"Selesai RBT-RBB",IF(BJ129&lt;10%,"Proses RBT-RBL",IF(BJ129=10%,"Selesai RBT-RBL",IF(BJ129&lt;15%,"Proses RBT-RBTD",IF(BJ129=15%,"Selesai RBT-RBTD",IF(BJ129&lt;20%,"Proses RPP",IF(BJ129=20%,"Selesai RPP",IF(BJ129&lt;25%,"Proses KAK",IF(BJ129=25%,"Selesai KAK",IF(BJ129&lt;30%,"Proses Pengadaan",IF(BJ129=30%,"Selesai Pengadaan",IF(BJ129&lt;45%,"Proses Desain",IF(BJ129=45%,"Selesai Desain",IF(BJ129&lt;80%,"Proses Pengembangan",IF(BJ129=80%,"Selesai Pengembangan",IF(BJ129&lt;87.5%,"Proses SIT",IF(BJ129=87.5%,"Selesai SIT",IF(BJ129&lt;95%,"Proses UAT",IF(BJ129=95%,"Selesai UAT",IF(BJ129&lt;100%,"Proses Implementasi","Selesai Implementasi"))))))))))))))))))))))</f>
        <v>Selesai Implementasi</v>
      </c>
      <c r="AY129" s="63" t="str">
        <f t="shared" ref="AY129:AY149" si="362">IF(BK129=0%,"Not Started",IF(BK129&lt;5%,"Proses RBT-RBB",IF(BK129=5%,"Selesai RBT-RBB",IF(BK129&lt;10%,"Proses RBT-RBL",IF(BK129=10%,"Selesai RBT-RBL",IF(BK129&lt;15%,"Proses RBT-RBTD",IF(BK129=15%,"Selesai RBT-RBTD",IF(BK129&lt;20%,"Proses RPP",IF(BK129=20%,"Selesai RPP",IF(BK129&lt;25%,"Proses KAK",IF(BK129=25%,"Selesai KAK",IF(BK129&lt;30%,"Proses Pengadaan",IF(BK129=30%,"Selesai Pengadaan",IF(BK129&lt;45%,"Proses Desain",IF(BK129=45%,"Selesai Desain",IF(BK129&lt;80%,"Proses Pengembangan",IF(BK129=80%,"Selesai Pengembangan",IF(BK129&lt;87.5%,"Proses SIT",IF(BK129=87.5%,"Selesai SIT",IF(BK129&lt;95%,"Proses UAT",IF(BK129=95%,"Selesai UAT",IF(BK129&lt;100%,"Proses Implementasi","Selesai Implementasi"))))))))))))))))))))))</f>
        <v>Selesai Implementasi</v>
      </c>
      <c r="AZ129" s="63" t="str">
        <f t="shared" ref="AZ129:AZ149" si="363">IF(BL129=0%,"Not Started",IF(BL129&lt;5%,"Proses RBT-RBB",IF(BL129=5%,"Selesai RBT-RBB",IF(BL129&lt;10%,"Proses RBT-RBL",IF(BL129=10%,"Selesai RBT-RBL",IF(BL129&lt;15%,"Proses RBT-RBTD",IF(BL129=15%,"Selesai RBT-RBTD",IF(BL129&lt;20%,"Proses RPP",IF(BL129=20%,"Selesai RPP",IF(BL129&lt;25%,"Proses KAK",IF(BL129=25%,"Selesai KAK",IF(BL129&lt;30%,"Proses Pengadaan",IF(BL129=30%,"Selesai Pengadaan",IF(BL129&lt;45%,"Proses Desain",IF(BL129=45%,"Selesai Desain",IF(BL129&lt;80%,"Proses Pengembangan",IF(BL129=80%,"Selesai Pengembangan",IF(BL129&lt;87.5%,"Proses SIT",IF(BL129=87.5%,"Selesai SIT",IF(BL129&lt;95%,"Proses UAT",IF(BL129=95%,"Selesai UAT",IF(BL129&lt;100%,"Proses Implementasi","Selesai Implementasi"))))))))))))))))))))))</f>
        <v>Selesai Implementasi</v>
      </c>
      <c r="BA129" s="63" t="str">
        <f t="shared" ref="BA129:BA149" si="364">IF(BM129=0%,"Not Started",IF(BM129&lt;5%,"Proses RBT-RBB",IF(BM129=5%,"Selesai RBT-RBB",IF(BM129&lt;10%,"Proses RBT-RBL",IF(BM129=10%,"Selesai RBT-RBL",IF(BM129&lt;15%,"Proses RBT-RBTD",IF(BM129=15%,"Selesai RBT-RBTD",IF(BM129&lt;20%,"Proses RPP",IF(BM129=20%,"Selesai RPP",IF(BM129&lt;25%,"Proses KAK",IF(BM129=25%,"Selesai KAK",IF(BM129&lt;30%,"Proses Pengadaan",IF(BM129=30%,"Selesai Pengadaan",IF(BM129&lt;45%,"Proses Desain",IF(BM129=45%,"Selesai Desain",IF(BM129&lt;80%,"Proses Pengembangan",IF(BM129=80%,"Selesai Pengembangan",IF(BM129&lt;87.5%,"Proses SIT",IF(BM129=87.5%,"Selesai SIT",IF(BM129&lt;95%,"Proses UAT",IF(BM129=95%,"Selesai UAT",IF(BM129&lt;100%,"Proses Implementasi","Selesai Implementasi"))))))))))))))))))))))</f>
        <v>Selesai Implementasi</v>
      </c>
      <c r="BB129" s="63" t="str">
        <f t="shared" ref="BB129:BB149" si="365">IF(BN129=0%,"Not Started",IF(BN129&lt;5%,"Proses RBT-RBB",IF(BN129=5%,"Selesai RBT-RBB",IF(BN129&lt;10%,"Proses RBT-RBL",IF(BN129=10%,"Selesai RBT-RBL",IF(BN129&lt;15%,"Proses RBT-RBTD",IF(BN129=15%,"Selesai RBT-RBTD",IF(BN129&lt;20%,"Proses RPP",IF(BN129=20%,"Selesai RPP",IF(BN129&lt;25%,"Proses KAK",IF(BN129=25%,"Selesai KAK",IF(BN129&lt;30%,"Proses Pengadaan",IF(BN129=30%,"Selesai Pengadaan",IF(BN129&lt;45%,"Proses Desain",IF(BN129=45%,"Selesai Desain",IF(BN129&lt;80%,"Proses Pengembangan",IF(BN129=80%,"Selesai Pengembangan",IF(BN129&lt;87.5%,"Proses SIT",IF(BN129=87.5%,"Selesai SIT",IF(BN129&lt;95%,"Proses UAT",IF(BN129=95%,"Selesai UAT",IF(BN129&lt;100%,"Proses Implementasi","Selesai Implementasi"))))))))))))))))))))))</f>
        <v>Selesai Implementasi</v>
      </c>
      <c r="BC129" s="63" t="str">
        <f t="shared" si="288"/>
        <v>Selesai Implementasi</v>
      </c>
      <c r="BD129" s="63" t="str">
        <f t="shared" ref="BD129:BD149" si="366">IF(BP129=0%,"Not Started",IF(BP129&lt;5%,"Proses RBT-RBB",IF(BP129=5%,"Selesai RBT-RBB",IF(BP129&lt;10%,"Proses RBT-RBL",IF(BP129=10%,"Selesai RBT-RBL",IF(BP129&lt;15%,"Proses RBT-RBTD",IF(BP129=15%,"Selesai RBT-RBTD",IF(BP129&lt;20%,"Proses RPP",IF(BP129=20%,"Selesai RPP",IF(BP129&lt;25%,"Proses KAK",IF(BP129=25%,"Selesai KAK",IF(BP129&lt;30%,"Proses Pengadaan",IF(BP129=30%,"Selesai Pengadaan",IF(BP129&lt;45%,"Proses Desain",IF(BP129=45%,"Selesai Desain",IF(BP129&lt;80%,"Proses Pengembangan",IF(BP129=80%,"Selesai Pengembangan",IF(BP129&lt;87.5%,"Proses SIT",IF(BP129=87.5%,"Selesai SIT",IF(BP129&lt;95%,"Proses UAT",IF(BP129=95%,"Selesai UAT",IF(BP129&lt;100%,"Proses Implementasi","Selesai Implementasi"))))))))))))))))))))))</f>
        <v>Selesai Implementasi</v>
      </c>
      <c r="BE129" s="351">
        <v>1</v>
      </c>
      <c r="BF129" s="351">
        <v>1</v>
      </c>
      <c r="BG129" s="351">
        <v>1</v>
      </c>
      <c r="BH129" s="351">
        <v>1</v>
      </c>
      <c r="BI129" s="351">
        <v>1</v>
      </c>
      <c r="BJ129" s="351">
        <v>1</v>
      </c>
      <c r="BK129" s="351">
        <v>1</v>
      </c>
      <c r="BL129" s="351">
        <v>1</v>
      </c>
      <c r="BM129" s="351">
        <v>1</v>
      </c>
      <c r="BN129" s="351">
        <v>1</v>
      </c>
      <c r="BO129" s="351">
        <v>1</v>
      </c>
      <c r="BP129" s="351">
        <v>1</v>
      </c>
      <c r="BQ129" s="63" t="str">
        <f t="shared" ref="BQ129:BQ149" si="367">IF(CC129=0%,"Not Started",IF(CC129&lt;5%,"Proses RBT-RBB",IF(CC129=5%,"Selesai RBT-RBB",IF(CC129&lt;10%,"Proses RBT-RBL",IF(CC129=10%,"Selesai RBT-RBL",IF(CC129&lt;15%,"Proses RBT-RBTD",IF(CC129=15%,"Selesai RBT-RBTD",IF(CC129&lt;20%,"Proses RPP",IF(CC129=20%,"Selesai RPP",IF(CC129&lt;25%,"Proses KAK",IF(CC129=25%,"Selesai KAK",IF(CC129&lt;30%,"Proses Pengadaan",IF(CC129=30%,"Selesai Pengadaan",IF(CC129&lt;45%,"Proses Desain",IF(CC129=45%,"Selesai Desain",IF(CC129&lt;80%,"Proses Pengembangan",IF(CC129=80%,"Selesai Pengembangan",IF(CC129&lt;87.5%,"Proses SIT",IF(CC129=87.5%,"Selesai SIT",IF(CC129&lt;95%,"Proses UAT",IF(CC129=95%,"Selesai UAT",IF(CC129&lt;100%,"Proses Implementasi","Selesai Implementasi"))))))))))))))))))))))</f>
        <v>Selesai Implementasi</v>
      </c>
      <c r="BR129" s="63" t="str">
        <f t="shared" ref="BR129:BR149" si="368">IF(CD129=0%,"Not Started",IF(CD129&lt;5%,"Proses RBT-RBB",IF(CD129=5%,"Selesai RBT-RBB",IF(CD129&lt;10%,"Proses RBT-RBL",IF(CD129=10%,"Selesai RBT-RBL",IF(CD129&lt;15%,"Proses RBT-RBTD",IF(CD129=15%,"Selesai RBT-RBTD",IF(CD129&lt;20%,"Proses RPP",IF(CD129=20%,"Selesai RPP",IF(CD129&lt;25%,"Proses KAK",IF(CD129=25%,"Selesai KAK",IF(CD129&lt;30%,"Proses Pengadaan",IF(CD129=30%,"Selesai Pengadaan",IF(CD129&lt;45%,"Proses Desain",IF(CD129=45%,"Selesai Desain",IF(CD129&lt;80%,"Proses Pengembangan",IF(CD129=80%,"Selesai Pengembangan",IF(CD129&lt;87.5%,"Proses SIT",IF(CD129=87.5%,"Selesai SIT",IF(CD129&lt;95%,"Proses UAT",IF(CD129=95%,"Selesai UAT",IF(CD129&lt;100%,"Proses Implementasi","Selesai Implementasi"))))))))))))))))))))))</f>
        <v>Not Started</v>
      </c>
      <c r="BS129" s="63" t="str">
        <f t="shared" ref="BS129:BS149" si="369">IF(CE129=0%,"Not Started",IF(CE129&lt;5%,"Proses RBT-RBB",IF(CE129=5%,"Selesai RBT-RBB",IF(CE129&lt;10%,"Proses RBT-RBL",IF(CE129=10%,"Selesai RBT-RBL",IF(CE129&lt;15%,"Proses RBT-RBTD",IF(CE129=15%,"Selesai RBT-RBTD",IF(CE129&lt;20%,"Proses RPP",IF(CE129=20%,"Selesai RPP",IF(CE129&lt;25%,"Proses KAK",IF(CE129=25%,"Selesai KAK",IF(CE129&lt;30%,"Proses Pengadaan",IF(CE129=30%,"Selesai Pengadaan",IF(CE129&lt;45%,"Proses Desain",IF(CE129=45%,"Selesai Desain",IF(CE129&lt;80%,"Proses Pengembangan",IF(CE129=80%,"Selesai Pengembangan",IF(CE129&lt;87.5%,"Proses SIT",IF(CE129=87.5%,"Selesai SIT",IF(CE129&lt;95%,"Proses UAT",IF(CE129=95%,"Selesai UAT",IF(CE129&lt;100%,"Proses Implementasi","Selesai Implementasi"))))))))))))))))))))))</f>
        <v>Not Started</v>
      </c>
      <c r="BT129" s="63" t="str">
        <f t="shared" ref="BT129:BT149" si="370">IF(CF129=0%,"Not Started",IF(CF129&lt;5%,"Proses RBT-RBB",IF(CF129=5%,"Selesai RBT-RBB",IF(CF129&lt;10%,"Proses RBT-RBL",IF(CF129=10%,"Selesai RBT-RBL",IF(CF129&lt;15%,"Proses RBT-RBTD",IF(CF129=15%,"Selesai RBT-RBTD",IF(CF129&lt;20%,"Proses RPP",IF(CF129=20%,"Selesai RPP",IF(CF129&lt;25%,"Proses KAK",IF(CF129=25%,"Selesai KAK",IF(CF129&lt;30%,"Proses Pengadaan",IF(CF129=30%,"Selesai Pengadaan",IF(CF129&lt;45%,"Proses Desain",IF(CF129=45%,"Selesai Desain",IF(CF129&lt;80%,"Proses Pengembangan",IF(CF129=80%,"Selesai Pengembangan",IF(CF129&lt;87.5%,"Proses SIT",IF(CF129=87.5%,"Selesai SIT",IF(CF129&lt;95%,"Proses UAT",IF(CF129=95%,"Selesai UAT",IF(CF129&lt;100%,"Proses Implementasi","Selesai Implementasi"))))))))))))))))))))))</f>
        <v>Not Started</v>
      </c>
      <c r="BU129" s="63" t="str">
        <f t="shared" ref="BU129:BU149" si="371">IF(CG129=0%,"Not Started",IF(CG129&lt;5%,"Proses RBT-RBB",IF(CG129=5%,"Selesai RBT-RBB",IF(CG129&lt;10%,"Proses RBT-RBL",IF(CG129=10%,"Selesai RBT-RBL",IF(CG129&lt;15%,"Proses RBT-RBTD",IF(CG129=15%,"Selesai RBT-RBTD",IF(CG129&lt;20%,"Proses RPP",IF(CG129=20%,"Selesai RPP",IF(CG129&lt;25%,"Proses KAK",IF(CG129=25%,"Selesai KAK",IF(CG129&lt;30%,"Proses Pengadaan",IF(CG129=30%,"Selesai Pengadaan",IF(CG129&lt;45%,"Proses Desain",IF(CG129=45%,"Selesai Desain",IF(CG129&lt;80%,"Proses Pengembangan",IF(CG129=80%,"Selesai Pengembangan",IF(CG129&lt;87.5%,"Proses SIT",IF(CG129=87.5%,"Selesai SIT",IF(CG129&lt;95%,"Proses UAT",IF(CG129=95%,"Selesai UAT",IF(CG129&lt;100%,"Proses Implementasi","Selesai Implementasi"))))))))))))))))))))))</f>
        <v>Not Started</v>
      </c>
      <c r="BV129" s="63" t="str">
        <f t="shared" ref="BV129:BV149" si="372">IF(CH129=0%,"Not Started",IF(CH129&lt;5%,"Proses RBT-RBB",IF(CH129=5%,"Selesai RBT-RBB",IF(CH129&lt;10%,"Proses RBT-RBL",IF(CH129=10%,"Selesai RBT-RBL",IF(CH129&lt;15%,"Proses RBT-RBTD",IF(CH129=15%,"Selesai RBT-RBTD",IF(CH129&lt;20%,"Proses RPP",IF(CH129=20%,"Selesai RPP",IF(CH129&lt;25%,"Proses KAK",IF(CH129=25%,"Selesai KAK",IF(CH129&lt;30%,"Proses Pengadaan",IF(CH129=30%,"Selesai Pengadaan",IF(CH129&lt;45%,"Proses Desain",IF(CH129=45%,"Selesai Desain",IF(CH129&lt;80%,"Proses Pengembangan",IF(CH129=80%,"Selesai Pengembangan",IF(CH129&lt;87.5%,"Proses SIT",IF(CH129=87.5%,"Selesai SIT",IF(CH129&lt;95%,"Proses UAT",IF(CH129=95%,"Selesai UAT",IF(CH129&lt;100%,"Proses Implementasi","Selesai Implementasi"))))))))))))))))))))))</f>
        <v>Not Started</v>
      </c>
      <c r="BW129" s="63" t="str">
        <f t="shared" ref="BW129:BW149" si="373">IF(CI129=0%,"Not Started",IF(CI129&lt;5%,"Proses RBT-RBB",IF(CI129=5%,"Selesai RBT-RBB",IF(CI129&lt;10%,"Proses RBT-RBL",IF(CI129=10%,"Selesai RBT-RBL",IF(CI129&lt;15%,"Proses RBT-RBTD",IF(CI129=15%,"Selesai RBT-RBTD",IF(CI129&lt;20%,"Proses RPP",IF(CI129=20%,"Selesai RPP",IF(CI129&lt;25%,"Proses KAK",IF(CI129=25%,"Selesai KAK",IF(CI129&lt;30%,"Proses Pengadaan",IF(CI129=30%,"Selesai Pengadaan",IF(CI129&lt;45%,"Proses Desain",IF(CI129=45%,"Selesai Desain",IF(CI129&lt;80%,"Proses Pengembangan",IF(CI129=80%,"Selesai Pengembangan",IF(CI129&lt;87.5%,"Proses SIT",IF(CI129=87.5%,"Selesai SIT",IF(CI129&lt;95%,"Proses UAT",IF(CI129=95%,"Selesai UAT",IF(CI129&lt;100%,"Proses Implementasi","Selesai Implementasi"))))))))))))))))))))))</f>
        <v>Not Started</v>
      </c>
      <c r="BX129" s="63" t="str">
        <f t="shared" ref="BX129:BX149" si="374">IF(CJ129=0%,"Not Started",IF(CJ129&lt;5%,"Proses RBT-RBB",IF(CJ129=5%,"Selesai RBT-RBB",IF(CJ129&lt;10%,"Proses RBT-RBL",IF(CJ129=10%,"Selesai RBT-RBL",IF(CJ129&lt;15%,"Proses RBT-RBTD",IF(CJ129=15%,"Selesai RBT-RBTD",IF(CJ129&lt;20%,"Proses RPP",IF(CJ129=20%,"Selesai RPP",IF(CJ129&lt;25%,"Proses KAK",IF(CJ129=25%,"Selesai KAK",IF(CJ129&lt;30%,"Proses Pengadaan",IF(CJ129=30%,"Selesai Pengadaan",IF(CJ129&lt;45%,"Proses Desain",IF(CJ129=45%,"Selesai Desain",IF(CJ129&lt;80%,"Proses Pengembangan",IF(CJ129=80%,"Selesai Pengembangan",IF(CJ129&lt;87.5%,"Proses SIT",IF(CJ129=87.5%,"Selesai SIT",IF(CJ129&lt;95%,"Proses UAT",IF(CJ129=95%,"Selesai UAT",IF(CJ129&lt;100%,"Proses Implementasi","Selesai Implementasi"))))))))))))))))))))))</f>
        <v>Not Started</v>
      </c>
      <c r="BY129" s="63" t="str">
        <f t="shared" ref="BY129:BY149" si="375">IF(CK129=0%,"Not Started",IF(CK129&lt;5%,"Proses RBT-RBB",IF(CK129=5%,"Selesai RBT-RBB",IF(CK129&lt;10%,"Proses RBT-RBL",IF(CK129=10%,"Selesai RBT-RBL",IF(CK129&lt;15%,"Proses RBT-RBTD",IF(CK129=15%,"Selesai RBT-RBTD",IF(CK129&lt;20%,"Proses RPP",IF(CK129=20%,"Selesai RPP",IF(CK129&lt;25%,"Proses KAK",IF(CK129=25%,"Selesai KAK",IF(CK129&lt;30%,"Proses Pengadaan",IF(CK129=30%,"Selesai Pengadaan",IF(CK129&lt;45%,"Proses Desain",IF(CK129=45%,"Selesai Desain",IF(CK129&lt;80%,"Proses Pengembangan",IF(CK129=80%,"Selesai Pengembangan",IF(CK129&lt;87.5%,"Proses SIT",IF(CK129=87.5%,"Selesai SIT",IF(CK129&lt;95%,"Proses UAT",IF(CK129=95%,"Selesai UAT",IF(CK129&lt;100%,"Proses Implementasi","Selesai Implementasi"))))))))))))))))))))))</f>
        <v>Not Started</v>
      </c>
      <c r="BZ129" s="63" t="str">
        <f t="shared" ref="BZ129:BZ149" si="376">IF(CL129=0%,"Not Started",IF(CL129&lt;5%,"Proses RBT-RBB",IF(CL129=5%,"Selesai RBT-RBB",IF(CL129&lt;10%,"Proses RBT-RBL",IF(CL129=10%,"Selesai RBT-RBL",IF(CL129&lt;15%,"Proses RBT-RBTD",IF(CL129=15%,"Selesai RBT-RBTD",IF(CL129&lt;20%,"Proses RPP",IF(CL129=20%,"Selesai RPP",IF(CL129&lt;25%,"Proses KAK",IF(CL129=25%,"Selesai KAK",IF(CL129&lt;30%,"Proses Pengadaan",IF(CL129=30%,"Selesai Pengadaan",IF(CL129&lt;45%,"Proses Desain",IF(CL129=45%,"Selesai Desain",IF(CL129&lt;80%,"Proses Pengembangan",IF(CL129=80%,"Selesai Pengembangan",IF(CL129&lt;87.5%,"Proses SIT",IF(CL129=87.5%,"Selesai SIT",IF(CL129&lt;95%,"Proses UAT",IF(CL129=95%,"Selesai UAT",IF(CL129&lt;100%,"Proses Implementasi","Selesai Implementasi"))))))))))))))))))))))</f>
        <v>Not Started</v>
      </c>
      <c r="CA129" s="63" t="str">
        <f t="shared" ref="CA129:CA149" si="377">IF(CM129=0%,"Not Started",IF(CM129&lt;5%,"Proses RBT-RBB",IF(CM129=5%,"Selesai RBT-RBB",IF(CM129&lt;10%,"Proses RBT-RBL",IF(CM129=10%,"Selesai RBT-RBL",IF(CM129&lt;15%,"Proses RBT-RBTD",IF(CM129=15%,"Selesai RBT-RBTD",IF(CM129&lt;20%,"Proses RPP",IF(CM129=20%,"Selesai RPP",IF(CM129&lt;25%,"Proses KAK",IF(CM129=25%,"Selesai KAK",IF(CM129&lt;30%,"Proses Pengadaan",IF(CM129=30%,"Selesai Pengadaan",IF(CM129&lt;45%,"Proses Desain",IF(CM129=45%,"Selesai Desain",IF(CM129&lt;80%,"Proses Pengembangan",IF(CM129=80%,"Selesai Pengembangan",IF(CM129&lt;87.5%,"Proses SIT",IF(CM129=87.5%,"Selesai SIT",IF(CM129&lt;95%,"Proses UAT",IF(CM129=95%,"Selesai UAT",IF(CM129&lt;100%,"Proses Implementasi","Selesai Implementasi"))))))))))))))))))))))</f>
        <v>Not Started</v>
      </c>
      <c r="CB129" s="63" t="str">
        <f t="shared" ref="CB129:CB149" si="378">IF(CN129=0%,"Not Started",IF(CN129&lt;5%,"Proses RBT-RBB",IF(CN129=5%,"Selesai RBT-RBB",IF(CN129&lt;10%,"Proses RBT-RBL",IF(CN129=10%,"Selesai RBT-RBL",IF(CN129&lt;15%,"Proses RBT-RBTD",IF(CN129=15%,"Selesai RBT-RBTD",IF(CN129&lt;20%,"Proses RPP",IF(CN129=20%,"Selesai RPP",IF(CN129&lt;25%,"Proses KAK",IF(CN129=25%,"Selesai KAK",IF(CN129&lt;30%,"Proses Pengadaan",IF(CN129=30%,"Selesai Pengadaan",IF(CN129&lt;45%,"Proses Desain",IF(CN129=45%,"Selesai Desain",IF(CN129&lt;80%,"Proses Pengembangan",IF(CN129=80%,"Selesai Pengembangan",IF(CN129&lt;87.5%,"Proses SIT",IF(CN129=87.5%,"Selesai SIT",IF(CN129&lt;95%,"Proses UAT",IF(CN129=95%,"Selesai UAT",IF(CN129&lt;100%,"Proses Implementasi","Selesai Implementasi"))))))))))))))))))))))</f>
        <v>Not Started</v>
      </c>
      <c r="CC129" s="44">
        <f t="shared" si="289"/>
        <v>0.99999999999999989</v>
      </c>
      <c r="CD129" s="44"/>
      <c r="CE129" s="44"/>
      <c r="CF129" s="44"/>
      <c r="CG129" s="44"/>
      <c r="CH129" s="44"/>
      <c r="CI129" s="44"/>
      <c r="CJ129" s="44"/>
      <c r="CK129" s="44"/>
      <c r="CL129" s="44"/>
      <c r="CM129" s="44"/>
      <c r="CN129" s="44"/>
      <c r="CO129" s="45">
        <f t="shared" ref="CO129:CO149" si="379">IF(BE129=0%, 100%, (CC129/BE129))</f>
        <v>0.99999999999999989</v>
      </c>
      <c r="CP129" s="45">
        <f t="shared" ref="CP129:CP149" si="380">IF(BF129=0%, 100%, (CD129/BF129))</f>
        <v>0</v>
      </c>
      <c r="CQ129" s="45">
        <f t="shared" ref="CQ129:CQ149" si="381">IF(BG129=0%, 100%, (CE129/BG129))</f>
        <v>0</v>
      </c>
      <c r="CR129" s="45">
        <f t="shared" ref="CR129:CR149" si="382">IF(BH129=0%, 100%, (CF129/BH129))</f>
        <v>0</v>
      </c>
      <c r="CS129" s="45">
        <f t="shared" ref="CS129:CS149" si="383">IF(BI129=0%, 100%, (CG129/BI129))</f>
        <v>0</v>
      </c>
      <c r="CT129" s="45">
        <f t="shared" ref="CT129:CT149" si="384">IF(BJ129=0%, 100%, (CH129/BJ129))</f>
        <v>0</v>
      </c>
      <c r="CU129" s="45">
        <f t="shared" ref="CU129:CU149" si="385">IF(BK129=0%, 100%, (CI129/BK129))</f>
        <v>0</v>
      </c>
      <c r="CV129" s="45">
        <f t="shared" ref="CV129:CV149" si="386">IF(BL129=0%, 100%, (CJ129/BL129))</f>
        <v>0</v>
      </c>
      <c r="CW129" s="45">
        <f t="shared" ref="CW129:CW149" si="387">IF(BM129=0%, 100%, (CK129/BM129))</f>
        <v>0</v>
      </c>
      <c r="CX129" s="45">
        <f t="shared" ref="CX129:CX149" si="388">IF(BN129=0%, 100%, (CL129/BN129))</f>
        <v>0</v>
      </c>
      <c r="CY129" s="45">
        <f t="shared" si="290"/>
        <v>0</v>
      </c>
      <c r="CZ129" s="45"/>
      <c r="DA129" s="45" t="str">
        <f t="shared" ref="DA129:DA149" si="389">IF(BE129=0%,"NS",IF(CC129=100%,"DONE",IF(CO129&gt;100%,"AS",IF(CO129&lt;75%,"BS",IF(CO129&lt;89.9%,"AR","OS")))))</f>
        <v>DONE</v>
      </c>
      <c r="DB129" s="45" t="str">
        <f t="shared" ref="DB129:DB149" si="390">IF(BF129=0%,"NS",IF(CD129=100%,"DONE",IF(CP129&gt;100%,"AS",IF(CP129&lt;75%,"BS",IF(CP129&lt;89.9%,"AR","OS")))))</f>
        <v>BS</v>
      </c>
      <c r="DC129" s="45" t="str">
        <f t="shared" ref="DC129:DC149" si="391">IF(BG129=0%,"NS",IF(CE129=100%,"DONE",IF(CQ129&gt;100%,"AS",IF(CQ129&lt;75%,"BS",IF(CQ129&lt;89.9%,"AR","OS")))))</f>
        <v>BS</v>
      </c>
      <c r="DD129" s="45" t="str">
        <f t="shared" ref="DD129:DD149" si="392">IF(BH129=0%,"NS",IF(CF129=100%,"DONE",IF(CR129&gt;100%,"AS",IF(CR129&lt;75%,"BS",IF(CR129&lt;89.9%,"AR","OS")))))</f>
        <v>BS</v>
      </c>
      <c r="DE129" s="45" t="str">
        <f t="shared" ref="DE129:DE149" si="393">IF(BI129=0%,"NS",IF(CG129=100%,"DONE",IF(CS129&gt;100%,"AS",IF(CS129&lt;75%,"BS",IF(CS129&lt;89.9%,"AR","OS")))))</f>
        <v>BS</v>
      </c>
      <c r="DF129" s="45" t="str">
        <f t="shared" ref="DF129:DF149" si="394">IF(BJ129=0%,"NS",IF(CH129=100%,"DONE",IF(CT129&gt;100%,"AS",IF(CT129&lt;75%,"BS",IF(CT129&lt;89.9%,"AR","OS")))))</f>
        <v>BS</v>
      </c>
      <c r="DG129" s="45" t="str">
        <f t="shared" ref="DG129:DG149" si="395">IF(BK129=0%,"NS",IF(CI129=100%,"DONE",IF(CU129&gt;100%,"AS",IF(CU129&lt;75%,"BS",IF(CU129&lt;89.9%,"AR","OS")))))</f>
        <v>BS</v>
      </c>
      <c r="DH129" s="45" t="str">
        <f t="shared" ref="DH129:DH149" si="396">IF(BL129=0%,"NS",IF(CJ129=100%,"DONE",IF(CV129&gt;100%,"AS",IF(CV129&lt;75%,"BS",IF(CV129&lt;89.9%,"AR","OS")))))</f>
        <v>BS</v>
      </c>
      <c r="DI129" s="45" t="str">
        <f t="shared" ref="DI129:DI149" si="397">IF(BM129=0%,"NS",IF(CK129=100%,"DONE",IF(CW129&gt;100%,"AS",IF(CW129&lt;75%,"BS",IF(CW129&lt;89.9%,"AR","OS")))))</f>
        <v>BS</v>
      </c>
      <c r="DJ129" s="45" t="str">
        <f t="shared" ref="DJ129:DJ149" si="398">IF(BN129=0%,"NS",IF(CL129=100%,"DONE",IF(CX129&gt;100%,"AS",IF(CX129&lt;75%,"BS",IF(CX129&lt;89.9%,"AR","OS")))))</f>
        <v>BS</v>
      </c>
      <c r="DK129" s="45" t="str">
        <f t="shared" si="286"/>
        <v>BS</v>
      </c>
      <c r="DL129" s="45" t="str">
        <f t="shared" ref="DL129:DL149" si="399">IF(BP129=0%,"NS",IF(CN129=100%,"DONE",IF(CZ129&gt;100%,"AS",IF(CZ129&lt;75%,"BS",IF(CZ129&lt;89.9%,"AR","OS")))))</f>
        <v>BS</v>
      </c>
      <c r="DM129" s="45">
        <f t="shared" ref="DM129:DM149" si="400">CC129/$BP129</f>
        <v>0.99999999999999989</v>
      </c>
      <c r="DN129" s="45">
        <f t="shared" ref="DN129:DN149" si="401">CD129/$BP129</f>
        <v>0</v>
      </c>
      <c r="DO129" s="45">
        <f t="shared" ref="DO129:DO149" si="402">CE129/$BP129</f>
        <v>0</v>
      </c>
      <c r="DP129" s="45">
        <f t="shared" ref="DP129:DP149" si="403">CF129/$BP129</f>
        <v>0</v>
      </c>
      <c r="DQ129" s="45">
        <f t="shared" ref="DQ129:DQ149" si="404">CG129/$BP129</f>
        <v>0</v>
      </c>
      <c r="DR129" s="45">
        <f t="shared" ref="DR129:DR149" si="405">CH129/$BP129</f>
        <v>0</v>
      </c>
      <c r="DS129" s="45">
        <f t="shared" ref="DS129:DS149" si="406">CI129/$BP129</f>
        <v>0</v>
      </c>
      <c r="DT129" s="45">
        <f t="shared" ref="DT129:DT149" si="407">CJ129/$BP129</f>
        <v>0</v>
      </c>
      <c r="DU129" s="45">
        <f t="shared" ref="DU129:DU149" si="408">CK129/$BP129</f>
        <v>0</v>
      </c>
      <c r="DV129" s="45">
        <f t="shared" ref="DV129:DV149" si="409">CL129/$BP129</f>
        <v>0</v>
      </c>
      <c r="DW129" s="45">
        <f t="shared" ref="DW129:DW149" si="410">CM129/$BP129</f>
        <v>0</v>
      </c>
      <c r="DX129" s="45">
        <f t="shared" ref="DX129:DX149" si="411">CN129/$BP129</f>
        <v>0</v>
      </c>
      <c r="DY129" s="46">
        <v>1</v>
      </c>
      <c r="DZ129" s="46">
        <v>1</v>
      </c>
      <c r="EA129" s="41">
        <v>1</v>
      </c>
      <c r="EB129" s="41">
        <v>1</v>
      </c>
      <c r="EC129" s="41">
        <v>1</v>
      </c>
      <c r="ED129" s="41">
        <v>1</v>
      </c>
      <c r="EE129" s="41">
        <v>1</v>
      </c>
      <c r="EF129" s="41">
        <v>1</v>
      </c>
      <c r="EG129" s="41">
        <v>1</v>
      </c>
      <c r="EH129" s="75" t="s">
        <v>878</v>
      </c>
      <c r="EI129" s="59">
        <v>45715</v>
      </c>
      <c r="EJ129" s="59">
        <f t="shared" ref="EJ129:EJ157" si="412">AR129</f>
        <v>45716</v>
      </c>
      <c r="EK129" s="229"/>
      <c r="EL129" s="59">
        <v>45622</v>
      </c>
      <c r="EM129" s="230"/>
      <c r="EN129" s="231" t="s">
        <v>879</v>
      </c>
      <c r="EO129" s="222"/>
      <c r="EP129" s="220"/>
      <c r="EQ129" s="222"/>
      <c r="ER129" s="223"/>
      <c r="ES129" s="220"/>
      <c r="ET129" s="222"/>
      <c r="EU129" s="222"/>
      <c r="EV129" s="220"/>
      <c r="EW129" s="220"/>
      <c r="EX129" s="220"/>
      <c r="EY129" s="220"/>
      <c r="EZ129" s="220"/>
      <c r="FA129" s="220"/>
      <c r="FB129" s="220"/>
      <c r="FC129" s="222"/>
      <c r="FD129" s="220"/>
      <c r="FE129" s="220"/>
      <c r="FF129" s="222"/>
      <c r="FG129" s="222"/>
      <c r="FH129" s="220"/>
      <c r="FI129" s="220"/>
      <c r="FJ129" s="220"/>
      <c r="FK129" s="220"/>
      <c r="FL129" s="215"/>
      <c r="FM129" s="172" t="s">
        <v>749</v>
      </c>
      <c r="FN129" s="619" t="s">
        <v>563</v>
      </c>
      <c r="FO129" s="232"/>
      <c r="FP129" s="232" t="s">
        <v>686</v>
      </c>
      <c r="FQ129" s="232"/>
      <c r="FR129" s="313" t="s">
        <v>184</v>
      </c>
      <c r="FS129" s="314" t="s">
        <v>677</v>
      </c>
      <c r="FT129" s="314" t="s">
        <v>1505</v>
      </c>
      <c r="FU129" s="294">
        <v>6</v>
      </c>
    </row>
    <row r="130" spans="1:177" s="13" customFormat="1" ht="112">
      <c r="A130" s="64"/>
      <c r="B130" s="48" t="s">
        <v>468</v>
      </c>
      <c r="C130" s="64" t="s">
        <v>206</v>
      </c>
      <c r="D130" s="225" t="s">
        <v>207</v>
      </c>
      <c r="E130" s="48" t="s">
        <v>871</v>
      </c>
      <c r="F130" s="507"/>
      <c r="G130" s="222" t="s">
        <v>872</v>
      </c>
      <c r="H130" s="222" t="s">
        <v>873</v>
      </c>
      <c r="I130" s="213" t="s">
        <v>880</v>
      </c>
      <c r="J130" s="48">
        <v>2025</v>
      </c>
      <c r="K130" s="48">
        <v>2027</v>
      </c>
      <c r="L130" s="48" t="s">
        <v>352</v>
      </c>
      <c r="M130" s="48" t="s">
        <v>875</v>
      </c>
      <c r="N130" s="48" t="s">
        <v>174</v>
      </c>
      <c r="O130" s="63" t="s">
        <v>876</v>
      </c>
      <c r="P130" s="63" t="s">
        <v>458</v>
      </c>
      <c r="Q130" s="48" t="s">
        <v>673</v>
      </c>
      <c r="R130" s="48" t="s">
        <v>881</v>
      </c>
      <c r="S130" s="63" t="str">
        <f t="shared" si="283"/>
        <v>Proses RBT-RBTD</v>
      </c>
      <c r="T130" s="63" t="str">
        <f t="shared" si="145"/>
        <v>On Progress</v>
      </c>
      <c r="U130" s="63" t="str">
        <f t="shared" si="354"/>
        <v>Rangga Dhaniarto</v>
      </c>
      <c r="V130" s="67">
        <f t="shared" si="285"/>
        <v>0.105</v>
      </c>
      <c r="W130" s="66" t="s">
        <v>260</v>
      </c>
      <c r="X130" s="59">
        <f t="shared" si="355"/>
        <v>46537</v>
      </c>
      <c r="Y130" s="68"/>
      <c r="Z130" s="48"/>
      <c r="AA130" s="59">
        <v>45931</v>
      </c>
      <c r="AB130" s="59">
        <v>46081</v>
      </c>
      <c r="AC130" s="59">
        <v>46082</v>
      </c>
      <c r="AD130" s="59">
        <v>46112</v>
      </c>
      <c r="AE130" s="59">
        <v>46113</v>
      </c>
      <c r="AF130" s="59">
        <v>46142</v>
      </c>
      <c r="AG130" s="48"/>
      <c r="AH130" s="48"/>
      <c r="AI130" s="59">
        <v>46143</v>
      </c>
      <c r="AJ130" s="59">
        <v>46172</v>
      </c>
      <c r="AK130" s="59">
        <v>46174</v>
      </c>
      <c r="AL130" s="59">
        <v>46356</v>
      </c>
      <c r="AM130" s="59">
        <v>46357</v>
      </c>
      <c r="AN130" s="59">
        <v>46402</v>
      </c>
      <c r="AO130" s="59">
        <v>46403</v>
      </c>
      <c r="AP130" s="339">
        <v>46507</v>
      </c>
      <c r="AQ130" s="59">
        <v>46508</v>
      </c>
      <c r="AR130" s="339">
        <v>46537</v>
      </c>
      <c r="AS130" s="63" t="str">
        <f t="shared" si="356"/>
        <v>Proses RBT-RBTD</v>
      </c>
      <c r="AT130" s="63" t="str">
        <f t="shared" si="357"/>
        <v>Selesai RBT-RBTD</v>
      </c>
      <c r="AU130" s="63" t="str">
        <f t="shared" si="358"/>
        <v>Selesai RPP</v>
      </c>
      <c r="AV130" s="63" t="str">
        <f t="shared" si="359"/>
        <v>Selesai Pengadaan</v>
      </c>
      <c r="AW130" s="63" t="str">
        <f t="shared" si="360"/>
        <v>Selesai Desain</v>
      </c>
      <c r="AX130" s="63" t="str">
        <f t="shared" si="361"/>
        <v>Proses Pengembangan</v>
      </c>
      <c r="AY130" s="63" t="str">
        <f t="shared" si="362"/>
        <v>Proses Pengembangan</v>
      </c>
      <c r="AZ130" s="63" t="str">
        <f t="shared" si="363"/>
        <v>Proses Pengembangan</v>
      </c>
      <c r="BA130" s="63" t="str">
        <f t="shared" si="364"/>
        <v>Proses Pengembangan</v>
      </c>
      <c r="BB130" s="63" t="str">
        <f t="shared" si="365"/>
        <v>Proses Pengembangan</v>
      </c>
      <c r="BC130" s="63" t="str">
        <f t="shared" si="288"/>
        <v>Selesai Pengembangan</v>
      </c>
      <c r="BD130" s="63" t="str">
        <f t="shared" si="366"/>
        <v>Proses SIT</v>
      </c>
      <c r="BE130" s="351">
        <v>0.12</v>
      </c>
      <c r="BF130" s="43">
        <v>0.15</v>
      </c>
      <c r="BG130" s="43">
        <v>0.2</v>
      </c>
      <c r="BH130" s="43">
        <v>0.3</v>
      </c>
      <c r="BI130" s="43">
        <v>0.45</v>
      </c>
      <c r="BJ130" s="43">
        <v>0.51</v>
      </c>
      <c r="BK130" s="43">
        <v>0.56999999999999995</v>
      </c>
      <c r="BL130" s="43">
        <v>0.63</v>
      </c>
      <c r="BM130" s="43">
        <v>0.69</v>
      </c>
      <c r="BN130" s="43">
        <v>0.75</v>
      </c>
      <c r="BO130" s="43">
        <v>0.8</v>
      </c>
      <c r="BP130" s="43">
        <v>0.84</v>
      </c>
      <c r="BQ130" s="63" t="str">
        <f t="shared" si="367"/>
        <v>Proses RBT-RBTD</v>
      </c>
      <c r="BR130" s="63" t="str">
        <f t="shared" si="368"/>
        <v>Not Started</v>
      </c>
      <c r="BS130" s="63" t="str">
        <f t="shared" si="369"/>
        <v>Not Started</v>
      </c>
      <c r="BT130" s="63" t="str">
        <f t="shared" si="370"/>
        <v>Not Started</v>
      </c>
      <c r="BU130" s="63" t="str">
        <f t="shared" si="371"/>
        <v>Not Started</v>
      </c>
      <c r="BV130" s="63" t="str">
        <f t="shared" si="372"/>
        <v>Not Started</v>
      </c>
      <c r="BW130" s="63" t="str">
        <f t="shared" si="373"/>
        <v>Not Started</v>
      </c>
      <c r="BX130" s="63" t="str">
        <f t="shared" si="374"/>
        <v>Not Started</v>
      </c>
      <c r="BY130" s="63" t="str">
        <f t="shared" si="375"/>
        <v>Not Started</v>
      </c>
      <c r="BZ130" s="63" t="str">
        <f t="shared" si="376"/>
        <v>Not Started</v>
      </c>
      <c r="CA130" s="63" t="str">
        <f t="shared" si="377"/>
        <v>Not Started</v>
      </c>
      <c r="CB130" s="63" t="str">
        <f t="shared" si="378"/>
        <v>Not Started</v>
      </c>
      <c r="CC130" s="44">
        <f t="shared" si="289"/>
        <v>0.105</v>
      </c>
      <c r="CD130" s="44"/>
      <c r="CE130" s="44"/>
      <c r="CF130" s="44"/>
      <c r="CG130" s="44"/>
      <c r="CH130" s="44"/>
      <c r="CI130" s="44"/>
      <c r="CJ130" s="44"/>
      <c r="CK130" s="44"/>
      <c r="CL130" s="44"/>
      <c r="CM130" s="44"/>
      <c r="CN130" s="44"/>
      <c r="CO130" s="45">
        <f t="shared" si="379"/>
        <v>0.875</v>
      </c>
      <c r="CP130" s="45">
        <f t="shared" si="380"/>
        <v>0</v>
      </c>
      <c r="CQ130" s="45">
        <f t="shared" si="381"/>
        <v>0</v>
      </c>
      <c r="CR130" s="45">
        <f t="shared" si="382"/>
        <v>0</v>
      </c>
      <c r="CS130" s="45">
        <f t="shared" si="383"/>
        <v>0</v>
      </c>
      <c r="CT130" s="45">
        <f t="shared" si="384"/>
        <v>0</v>
      </c>
      <c r="CU130" s="45">
        <f t="shared" si="385"/>
        <v>0</v>
      </c>
      <c r="CV130" s="45">
        <f t="shared" si="386"/>
        <v>0</v>
      </c>
      <c r="CW130" s="45">
        <f t="shared" si="387"/>
        <v>0</v>
      </c>
      <c r="CX130" s="45">
        <f t="shared" si="388"/>
        <v>0</v>
      </c>
      <c r="CY130" s="45">
        <f t="shared" si="290"/>
        <v>0</v>
      </c>
      <c r="CZ130" s="45"/>
      <c r="DA130" s="45" t="str">
        <f t="shared" si="389"/>
        <v>AR</v>
      </c>
      <c r="DB130" s="45" t="str">
        <f t="shared" si="390"/>
        <v>BS</v>
      </c>
      <c r="DC130" s="45" t="str">
        <f t="shared" si="391"/>
        <v>BS</v>
      </c>
      <c r="DD130" s="45" t="str">
        <f t="shared" si="392"/>
        <v>BS</v>
      </c>
      <c r="DE130" s="45" t="str">
        <f t="shared" si="393"/>
        <v>BS</v>
      </c>
      <c r="DF130" s="45" t="str">
        <f t="shared" si="394"/>
        <v>BS</v>
      </c>
      <c r="DG130" s="45" t="str">
        <f t="shared" si="395"/>
        <v>BS</v>
      </c>
      <c r="DH130" s="45" t="str">
        <f t="shared" si="396"/>
        <v>BS</v>
      </c>
      <c r="DI130" s="45" t="str">
        <f t="shared" si="397"/>
        <v>BS</v>
      </c>
      <c r="DJ130" s="45" t="str">
        <f t="shared" si="398"/>
        <v>BS</v>
      </c>
      <c r="DK130" s="45" t="str">
        <f t="shared" si="286"/>
        <v>BS</v>
      </c>
      <c r="DL130" s="45" t="str">
        <f t="shared" si="399"/>
        <v>BS</v>
      </c>
      <c r="DM130" s="45">
        <f t="shared" si="400"/>
        <v>0.125</v>
      </c>
      <c r="DN130" s="45">
        <f t="shared" si="401"/>
        <v>0</v>
      </c>
      <c r="DO130" s="45">
        <f t="shared" si="402"/>
        <v>0</v>
      </c>
      <c r="DP130" s="45">
        <f t="shared" si="403"/>
        <v>0</v>
      </c>
      <c r="DQ130" s="45">
        <f t="shared" si="404"/>
        <v>0</v>
      </c>
      <c r="DR130" s="45">
        <f t="shared" si="405"/>
        <v>0</v>
      </c>
      <c r="DS130" s="45">
        <f t="shared" si="406"/>
        <v>0</v>
      </c>
      <c r="DT130" s="45">
        <f t="shared" si="407"/>
        <v>0</v>
      </c>
      <c r="DU130" s="45">
        <f t="shared" si="408"/>
        <v>0</v>
      </c>
      <c r="DV130" s="45">
        <f t="shared" si="409"/>
        <v>0</v>
      </c>
      <c r="DW130" s="45">
        <f t="shared" si="410"/>
        <v>0</v>
      </c>
      <c r="DX130" s="45">
        <f t="shared" si="411"/>
        <v>0</v>
      </c>
      <c r="DY130" s="46">
        <v>0.7</v>
      </c>
      <c r="DZ130" s="46"/>
      <c r="EA130" s="41"/>
      <c r="EB130" s="41"/>
      <c r="EC130" s="41"/>
      <c r="ED130" s="41"/>
      <c r="EE130" s="41"/>
      <c r="EF130" s="41"/>
      <c r="EG130" s="41"/>
      <c r="EH130" s="75" t="s">
        <v>1516</v>
      </c>
      <c r="EI130" s="59"/>
      <c r="EJ130" s="59">
        <f t="shared" si="412"/>
        <v>46537</v>
      </c>
      <c r="EK130" s="229"/>
      <c r="EL130" s="230"/>
      <c r="EM130" s="230"/>
      <c r="EN130" s="231"/>
      <c r="EO130" s="222"/>
      <c r="EP130" s="220"/>
      <c r="EQ130" s="222"/>
      <c r="ER130" s="223"/>
      <c r="ES130" s="220"/>
      <c r="ET130" s="222"/>
      <c r="EU130" s="222"/>
      <c r="EV130" s="220"/>
      <c r="EW130" s="220"/>
      <c r="EX130" s="220"/>
      <c r="EY130" s="220"/>
      <c r="EZ130" s="220"/>
      <c r="FA130" s="220"/>
      <c r="FB130" s="220"/>
      <c r="FC130" s="222"/>
      <c r="FD130" s="220"/>
      <c r="FE130" s="220"/>
      <c r="FF130" s="222"/>
      <c r="FG130" s="222"/>
      <c r="FH130" s="220"/>
      <c r="FI130" s="220"/>
      <c r="FJ130" s="220"/>
      <c r="FK130" s="220"/>
      <c r="FL130" s="215"/>
      <c r="FM130" s="618" t="s">
        <v>749</v>
      </c>
      <c r="FN130" s="622" t="s">
        <v>563</v>
      </c>
      <c r="FO130" s="623"/>
      <c r="FP130" s="624" t="s">
        <v>686</v>
      </c>
      <c r="FQ130" s="623"/>
      <c r="FR130" s="625" t="s">
        <v>184</v>
      </c>
      <c r="FS130" s="625"/>
      <c r="FT130" s="625" t="s">
        <v>1505</v>
      </c>
      <c r="FU130" s="258"/>
    </row>
    <row r="131" spans="1:177" s="13" customFormat="1" ht="144">
      <c r="A131" s="63" t="s">
        <v>882</v>
      </c>
      <c r="B131" s="48"/>
      <c r="C131" s="64" t="s">
        <v>206</v>
      </c>
      <c r="D131" s="225" t="s">
        <v>207</v>
      </c>
      <c r="E131" s="226" t="s">
        <v>883</v>
      </c>
      <c r="F131" s="227">
        <v>1</v>
      </c>
      <c r="G131" s="65" t="s">
        <v>884</v>
      </c>
      <c r="H131" s="65" t="s">
        <v>885</v>
      </c>
      <c r="I131" s="65" t="s">
        <v>884</v>
      </c>
      <c r="J131" s="48">
        <v>2026</v>
      </c>
      <c r="K131" s="48">
        <v>2027</v>
      </c>
      <c r="L131" s="48" t="s">
        <v>352</v>
      </c>
      <c r="M131" s="48" t="s">
        <v>173</v>
      </c>
      <c r="N131" s="48" t="s">
        <v>174</v>
      </c>
      <c r="O131" s="63" t="s">
        <v>542</v>
      </c>
      <c r="P131" s="63" t="s">
        <v>458</v>
      </c>
      <c r="Q131" s="214" t="s">
        <v>189</v>
      </c>
      <c r="R131" s="63" t="s">
        <v>886</v>
      </c>
      <c r="S131" s="63" t="str">
        <f t="shared" si="283"/>
        <v>Not Started</v>
      </c>
      <c r="T131" s="63" t="str">
        <f t="shared" ref="T131:T157" si="413">IF(V131=0%,"Not Started",IF(V131&lt;100%,"On Progress",IF(V131=100%,"DONE")))</f>
        <v>Not Started</v>
      </c>
      <c r="U131" s="63" t="str">
        <f t="shared" si="354"/>
        <v>Aldo Fernanda</v>
      </c>
      <c r="V131" s="67">
        <f t="shared" si="285"/>
        <v>0</v>
      </c>
      <c r="W131" s="66" t="s">
        <v>178</v>
      </c>
      <c r="X131" s="59">
        <f t="shared" si="355"/>
        <v>46721</v>
      </c>
      <c r="Y131" s="68">
        <v>1</v>
      </c>
      <c r="Z131" s="48"/>
      <c r="AA131" s="246">
        <v>46023</v>
      </c>
      <c r="AB131" s="42">
        <v>46172</v>
      </c>
      <c r="AC131" s="59">
        <v>46174</v>
      </c>
      <c r="AD131" s="42">
        <v>46203</v>
      </c>
      <c r="AE131" s="59">
        <v>46174</v>
      </c>
      <c r="AF131" s="42">
        <v>46203</v>
      </c>
      <c r="AG131" s="218">
        <v>46204</v>
      </c>
      <c r="AH131" s="218">
        <v>46356</v>
      </c>
      <c r="AI131" s="218">
        <v>46357</v>
      </c>
      <c r="AJ131" s="218">
        <v>46418</v>
      </c>
      <c r="AK131" s="59">
        <v>46447</v>
      </c>
      <c r="AL131" s="59">
        <v>46568</v>
      </c>
      <c r="AM131" s="59">
        <v>46569</v>
      </c>
      <c r="AN131" s="59">
        <v>46630</v>
      </c>
      <c r="AO131" s="59">
        <v>46631</v>
      </c>
      <c r="AP131" s="59">
        <v>46690</v>
      </c>
      <c r="AQ131" s="59">
        <v>46692</v>
      </c>
      <c r="AR131" s="339">
        <v>46721</v>
      </c>
      <c r="AS131" s="63" t="str">
        <f t="shared" si="356"/>
        <v>Proses RBT-RBB</v>
      </c>
      <c r="AT131" s="63" t="str">
        <f t="shared" si="357"/>
        <v>Proses RBT-RBL</v>
      </c>
      <c r="AU131" s="63" t="str">
        <f t="shared" si="358"/>
        <v>Proses RBT-RBL</v>
      </c>
      <c r="AV131" s="63" t="str">
        <f t="shared" si="359"/>
        <v>Proses RBT-RBTD</v>
      </c>
      <c r="AW131" s="63" t="str">
        <f t="shared" si="360"/>
        <v>Selesai RBT-RBTD</v>
      </c>
      <c r="AX131" s="63" t="str">
        <f t="shared" si="361"/>
        <v>Selesai KAK</v>
      </c>
      <c r="AY131" s="63" t="str">
        <f t="shared" si="362"/>
        <v>Proses Pengadaan</v>
      </c>
      <c r="AZ131" s="63" t="str">
        <f t="shared" si="363"/>
        <v>Proses Pengadaan</v>
      </c>
      <c r="BA131" s="63" t="str">
        <f t="shared" si="364"/>
        <v>Proses Pengadaan</v>
      </c>
      <c r="BB131" s="63" t="str">
        <f t="shared" si="365"/>
        <v>Proses Pengadaan</v>
      </c>
      <c r="BC131" s="63" t="str">
        <f t="shared" si="288"/>
        <v>Selesai Pengadaan</v>
      </c>
      <c r="BD131" s="63" t="str">
        <f t="shared" si="366"/>
        <v>Proses Desain</v>
      </c>
      <c r="BE131" s="43">
        <v>0.03</v>
      </c>
      <c r="BF131" s="43">
        <v>0.06</v>
      </c>
      <c r="BG131" s="43">
        <v>0.09</v>
      </c>
      <c r="BH131" s="43">
        <v>0.12</v>
      </c>
      <c r="BI131" s="43">
        <v>0.15</v>
      </c>
      <c r="BJ131" s="43">
        <v>0.25</v>
      </c>
      <c r="BK131" s="43">
        <v>0.26</v>
      </c>
      <c r="BL131" s="43">
        <v>0.27</v>
      </c>
      <c r="BM131" s="43">
        <v>0.28000000000000003</v>
      </c>
      <c r="BN131" s="43">
        <v>0.28999999999999998</v>
      </c>
      <c r="BO131" s="43">
        <v>0.3</v>
      </c>
      <c r="BP131" s="43">
        <v>0.37</v>
      </c>
      <c r="BQ131" s="63" t="str">
        <f t="shared" si="367"/>
        <v>Not Started</v>
      </c>
      <c r="BR131" s="63" t="str">
        <f t="shared" si="368"/>
        <v>Not Started</v>
      </c>
      <c r="BS131" s="63" t="str">
        <f t="shared" si="369"/>
        <v>Not Started</v>
      </c>
      <c r="BT131" s="63" t="str">
        <f t="shared" si="370"/>
        <v>Not Started</v>
      </c>
      <c r="BU131" s="63" t="str">
        <f t="shared" si="371"/>
        <v>Not Started</v>
      </c>
      <c r="BV131" s="63" t="str">
        <f t="shared" si="372"/>
        <v>Not Started</v>
      </c>
      <c r="BW131" s="63" t="str">
        <f t="shared" si="373"/>
        <v>Not Started</v>
      </c>
      <c r="BX131" s="63" t="str">
        <f t="shared" si="374"/>
        <v>Not Started</v>
      </c>
      <c r="BY131" s="63" t="str">
        <f t="shared" si="375"/>
        <v>Not Started</v>
      </c>
      <c r="BZ131" s="63" t="str">
        <f t="shared" si="376"/>
        <v>Not Started</v>
      </c>
      <c r="CA131" s="63" t="str">
        <f t="shared" si="377"/>
        <v>Not Started</v>
      </c>
      <c r="CB131" s="63" t="str">
        <f t="shared" si="378"/>
        <v>Not Started</v>
      </c>
      <c r="CC131" s="44">
        <f t="shared" si="289"/>
        <v>0</v>
      </c>
      <c r="CD131" s="44"/>
      <c r="CE131" s="44"/>
      <c r="CF131" s="44"/>
      <c r="CG131" s="44"/>
      <c r="CH131" s="44"/>
      <c r="CI131" s="44"/>
      <c r="CJ131" s="44"/>
      <c r="CK131" s="44"/>
      <c r="CL131" s="44"/>
      <c r="CM131" s="44"/>
      <c r="CN131" s="44"/>
      <c r="CO131" s="45">
        <f t="shared" si="379"/>
        <v>0</v>
      </c>
      <c r="CP131" s="45">
        <f t="shared" si="380"/>
        <v>0</v>
      </c>
      <c r="CQ131" s="45">
        <f t="shared" si="381"/>
        <v>0</v>
      </c>
      <c r="CR131" s="45">
        <f t="shared" si="382"/>
        <v>0</v>
      </c>
      <c r="CS131" s="45">
        <f t="shared" si="383"/>
        <v>0</v>
      </c>
      <c r="CT131" s="45">
        <f t="shared" si="384"/>
        <v>0</v>
      </c>
      <c r="CU131" s="45">
        <f t="shared" si="385"/>
        <v>0</v>
      </c>
      <c r="CV131" s="45">
        <f t="shared" si="386"/>
        <v>0</v>
      </c>
      <c r="CW131" s="45">
        <f t="shared" si="387"/>
        <v>0</v>
      </c>
      <c r="CX131" s="45">
        <f t="shared" si="388"/>
        <v>0</v>
      </c>
      <c r="CY131" s="45">
        <f t="shared" si="290"/>
        <v>0</v>
      </c>
      <c r="CZ131" s="45"/>
      <c r="DA131" s="45" t="str">
        <f t="shared" si="389"/>
        <v>BS</v>
      </c>
      <c r="DB131" s="45" t="str">
        <f t="shared" si="390"/>
        <v>BS</v>
      </c>
      <c r="DC131" s="45" t="str">
        <f t="shared" si="391"/>
        <v>BS</v>
      </c>
      <c r="DD131" s="45" t="str">
        <f t="shared" si="392"/>
        <v>BS</v>
      </c>
      <c r="DE131" s="45" t="str">
        <f t="shared" si="393"/>
        <v>BS</v>
      </c>
      <c r="DF131" s="45" t="str">
        <f t="shared" si="394"/>
        <v>BS</v>
      </c>
      <c r="DG131" s="45" t="str">
        <f t="shared" si="395"/>
        <v>BS</v>
      </c>
      <c r="DH131" s="45" t="str">
        <f t="shared" si="396"/>
        <v>BS</v>
      </c>
      <c r="DI131" s="45" t="str">
        <f t="shared" si="397"/>
        <v>BS</v>
      </c>
      <c r="DJ131" s="45" t="str">
        <f t="shared" si="398"/>
        <v>BS</v>
      </c>
      <c r="DK131" s="45" t="str">
        <f t="shared" si="286"/>
        <v>BS</v>
      </c>
      <c r="DL131" s="45" t="str">
        <f t="shared" si="399"/>
        <v>BS</v>
      </c>
      <c r="DM131" s="45">
        <f t="shared" si="400"/>
        <v>0</v>
      </c>
      <c r="DN131" s="45">
        <f t="shared" si="401"/>
        <v>0</v>
      </c>
      <c r="DO131" s="45">
        <f t="shared" si="402"/>
        <v>0</v>
      </c>
      <c r="DP131" s="45">
        <f t="shared" si="403"/>
        <v>0</v>
      </c>
      <c r="DQ131" s="45">
        <f t="shared" si="404"/>
        <v>0</v>
      </c>
      <c r="DR131" s="45">
        <f t="shared" si="405"/>
        <v>0</v>
      </c>
      <c r="DS131" s="45">
        <f t="shared" si="406"/>
        <v>0</v>
      </c>
      <c r="DT131" s="45">
        <f t="shared" si="407"/>
        <v>0</v>
      </c>
      <c r="DU131" s="45">
        <f t="shared" si="408"/>
        <v>0</v>
      </c>
      <c r="DV131" s="45">
        <f t="shared" si="409"/>
        <v>0</v>
      </c>
      <c r="DW131" s="45">
        <f t="shared" si="410"/>
        <v>0</v>
      </c>
      <c r="DX131" s="45">
        <f t="shared" si="411"/>
        <v>0</v>
      </c>
      <c r="DY131" s="41"/>
      <c r="DZ131" s="41"/>
      <c r="EA131" s="41"/>
      <c r="EB131" s="41"/>
      <c r="EC131" s="41"/>
      <c r="ED131" s="41"/>
      <c r="EE131" s="41"/>
      <c r="EF131" s="41"/>
      <c r="EG131" s="54"/>
      <c r="EH131" s="47" t="s">
        <v>887</v>
      </c>
      <c r="EI131" s="231"/>
      <c r="EJ131" s="59">
        <f t="shared" si="412"/>
        <v>46721</v>
      </c>
      <c r="EK131" s="229"/>
      <c r="EL131" s="230"/>
      <c r="EM131" s="230"/>
      <c r="EN131" s="231"/>
      <c r="EO131" s="222"/>
      <c r="EP131" s="220"/>
      <c r="EQ131" s="222"/>
      <c r="ER131" s="223"/>
      <c r="ES131" s="220"/>
      <c r="ET131" s="222"/>
      <c r="EU131" s="222"/>
      <c r="EV131" s="220"/>
      <c r="EW131" s="220"/>
      <c r="EX131" s="220"/>
      <c r="EY131" s="220"/>
      <c r="EZ131" s="220"/>
      <c r="FA131" s="220"/>
      <c r="FB131" s="220"/>
      <c r="FC131" s="222"/>
      <c r="FD131" s="220"/>
      <c r="FE131" s="220"/>
      <c r="FF131" s="222"/>
      <c r="FG131" s="222"/>
      <c r="FH131" s="220"/>
      <c r="FI131" s="220"/>
      <c r="FJ131" s="220"/>
      <c r="FK131" s="220"/>
      <c r="FL131" s="215"/>
      <c r="FM131" s="172" t="s">
        <v>562</v>
      </c>
      <c r="FN131" s="172" t="s">
        <v>180</v>
      </c>
      <c r="FO131" s="172" t="s">
        <v>181</v>
      </c>
      <c r="FP131" s="172" t="s">
        <v>548</v>
      </c>
      <c r="FQ131" s="172" t="s">
        <v>450</v>
      </c>
      <c r="FR131" s="267" t="s">
        <v>549</v>
      </c>
      <c r="FS131" s="267" t="s">
        <v>203</v>
      </c>
      <c r="FT131" s="267" t="s">
        <v>640</v>
      </c>
      <c r="FU131" s="269"/>
    </row>
    <row r="132" spans="1:177" s="13" customFormat="1" ht="144">
      <c r="A132" s="63" t="s">
        <v>888</v>
      </c>
      <c r="B132" s="48" t="s">
        <v>468</v>
      </c>
      <c r="C132" s="64" t="s">
        <v>206</v>
      </c>
      <c r="D132" s="225" t="s">
        <v>207</v>
      </c>
      <c r="E132" s="226" t="s">
        <v>889</v>
      </c>
      <c r="F132" s="227">
        <v>1</v>
      </c>
      <c r="G132" s="65" t="s">
        <v>890</v>
      </c>
      <c r="H132" s="65" t="s">
        <v>891</v>
      </c>
      <c r="I132" s="65" t="s">
        <v>892</v>
      </c>
      <c r="J132" s="48">
        <v>2025</v>
      </c>
      <c r="K132" s="48">
        <v>2027</v>
      </c>
      <c r="L132" s="48" t="s">
        <v>352</v>
      </c>
      <c r="M132" s="48" t="s">
        <v>173</v>
      </c>
      <c r="N132" s="48" t="s">
        <v>174</v>
      </c>
      <c r="O132" s="63" t="s">
        <v>312</v>
      </c>
      <c r="P132" s="63" t="s">
        <v>458</v>
      </c>
      <c r="Q132" s="214" t="s">
        <v>297</v>
      </c>
      <c r="R132" s="63" t="s">
        <v>313</v>
      </c>
      <c r="S132" s="63" t="str">
        <f t="shared" si="283"/>
        <v>Selesai RBT-RBTD</v>
      </c>
      <c r="T132" s="63" t="str">
        <f t="shared" si="413"/>
        <v>On Progress</v>
      </c>
      <c r="U132" s="63" t="str">
        <f t="shared" si="354"/>
        <v>Yolanda Dini</v>
      </c>
      <c r="V132" s="67">
        <f t="shared" si="285"/>
        <v>0.15</v>
      </c>
      <c r="W132" s="66" t="s">
        <v>415</v>
      </c>
      <c r="X132" s="59">
        <f t="shared" si="355"/>
        <v>46752</v>
      </c>
      <c r="Y132" s="68">
        <v>1</v>
      </c>
      <c r="Z132" s="48"/>
      <c r="AA132" s="246">
        <v>45839</v>
      </c>
      <c r="AB132" s="218">
        <v>46022</v>
      </c>
      <c r="AC132" s="59">
        <v>46023</v>
      </c>
      <c r="AD132" s="59">
        <v>46053</v>
      </c>
      <c r="AE132" s="59">
        <v>46023</v>
      </c>
      <c r="AF132" s="59">
        <v>46053</v>
      </c>
      <c r="AG132" s="218">
        <v>46054</v>
      </c>
      <c r="AH132" s="218">
        <v>46265</v>
      </c>
      <c r="AI132" s="218">
        <v>46266</v>
      </c>
      <c r="AJ132" s="218">
        <v>46325</v>
      </c>
      <c r="AK132" s="59">
        <v>46327</v>
      </c>
      <c r="AL132" s="59">
        <v>46599</v>
      </c>
      <c r="AM132" s="59">
        <v>46600</v>
      </c>
      <c r="AN132" s="59">
        <v>46660</v>
      </c>
      <c r="AO132" s="59">
        <v>46661</v>
      </c>
      <c r="AP132" s="59">
        <v>46721</v>
      </c>
      <c r="AQ132" s="59">
        <v>46722</v>
      </c>
      <c r="AR132" s="339">
        <v>46752</v>
      </c>
      <c r="AS132" s="63" t="str">
        <f t="shared" si="356"/>
        <v>Selesai KAK</v>
      </c>
      <c r="AT132" s="63" t="str">
        <f t="shared" si="357"/>
        <v>Proses Pengadaan</v>
      </c>
      <c r="AU132" s="63" t="str">
        <f t="shared" si="358"/>
        <v>Proses Pengadaan</v>
      </c>
      <c r="AV132" s="63" t="str">
        <f t="shared" si="359"/>
        <v>Proses Pengadaan</v>
      </c>
      <c r="AW132" s="63" t="str">
        <f t="shared" si="360"/>
        <v>Proses Pengadaan</v>
      </c>
      <c r="AX132" s="63" t="str">
        <f t="shared" si="361"/>
        <v>Proses Pengadaan</v>
      </c>
      <c r="AY132" s="63" t="str">
        <f t="shared" si="362"/>
        <v>Proses Pengadaan</v>
      </c>
      <c r="AZ132" s="63" t="str">
        <f t="shared" si="363"/>
        <v>Selesai Pengadaan</v>
      </c>
      <c r="BA132" s="63" t="str">
        <f t="shared" si="364"/>
        <v>Proses Desain</v>
      </c>
      <c r="BB132" s="63" t="str">
        <f t="shared" si="365"/>
        <v>Selesai Desain</v>
      </c>
      <c r="BC132" s="63" t="str">
        <f t="shared" si="288"/>
        <v>Proses Pengembangan</v>
      </c>
      <c r="BD132" s="63" t="str">
        <f t="shared" si="366"/>
        <v>Proses Pengembangan</v>
      </c>
      <c r="BE132" s="351">
        <v>0.25</v>
      </c>
      <c r="BF132" s="43">
        <v>0.255</v>
      </c>
      <c r="BG132" s="43">
        <v>0.26</v>
      </c>
      <c r="BH132" s="43">
        <v>0.26500000000000001</v>
      </c>
      <c r="BI132" s="43">
        <v>0.27</v>
      </c>
      <c r="BJ132" s="43">
        <v>0.27500000000000002</v>
      </c>
      <c r="BK132" s="43">
        <v>0.28000000000000003</v>
      </c>
      <c r="BL132" s="43">
        <v>0.3</v>
      </c>
      <c r="BM132" s="281">
        <v>0.37</v>
      </c>
      <c r="BN132" s="281">
        <v>0.45</v>
      </c>
      <c r="BO132" s="281">
        <v>0.49</v>
      </c>
      <c r="BP132" s="281">
        <v>0.53</v>
      </c>
      <c r="BQ132" s="63" t="str">
        <f t="shared" si="367"/>
        <v>Selesai RBT-RBTD</v>
      </c>
      <c r="BR132" s="63" t="str">
        <f t="shared" si="368"/>
        <v>Not Started</v>
      </c>
      <c r="BS132" s="63" t="str">
        <f t="shared" si="369"/>
        <v>Not Started</v>
      </c>
      <c r="BT132" s="63" t="str">
        <f t="shared" si="370"/>
        <v>Not Started</v>
      </c>
      <c r="BU132" s="63" t="str">
        <f t="shared" si="371"/>
        <v>Not Started</v>
      </c>
      <c r="BV132" s="63" t="str">
        <f t="shared" si="372"/>
        <v>Not Started</v>
      </c>
      <c r="BW132" s="63" t="str">
        <f t="shared" si="373"/>
        <v>Not Started</v>
      </c>
      <c r="BX132" s="63" t="str">
        <f t="shared" si="374"/>
        <v>Not Started</v>
      </c>
      <c r="BY132" s="63" t="str">
        <f t="shared" si="375"/>
        <v>Not Started</v>
      </c>
      <c r="BZ132" s="63" t="str">
        <f t="shared" si="376"/>
        <v>Not Started</v>
      </c>
      <c r="CA132" s="63" t="str">
        <f t="shared" si="377"/>
        <v>Not Started</v>
      </c>
      <c r="CB132" s="63" t="str">
        <f t="shared" si="378"/>
        <v>Not Started</v>
      </c>
      <c r="CC132" s="44">
        <f t="shared" si="289"/>
        <v>0.15</v>
      </c>
      <c r="CD132" s="44"/>
      <c r="CE132" s="44"/>
      <c r="CF132" s="44"/>
      <c r="CG132" s="44"/>
      <c r="CH132" s="44"/>
      <c r="CI132" s="44"/>
      <c r="CJ132" s="44"/>
      <c r="CK132" s="44"/>
      <c r="CL132" s="44"/>
      <c r="CM132" s="44"/>
      <c r="CN132" s="44"/>
      <c r="CO132" s="45">
        <f t="shared" si="379"/>
        <v>0.6</v>
      </c>
      <c r="CP132" s="45">
        <f t="shared" si="380"/>
        <v>0</v>
      </c>
      <c r="CQ132" s="45">
        <f t="shared" si="381"/>
        <v>0</v>
      </c>
      <c r="CR132" s="45">
        <f t="shared" si="382"/>
        <v>0</v>
      </c>
      <c r="CS132" s="45">
        <f t="shared" si="383"/>
        <v>0</v>
      </c>
      <c r="CT132" s="45">
        <f t="shared" si="384"/>
        <v>0</v>
      </c>
      <c r="CU132" s="45">
        <f t="shared" si="385"/>
        <v>0</v>
      </c>
      <c r="CV132" s="45">
        <f t="shared" si="386"/>
        <v>0</v>
      </c>
      <c r="CW132" s="45">
        <f t="shared" si="387"/>
        <v>0</v>
      </c>
      <c r="CX132" s="45">
        <f t="shared" si="388"/>
        <v>0</v>
      </c>
      <c r="CY132" s="45">
        <f t="shared" si="290"/>
        <v>0</v>
      </c>
      <c r="CZ132" s="45"/>
      <c r="DA132" s="45" t="str">
        <f t="shared" si="389"/>
        <v>BS</v>
      </c>
      <c r="DB132" s="45" t="str">
        <f t="shared" si="390"/>
        <v>BS</v>
      </c>
      <c r="DC132" s="45" t="str">
        <f t="shared" si="391"/>
        <v>BS</v>
      </c>
      <c r="DD132" s="45" t="str">
        <f t="shared" si="392"/>
        <v>BS</v>
      </c>
      <c r="DE132" s="45" t="str">
        <f t="shared" si="393"/>
        <v>BS</v>
      </c>
      <c r="DF132" s="45" t="str">
        <f t="shared" si="394"/>
        <v>BS</v>
      </c>
      <c r="DG132" s="45" t="str">
        <f t="shared" si="395"/>
        <v>BS</v>
      </c>
      <c r="DH132" s="45" t="str">
        <f t="shared" si="396"/>
        <v>BS</v>
      </c>
      <c r="DI132" s="45" t="str">
        <f t="shared" si="397"/>
        <v>BS</v>
      </c>
      <c r="DJ132" s="45" t="str">
        <f t="shared" si="398"/>
        <v>BS</v>
      </c>
      <c r="DK132" s="45" t="str">
        <f t="shared" si="286"/>
        <v>BS</v>
      </c>
      <c r="DL132" s="45" t="str">
        <f t="shared" si="399"/>
        <v>BS</v>
      </c>
      <c r="DM132" s="45">
        <f t="shared" si="400"/>
        <v>0.28301886792452829</v>
      </c>
      <c r="DN132" s="45">
        <f t="shared" si="401"/>
        <v>0</v>
      </c>
      <c r="DO132" s="45">
        <f t="shared" si="402"/>
        <v>0</v>
      </c>
      <c r="DP132" s="45">
        <f t="shared" si="403"/>
        <v>0</v>
      </c>
      <c r="DQ132" s="45">
        <f t="shared" si="404"/>
        <v>0</v>
      </c>
      <c r="DR132" s="45">
        <f t="shared" si="405"/>
        <v>0</v>
      </c>
      <c r="DS132" s="45">
        <f t="shared" si="406"/>
        <v>0</v>
      </c>
      <c r="DT132" s="45">
        <f t="shared" si="407"/>
        <v>0</v>
      </c>
      <c r="DU132" s="45">
        <f t="shared" si="408"/>
        <v>0</v>
      </c>
      <c r="DV132" s="45">
        <f t="shared" si="409"/>
        <v>0</v>
      </c>
      <c r="DW132" s="45">
        <f t="shared" si="410"/>
        <v>0</v>
      </c>
      <c r="DX132" s="45">
        <f t="shared" si="411"/>
        <v>0</v>
      </c>
      <c r="DY132" s="41">
        <v>1</v>
      </c>
      <c r="DZ132" s="41"/>
      <c r="EA132" s="41"/>
      <c r="EB132" s="41"/>
      <c r="EC132" s="41"/>
      <c r="ED132" s="41"/>
      <c r="EE132" s="41"/>
      <c r="EF132" s="41"/>
      <c r="EG132" s="54"/>
      <c r="EH132" s="192" t="s">
        <v>1485</v>
      </c>
      <c r="EI132" s="231"/>
      <c r="EJ132" s="59">
        <f t="shared" si="412"/>
        <v>46752</v>
      </c>
      <c r="EK132" s="229"/>
      <c r="EL132" s="230"/>
      <c r="EM132" s="230"/>
      <c r="EN132" s="231"/>
      <c r="EO132" s="222"/>
      <c r="EP132" s="220"/>
      <c r="EQ132" s="222"/>
      <c r="ER132" s="223"/>
      <c r="ES132" s="220"/>
      <c r="ET132" s="222"/>
      <c r="EU132" s="222"/>
      <c r="EV132" s="220"/>
      <c r="EW132" s="220"/>
      <c r="EX132" s="220"/>
      <c r="EY132" s="220"/>
      <c r="EZ132" s="220"/>
      <c r="FA132" s="220"/>
      <c r="FB132" s="220"/>
      <c r="FC132" s="222"/>
      <c r="FD132" s="220"/>
      <c r="FE132" s="220"/>
      <c r="FF132" s="222"/>
      <c r="FG132" s="222"/>
      <c r="FH132" s="220"/>
      <c r="FI132" s="220"/>
      <c r="FJ132" s="220"/>
      <c r="FK132" s="220"/>
      <c r="FL132" s="215"/>
      <c r="FM132" s="172" t="s">
        <v>811</v>
      </c>
      <c r="FN132" s="340" t="s">
        <v>315</v>
      </c>
      <c r="FO132" s="224" t="s">
        <v>300</v>
      </c>
      <c r="FP132" s="172" t="s">
        <v>893</v>
      </c>
      <c r="FQ132" s="172" t="s">
        <v>301</v>
      </c>
      <c r="FR132" s="289" t="s">
        <v>549</v>
      </c>
      <c r="FS132" s="267" t="s">
        <v>894</v>
      </c>
      <c r="FT132" s="267" t="s">
        <v>346</v>
      </c>
      <c r="FU132" s="48">
        <v>3</v>
      </c>
    </row>
    <row r="133" spans="1:177" s="13" customFormat="1" ht="64">
      <c r="A133" s="63" t="s">
        <v>895</v>
      </c>
      <c r="B133" s="48" t="s">
        <v>468</v>
      </c>
      <c r="C133" s="64" t="s">
        <v>206</v>
      </c>
      <c r="D133" s="225" t="s">
        <v>207</v>
      </c>
      <c r="E133" s="226" t="s">
        <v>896</v>
      </c>
      <c r="F133" s="227">
        <v>1</v>
      </c>
      <c r="G133" s="65" t="s">
        <v>897</v>
      </c>
      <c r="H133" s="65" t="s">
        <v>898</v>
      </c>
      <c r="I133" s="65" t="s">
        <v>899</v>
      </c>
      <c r="J133" s="48">
        <v>2026</v>
      </c>
      <c r="K133" s="48">
        <v>2028</v>
      </c>
      <c r="L133" s="48" t="s">
        <v>352</v>
      </c>
      <c r="M133" s="48" t="s">
        <v>173</v>
      </c>
      <c r="N133" s="48" t="s">
        <v>174</v>
      </c>
      <c r="O133" s="63" t="s">
        <v>900</v>
      </c>
      <c r="P133" s="63" t="s">
        <v>458</v>
      </c>
      <c r="Q133" s="214" t="s">
        <v>297</v>
      </c>
      <c r="R133" s="63" t="s">
        <v>897</v>
      </c>
      <c r="S133" s="63" t="str">
        <f t="shared" si="283"/>
        <v>Not Started</v>
      </c>
      <c r="T133" s="63" t="str">
        <f t="shared" si="413"/>
        <v>Not Started</v>
      </c>
      <c r="U133" s="63" t="str">
        <f t="shared" si="354"/>
        <v>Yolanda Dini</v>
      </c>
      <c r="V133" s="67">
        <f t="shared" si="285"/>
        <v>0</v>
      </c>
      <c r="W133" s="66" t="s">
        <v>237</v>
      </c>
      <c r="X133" s="59">
        <f t="shared" si="355"/>
        <v>46965</v>
      </c>
      <c r="Y133" s="68">
        <v>1</v>
      </c>
      <c r="Z133" s="48"/>
      <c r="AA133" s="246">
        <v>46113</v>
      </c>
      <c r="AB133" s="218">
        <v>46325</v>
      </c>
      <c r="AC133" s="59">
        <v>46327</v>
      </c>
      <c r="AD133" s="59">
        <v>46356</v>
      </c>
      <c r="AE133" s="59">
        <v>46327</v>
      </c>
      <c r="AF133" s="59">
        <v>46356</v>
      </c>
      <c r="AG133" s="218">
        <v>46357</v>
      </c>
      <c r="AH133" s="218">
        <v>46599</v>
      </c>
      <c r="AI133" s="218">
        <v>46600</v>
      </c>
      <c r="AJ133" s="218">
        <v>46660</v>
      </c>
      <c r="AK133" s="59">
        <v>46661</v>
      </c>
      <c r="AL133" s="59">
        <v>46843</v>
      </c>
      <c r="AM133" s="517">
        <v>46844</v>
      </c>
      <c r="AN133" s="59">
        <v>46888</v>
      </c>
      <c r="AO133" s="59">
        <v>46889</v>
      </c>
      <c r="AP133" s="59">
        <v>46934</v>
      </c>
      <c r="AQ133" s="59">
        <v>46935</v>
      </c>
      <c r="AR133" s="339">
        <v>46965</v>
      </c>
      <c r="AS133" s="63" t="str">
        <f t="shared" si="356"/>
        <v>Proses RBT-RBB</v>
      </c>
      <c r="AT133" s="63" t="str">
        <f t="shared" si="357"/>
        <v>Proses RBT-RBB</v>
      </c>
      <c r="AU133" s="63" t="str">
        <f t="shared" si="358"/>
        <v>Proses RBT-RBB</v>
      </c>
      <c r="AV133" s="63" t="str">
        <f t="shared" si="359"/>
        <v>Proses RBT-RBL</v>
      </c>
      <c r="AW133" s="63" t="str">
        <f t="shared" si="360"/>
        <v>Proses RBT-RBL</v>
      </c>
      <c r="AX133" s="63" t="str">
        <f t="shared" si="361"/>
        <v>Proses RBT-RBL</v>
      </c>
      <c r="AY133" s="63" t="str">
        <f t="shared" si="362"/>
        <v>Proses RBT-RBTD</v>
      </c>
      <c r="AZ133" s="63" t="str">
        <f t="shared" si="363"/>
        <v>Proses RBT-RBTD</v>
      </c>
      <c r="BA133" s="63" t="str">
        <f t="shared" si="364"/>
        <v>Proses RBT-RBTD</v>
      </c>
      <c r="BB133" s="63" t="str">
        <f t="shared" si="365"/>
        <v>Selesai RBT-RBTD</v>
      </c>
      <c r="BC133" s="63" t="str">
        <f t="shared" si="288"/>
        <v>Selesai KAK</v>
      </c>
      <c r="BD133" s="63" t="str">
        <f t="shared" si="366"/>
        <v>Proses Pengadaan</v>
      </c>
      <c r="BE133" s="43">
        <v>1.4999999999999999E-2</v>
      </c>
      <c r="BF133" s="43">
        <v>0.03</v>
      </c>
      <c r="BG133" s="43">
        <v>4.4999999999999998E-2</v>
      </c>
      <c r="BH133" s="43">
        <v>0.06</v>
      </c>
      <c r="BI133" s="43">
        <v>7.4999999999999997E-2</v>
      </c>
      <c r="BJ133" s="43">
        <v>0.09</v>
      </c>
      <c r="BK133" s="43">
        <v>0.105</v>
      </c>
      <c r="BL133" s="43">
        <v>0.12</v>
      </c>
      <c r="BM133" s="43">
        <v>0.13</v>
      </c>
      <c r="BN133" s="43">
        <v>0.15</v>
      </c>
      <c r="BO133" s="43">
        <v>0.25</v>
      </c>
      <c r="BP133" s="43">
        <v>0.255</v>
      </c>
      <c r="BQ133" s="63" t="str">
        <f t="shared" si="367"/>
        <v>Not Started</v>
      </c>
      <c r="BR133" s="63" t="str">
        <f t="shared" si="368"/>
        <v>Not Started</v>
      </c>
      <c r="BS133" s="63" t="str">
        <f t="shared" si="369"/>
        <v>Not Started</v>
      </c>
      <c r="BT133" s="63" t="str">
        <f t="shared" si="370"/>
        <v>Not Started</v>
      </c>
      <c r="BU133" s="63" t="str">
        <f t="shared" si="371"/>
        <v>Not Started</v>
      </c>
      <c r="BV133" s="63" t="str">
        <f t="shared" si="372"/>
        <v>Not Started</v>
      </c>
      <c r="BW133" s="63" t="str">
        <f t="shared" si="373"/>
        <v>Not Started</v>
      </c>
      <c r="BX133" s="63" t="str">
        <f t="shared" si="374"/>
        <v>Not Started</v>
      </c>
      <c r="BY133" s="63" t="str">
        <f t="shared" si="375"/>
        <v>Not Started</v>
      </c>
      <c r="BZ133" s="63" t="str">
        <f t="shared" si="376"/>
        <v>Not Started</v>
      </c>
      <c r="CA133" s="63" t="str">
        <f t="shared" si="377"/>
        <v>Not Started</v>
      </c>
      <c r="CB133" s="63" t="str">
        <f t="shared" si="378"/>
        <v>Not Started</v>
      </c>
      <c r="CC133" s="44">
        <f t="shared" si="289"/>
        <v>0</v>
      </c>
      <c r="CD133" s="44"/>
      <c r="CE133" s="44"/>
      <c r="CF133" s="44"/>
      <c r="CG133" s="44"/>
      <c r="CH133" s="44"/>
      <c r="CI133" s="44"/>
      <c r="CJ133" s="44"/>
      <c r="CK133" s="44"/>
      <c r="CL133" s="44"/>
      <c r="CM133" s="44"/>
      <c r="CN133" s="44"/>
      <c r="CO133" s="45">
        <f t="shared" si="379"/>
        <v>0</v>
      </c>
      <c r="CP133" s="45">
        <f t="shared" si="380"/>
        <v>0</v>
      </c>
      <c r="CQ133" s="45">
        <f t="shared" si="381"/>
        <v>0</v>
      </c>
      <c r="CR133" s="45">
        <f t="shared" si="382"/>
        <v>0</v>
      </c>
      <c r="CS133" s="45">
        <f t="shared" si="383"/>
        <v>0</v>
      </c>
      <c r="CT133" s="45">
        <f t="shared" si="384"/>
        <v>0</v>
      </c>
      <c r="CU133" s="45">
        <f t="shared" si="385"/>
        <v>0</v>
      </c>
      <c r="CV133" s="45">
        <f t="shared" si="386"/>
        <v>0</v>
      </c>
      <c r="CW133" s="45">
        <f t="shared" si="387"/>
        <v>0</v>
      </c>
      <c r="CX133" s="45">
        <f t="shared" si="388"/>
        <v>0</v>
      </c>
      <c r="CY133" s="45">
        <f t="shared" si="290"/>
        <v>0</v>
      </c>
      <c r="CZ133" s="45"/>
      <c r="DA133" s="45" t="str">
        <f t="shared" si="389"/>
        <v>BS</v>
      </c>
      <c r="DB133" s="45" t="str">
        <f t="shared" si="390"/>
        <v>BS</v>
      </c>
      <c r="DC133" s="45" t="str">
        <f t="shared" si="391"/>
        <v>BS</v>
      </c>
      <c r="DD133" s="45" t="str">
        <f t="shared" si="392"/>
        <v>BS</v>
      </c>
      <c r="DE133" s="45" t="str">
        <f t="shared" si="393"/>
        <v>BS</v>
      </c>
      <c r="DF133" s="45" t="str">
        <f t="shared" si="394"/>
        <v>BS</v>
      </c>
      <c r="DG133" s="45" t="str">
        <f t="shared" si="395"/>
        <v>BS</v>
      </c>
      <c r="DH133" s="45" t="str">
        <f t="shared" si="396"/>
        <v>BS</v>
      </c>
      <c r="DI133" s="45" t="str">
        <f t="shared" si="397"/>
        <v>BS</v>
      </c>
      <c r="DJ133" s="45" t="str">
        <f t="shared" si="398"/>
        <v>BS</v>
      </c>
      <c r="DK133" s="45" t="str">
        <f t="shared" si="286"/>
        <v>BS</v>
      </c>
      <c r="DL133" s="45" t="str">
        <f t="shared" si="399"/>
        <v>BS</v>
      </c>
      <c r="DM133" s="45">
        <f t="shared" si="400"/>
        <v>0</v>
      </c>
      <c r="DN133" s="45">
        <f t="shared" si="401"/>
        <v>0</v>
      </c>
      <c r="DO133" s="45">
        <f t="shared" si="402"/>
        <v>0</v>
      </c>
      <c r="DP133" s="45">
        <f t="shared" si="403"/>
        <v>0</v>
      </c>
      <c r="DQ133" s="45">
        <f t="shared" si="404"/>
        <v>0</v>
      </c>
      <c r="DR133" s="45">
        <f t="shared" si="405"/>
        <v>0</v>
      </c>
      <c r="DS133" s="45">
        <f t="shared" si="406"/>
        <v>0</v>
      </c>
      <c r="DT133" s="45">
        <f t="shared" si="407"/>
        <v>0</v>
      </c>
      <c r="DU133" s="45">
        <f t="shared" si="408"/>
        <v>0</v>
      </c>
      <c r="DV133" s="45">
        <f t="shared" si="409"/>
        <v>0</v>
      </c>
      <c r="DW133" s="45">
        <f t="shared" si="410"/>
        <v>0</v>
      </c>
      <c r="DX133" s="45">
        <f t="shared" si="411"/>
        <v>0</v>
      </c>
      <c r="DY133" s="41"/>
      <c r="DZ133" s="41"/>
      <c r="EA133" s="41"/>
      <c r="EB133" s="41"/>
      <c r="EC133" s="41"/>
      <c r="ED133" s="41"/>
      <c r="EE133" s="41"/>
      <c r="EF133" s="41"/>
      <c r="EG133" s="54"/>
      <c r="EH133" s="47" t="s">
        <v>901</v>
      </c>
      <c r="EI133" s="231"/>
      <c r="EJ133" s="59">
        <f t="shared" si="412"/>
        <v>46965</v>
      </c>
      <c r="EK133" s="229"/>
      <c r="EL133" s="230"/>
      <c r="EM133" s="230"/>
      <c r="EN133" s="231"/>
      <c r="EO133" s="222"/>
      <c r="EP133" s="220"/>
      <c r="EQ133" s="222"/>
      <c r="ER133" s="223"/>
      <c r="ES133" s="220"/>
      <c r="ET133" s="222"/>
      <c r="EU133" s="222"/>
      <c r="EV133" s="220"/>
      <c r="EW133" s="220"/>
      <c r="EX133" s="220"/>
      <c r="EY133" s="220"/>
      <c r="EZ133" s="220"/>
      <c r="FA133" s="220"/>
      <c r="FB133" s="220"/>
      <c r="FC133" s="222"/>
      <c r="FD133" s="220"/>
      <c r="FE133" s="220"/>
      <c r="FF133" s="222"/>
      <c r="FG133" s="222"/>
      <c r="FH133" s="220"/>
      <c r="FI133" s="220"/>
      <c r="FJ133" s="220"/>
      <c r="FK133" s="220"/>
      <c r="FL133" s="215"/>
      <c r="FM133" s="172" t="s">
        <v>554</v>
      </c>
      <c r="FN133" s="340" t="s">
        <v>315</v>
      </c>
      <c r="FO133" s="224" t="s">
        <v>300</v>
      </c>
      <c r="FP133" s="172" t="s">
        <v>902</v>
      </c>
      <c r="FQ133" s="172" t="s">
        <v>527</v>
      </c>
      <c r="FR133" s="213" t="s">
        <v>224</v>
      </c>
      <c r="FS133" s="213" t="s">
        <v>903</v>
      </c>
      <c r="FT133" s="213" t="s">
        <v>904</v>
      </c>
      <c r="FU133" s="223"/>
    </row>
    <row r="134" spans="1:177" s="13" customFormat="1" ht="96">
      <c r="A134" s="63" t="s">
        <v>905</v>
      </c>
      <c r="B134" s="48" t="s">
        <v>468</v>
      </c>
      <c r="C134" s="64" t="s">
        <v>206</v>
      </c>
      <c r="D134" s="225" t="s">
        <v>207</v>
      </c>
      <c r="E134" s="226" t="s">
        <v>906</v>
      </c>
      <c r="F134" s="227">
        <v>1</v>
      </c>
      <c r="G134" s="65" t="s">
        <v>907</v>
      </c>
      <c r="H134" s="65" t="s">
        <v>908</v>
      </c>
      <c r="I134" s="65" t="s">
        <v>909</v>
      </c>
      <c r="J134" s="48">
        <v>2026</v>
      </c>
      <c r="K134" s="48">
        <v>2029</v>
      </c>
      <c r="L134" s="48" t="s">
        <v>352</v>
      </c>
      <c r="M134" s="48" t="s">
        <v>173</v>
      </c>
      <c r="N134" s="48" t="s">
        <v>174</v>
      </c>
      <c r="O134" s="63" t="s">
        <v>910</v>
      </c>
      <c r="P134" s="63" t="s">
        <v>458</v>
      </c>
      <c r="Q134" s="214" t="s">
        <v>297</v>
      </c>
      <c r="R134" s="63" t="s">
        <v>907</v>
      </c>
      <c r="S134" s="63" t="str">
        <f t="shared" ref="S134:S157" si="414">BQ134</f>
        <v>Not Started</v>
      </c>
      <c r="T134" s="63" t="str">
        <f t="shared" si="413"/>
        <v>Not Started</v>
      </c>
      <c r="U134" s="63" t="str">
        <f t="shared" si="354"/>
        <v>Yolanda Dini</v>
      </c>
      <c r="V134" s="67">
        <f t="shared" ref="V134:V157" si="415">CC134</f>
        <v>0</v>
      </c>
      <c r="W134" s="66" t="s">
        <v>263</v>
      </c>
      <c r="X134" s="59">
        <f t="shared" si="355"/>
        <v>47149</v>
      </c>
      <c r="Y134" s="68">
        <v>1</v>
      </c>
      <c r="Z134" s="48"/>
      <c r="AA134" s="246">
        <v>46296</v>
      </c>
      <c r="AB134" s="218">
        <v>46477</v>
      </c>
      <c r="AC134" s="59">
        <v>46478</v>
      </c>
      <c r="AD134" s="59">
        <v>46507</v>
      </c>
      <c r="AE134" s="59">
        <v>46478</v>
      </c>
      <c r="AF134" s="59">
        <v>46507</v>
      </c>
      <c r="AG134" s="218">
        <v>46508</v>
      </c>
      <c r="AH134" s="218">
        <v>46752</v>
      </c>
      <c r="AI134" s="218">
        <v>46784</v>
      </c>
      <c r="AJ134" s="218">
        <v>46811</v>
      </c>
      <c r="AK134" s="59">
        <v>46813</v>
      </c>
      <c r="AL134" s="59">
        <v>47026</v>
      </c>
      <c r="AM134" s="59">
        <v>47027</v>
      </c>
      <c r="AN134" s="59">
        <v>47072</v>
      </c>
      <c r="AO134" s="59">
        <v>47073</v>
      </c>
      <c r="AP134" s="59">
        <v>47118</v>
      </c>
      <c r="AQ134" s="59">
        <v>47119</v>
      </c>
      <c r="AR134" s="339">
        <v>47149</v>
      </c>
      <c r="AS134" s="63" t="str">
        <f t="shared" si="356"/>
        <v>Not Started</v>
      </c>
      <c r="AT134" s="63" t="str">
        <f t="shared" si="357"/>
        <v>Not Started</v>
      </c>
      <c r="AU134" s="63" t="str">
        <f t="shared" si="358"/>
        <v>Not Started</v>
      </c>
      <c r="AV134" s="63" t="str">
        <f t="shared" si="359"/>
        <v>Not Started</v>
      </c>
      <c r="AW134" s="63" t="str">
        <f t="shared" si="360"/>
        <v>Not Started</v>
      </c>
      <c r="AX134" s="63" t="str">
        <f t="shared" si="361"/>
        <v>Not Started</v>
      </c>
      <c r="AY134" s="63" t="str">
        <f t="shared" si="362"/>
        <v>Not Started</v>
      </c>
      <c r="AZ134" s="63" t="str">
        <f t="shared" si="363"/>
        <v>Not Started</v>
      </c>
      <c r="BA134" s="63" t="str">
        <f t="shared" si="364"/>
        <v>Not Started</v>
      </c>
      <c r="BB134" s="63" t="str">
        <f t="shared" si="365"/>
        <v>Not Started</v>
      </c>
      <c r="BC134" s="63" t="str">
        <f t="shared" si="288"/>
        <v>Proses RBT-RBB</v>
      </c>
      <c r="BD134" s="63" t="str">
        <f t="shared" si="366"/>
        <v>Selesai RBT-RBB</v>
      </c>
      <c r="BE134" s="43">
        <v>0</v>
      </c>
      <c r="BF134" s="43">
        <v>0</v>
      </c>
      <c r="BG134" s="43">
        <v>0</v>
      </c>
      <c r="BH134" s="43">
        <v>0</v>
      </c>
      <c r="BI134" s="43">
        <v>0</v>
      </c>
      <c r="BJ134" s="43">
        <v>0</v>
      </c>
      <c r="BK134" s="43">
        <v>0</v>
      </c>
      <c r="BL134" s="43">
        <v>0</v>
      </c>
      <c r="BM134" s="43">
        <v>0</v>
      </c>
      <c r="BN134" s="43">
        <v>0</v>
      </c>
      <c r="BO134" s="43">
        <v>0.02</v>
      </c>
      <c r="BP134" s="43">
        <v>0.05</v>
      </c>
      <c r="BQ134" s="63" t="str">
        <f t="shared" si="367"/>
        <v>Not Started</v>
      </c>
      <c r="BR134" s="63" t="str">
        <f t="shared" si="368"/>
        <v>Not Started</v>
      </c>
      <c r="BS134" s="63" t="str">
        <f t="shared" si="369"/>
        <v>Not Started</v>
      </c>
      <c r="BT134" s="63" t="str">
        <f t="shared" si="370"/>
        <v>Not Started</v>
      </c>
      <c r="BU134" s="63" t="str">
        <f t="shared" si="371"/>
        <v>Not Started</v>
      </c>
      <c r="BV134" s="63" t="str">
        <f t="shared" si="372"/>
        <v>Not Started</v>
      </c>
      <c r="BW134" s="63" t="str">
        <f t="shared" si="373"/>
        <v>Not Started</v>
      </c>
      <c r="BX134" s="63" t="str">
        <f t="shared" si="374"/>
        <v>Not Started</v>
      </c>
      <c r="BY134" s="63" t="str">
        <f t="shared" si="375"/>
        <v>Not Started</v>
      </c>
      <c r="BZ134" s="63" t="str">
        <f t="shared" si="376"/>
        <v>Not Started</v>
      </c>
      <c r="CA134" s="63" t="str">
        <f t="shared" si="377"/>
        <v>Not Started</v>
      </c>
      <c r="CB134" s="63" t="str">
        <f t="shared" si="378"/>
        <v>Not Started</v>
      </c>
      <c r="CC134" s="44">
        <f t="shared" si="289"/>
        <v>0</v>
      </c>
      <c r="CD134" s="44"/>
      <c r="CE134" s="44"/>
      <c r="CF134" s="44"/>
      <c r="CG134" s="44"/>
      <c r="CH134" s="44"/>
      <c r="CI134" s="44"/>
      <c r="CJ134" s="44"/>
      <c r="CK134" s="44"/>
      <c r="CL134" s="44"/>
      <c r="CM134" s="44"/>
      <c r="CN134" s="44"/>
      <c r="CO134" s="45">
        <f t="shared" si="379"/>
        <v>1</v>
      </c>
      <c r="CP134" s="45">
        <f t="shared" si="380"/>
        <v>1</v>
      </c>
      <c r="CQ134" s="45">
        <f t="shared" si="381"/>
        <v>1</v>
      </c>
      <c r="CR134" s="45">
        <f t="shared" si="382"/>
        <v>1</v>
      </c>
      <c r="CS134" s="45">
        <f t="shared" si="383"/>
        <v>1</v>
      </c>
      <c r="CT134" s="45">
        <f t="shared" si="384"/>
        <v>1</v>
      </c>
      <c r="CU134" s="45">
        <f t="shared" si="385"/>
        <v>1</v>
      </c>
      <c r="CV134" s="45">
        <f t="shared" si="386"/>
        <v>1</v>
      </c>
      <c r="CW134" s="45">
        <f t="shared" si="387"/>
        <v>1</v>
      </c>
      <c r="CX134" s="45">
        <f t="shared" si="388"/>
        <v>1</v>
      </c>
      <c r="CY134" s="45">
        <f t="shared" si="290"/>
        <v>0</v>
      </c>
      <c r="CZ134" s="45"/>
      <c r="DA134" s="45" t="str">
        <f t="shared" si="389"/>
        <v>NS</v>
      </c>
      <c r="DB134" s="45" t="str">
        <f t="shared" si="390"/>
        <v>NS</v>
      </c>
      <c r="DC134" s="45" t="str">
        <f t="shared" si="391"/>
        <v>NS</v>
      </c>
      <c r="DD134" s="45" t="str">
        <f t="shared" si="392"/>
        <v>NS</v>
      </c>
      <c r="DE134" s="45" t="str">
        <f t="shared" si="393"/>
        <v>NS</v>
      </c>
      <c r="DF134" s="45" t="str">
        <f t="shared" si="394"/>
        <v>NS</v>
      </c>
      <c r="DG134" s="45" t="str">
        <f t="shared" si="395"/>
        <v>NS</v>
      </c>
      <c r="DH134" s="45" t="str">
        <f t="shared" si="396"/>
        <v>NS</v>
      </c>
      <c r="DI134" s="45" t="str">
        <f t="shared" si="397"/>
        <v>NS</v>
      </c>
      <c r="DJ134" s="45" t="str">
        <f t="shared" si="398"/>
        <v>NS</v>
      </c>
      <c r="DK134" s="45" t="str">
        <f t="shared" si="286"/>
        <v>BS</v>
      </c>
      <c r="DL134" s="45" t="str">
        <f t="shared" si="399"/>
        <v>BS</v>
      </c>
      <c r="DM134" s="45">
        <f t="shared" si="400"/>
        <v>0</v>
      </c>
      <c r="DN134" s="45">
        <f t="shared" si="401"/>
        <v>0</v>
      </c>
      <c r="DO134" s="45">
        <f t="shared" si="402"/>
        <v>0</v>
      </c>
      <c r="DP134" s="45">
        <f t="shared" si="403"/>
        <v>0</v>
      </c>
      <c r="DQ134" s="45">
        <f t="shared" si="404"/>
        <v>0</v>
      </c>
      <c r="DR134" s="45">
        <f t="shared" si="405"/>
        <v>0</v>
      </c>
      <c r="DS134" s="45">
        <f t="shared" si="406"/>
        <v>0</v>
      </c>
      <c r="DT134" s="45">
        <f t="shared" si="407"/>
        <v>0</v>
      </c>
      <c r="DU134" s="45">
        <f t="shared" si="408"/>
        <v>0</v>
      </c>
      <c r="DV134" s="45">
        <f t="shared" si="409"/>
        <v>0</v>
      </c>
      <c r="DW134" s="45">
        <f t="shared" si="410"/>
        <v>0</v>
      </c>
      <c r="DX134" s="45">
        <f t="shared" si="411"/>
        <v>0</v>
      </c>
      <c r="DY134" s="41"/>
      <c r="DZ134" s="41"/>
      <c r="EA134" s="41"/>
      <c r="EB134" s="41"/>
      <c r="EC134" s="41"/>
      <c r="ED134" s="41"/>
      <c r="EE134" s="41"/>
      <c r="EF134" s="41"/>
      <c r="EG134" s="54"/>
      <c r="EH134" s="47" t="s">
        <v>911</v>
      </c>
      <c r="EI134" s="231"/>
      <c r="EJ134" s="59">
        <f t="shared" si="412"/>
        <v>47149</v>
      </c>
      <c r="EK134" s="229"/>
      <c r="EL134" s="230"/>
      <c r="EM134" s="230"/>
      <c r="EN134" s="231"/>
      <c r="EO134" s="222"/>
      <c r="EP134" s="220"/>
      <c r="EQ134" s="222"/>
      <c r="ER134" s="223"/>
      <c r="ES134" s="220"/>
      <c r="ET134" s="222"/>
      <c r="EU134" s="222"/>
      <c r="EV134" s="220"/>
      <c r="EW134" s="220"/>
      <c r="EX134" s="220"/>
      <c r="EY134" s="220"/>
      <c r="EZ134" s="220"/>
      <c r="FA134" s="220"/>
      <c r="FB134" s="220"/>
      <c r="FC134" s="222"/>
      <c r="FD134" s="220"/>
      <c r="FE134" s="220"/>
      <c r="FF134" s="222"/>
      <c r="FG134" s="222"/>
      <c r="FH134" s="220"/>
      <c r="FI134" s="220"/>
      <c r="FJ134" s="220"/>
      <c r="FK134" s="220"/>
      <c r="FL134" s="215"/>
      <c r="FM134" s="172" t="s">
        <v>333</v>
      </c>
      <c r="FN134" s="340" t="s">
        <v>315</v>
      </c>
      <c r="FO134" s="224" t="s">
        <v>300</v>
      </c>
      <c r="FP134" s="172" t="s">
        <v>912</v>
      </c>
      <c r="FQ134" s="172" t="s">
        <v>527</v>
      </c>
      <c r="FR134" s="213" t="s">
        <v>549</v>
      </c>
      <c r="FS134" s="213" t="s">
        <v>203</v>
      </c>
      <c r="FT134" s="213" t="s">
        <v>346</v>
      </c>
      <c r="FU134" s="223"/>
    </row>
    <row r="135" spans="1:177" s="13" customFormat="1" ht="144">
      <c r="A135" s="63" t="s">
        <v>913</v>
      </c>
      <c r="B135" s="48" t="s">
        <v>337</v>
      </c>
      <c r="C135" s="64" t="s">
        <v>206</v>
      </c>
      <c r="D135" s="225" t="s">
        <v>207</v>
      </c>
      <c r="E135" s="226" t="s">
        <v>914</v>
      </c>
      <c r="F135" s="227">
        <v>1</v>
      </c>
      <c r="G135" s="65" t="s">
        <v>915</v>
      </c>
      <c r="H135" s="65" t="s">
        <v>916</v>
      </c>
      <c r="I135" s="65" t="s">
        <v>917</v>
      </c>
      <c r="J135" s="48">
        <v>2025</v>
      </c>
      <c r="K135" s="48">
        <v>2027</v>
      </c>
      <c r="L135" s="48" t="s">
        <v>352</v>
      </c>
      <c r="M135" s="48" t="s">
        <v>173</v>
      </c>
      <c r="N135" s="48" t="s">
        <v>174</v>
      </c>
      <c r="O135" s="63" t="s">
        <v>918</v>
      </c>
      <c r="P135" s="63" t="s">
        <v>458</v>
      </c>
      <c r="Q135" s="214" t="s">
        <v>297</v>
      </c>
      <c r="R135" s="63" t="s">
        <v>919</v>
      </c>
      <c r="S135" s="63" t="str">
        <f t="shared" si="414"/>
        <v>Proses RBT-RBTD</v>
      </c>
      <c r="T135" s="63" t="str">
        <f t="shared" si="413"/>
        <v>On Progress</v>
      </c>
      <c r="U135" s="63" t="s">
        <v>230</v>
      </c>
      <c r="V135" s="67">
        <f t="shared" si="415"/>
        <v>0.14249999999999999</v>
      </c>
      <c r="W135" s="66" t="s">
        <v>415</v>
      </c>
      <c r="X135" s="59">
        <f t="shared" si="355"/>
        <v>46477</v>
      </c>
      <c r="Y135" s="68">
        <v>1</v>
      </c>
      <c r="Z135" s="48"/>
      <c r="AA135" s="246">
        <v>45658</v>
      </c>
      <c r="AB135" s="42">
        <v>46022</v>
      </c>
      <c r="AC135" s="42">
        <v>46023</v>
      </c>
      <c r="AD135" s="42">
        <v>46053</v>
      </c>
      <c r="AE135" s="42">
        <v>46023</v>
      </c>
      <c r="AF135" s="42">
        <v>46053</v>
      </c>
      <c r="AG135" s="218">
        <v>46054</v>
      </c>
      <c r="AH135" s="218">
        <v>46203</v>
      </c>
      <c r="AI135" s="218">
        <v>46204</v>
      </c>
      <c r="AJ135" s="218">
        <v>46264</v>
      </c>
      <c r="AK135" s="42">
        <v>46266</v>
      </c>
      <c r="AL135" s="42">
        <v>46356</v>
      </c>
      <c r="AM135" s="42">
        <v>46357</v>
      </c>
      <c r="AN135" s="42">
        <v>46402</v>
      </c>
      <c r="AO135" s="42">
        <v>46403</v>
      </c>
      <c r="AP135" s="42">
        <v>46446</v>
      </c>
      <c r="AQ135" s="42">
        <v>46447</v>
      </c>
      <c r="AR135" s="42">
        <v>46477</v>
      </c>
      <c r="AS135" s="63" t="str">
        <f t="shared" si="356"/>
        <v>Selesai RPP</v>
      </c>
      <c r="AT135" s="63" t="str">
        <f t="shared" si="357"/>
        <v>Proses KAK</v>
      </c>
      <c r="AU135" s="63" t="str">
        <f t="shared" si="358"/>
        <v>Proses KAK</v>
      </c>
      <c r="AV135" s="63" t="str">
        <f t="shared" si="359"/>
        <v>Proses Pengadaan</v>
      </c>
      <c r="AW135" s="63" t="str">
        <f t="shared" si="360"/>
        <v>Proses Pengadaan</v>
      </c>
      <c r="AX135" s="63" t="str">
        <f t="shared" si="361"/>
        <v>Selesai Pengadaan</v>
      </c>
      <c r="AY135" s="63" t="str">
        <f t="shared" si="362"/>
        <v>Proses Desain</v>
      </c>
      <c r="AZ135" s="63" t="str">
        <f t="shared" si="363"/>
        <v>Selesai Desain</v>
      </c>
      <c r="BA135" s="63" t="str">
        <f t="shared" si="364"/>
        <v>Proses Pengembangan</v>
      </c>
      <c r="BB135" s="63" t="str">
        <f t="shared" si="365"/>
        <v>Proses Pengembangan</v>
      </c>
      <c r="BC135" s="63" t="str">
        <f t="shared" si="288"/>
        <v>Selesai Pengembangan</v>
      </c>
      <c r="BD135" s="63" t="str">
        <f t="shared" si="366"/>
        <v>Proses SIT</v>
      </c>
      <c r="BE135" s="351">
        <v>0.2</v>
      </c>
      <c r="BF135" s="43">
        <v>0.22</v>
      </c>
      <c r="BG135" s="43">
        <v>0.24</v>
      </c>
      <c r="BH135" s="281">
        <v>0.26</v>
      </c>
      <c r="BI135" s="281">
        <v>0.28000000000000003</v>
      </c>
      <c r="BJ135" s="281">
        <v>0.3</v>
      </c>
      <c r="BK135" s="281">
        <v>0.37</v>
      </c>
      <c r="BL135" s="281">
        <v>0.45</v>
      </c>
      <c r="BM135" s="281">
        <v>0.56999999999999995</v>
      </c>
      <c r="BN135" s="281">
        <v>0.69</v>
      </c>
      <c r="BO135" s="281">
        <v>0.8</v>
      </c>
      <c r="BP135" s="281">
        <v>0.84</v>
      </c>
      <c r="BQ135" s="63" t="str">
        <f t="shared" si="367"/>
        <v>Proses RBT-RBTD</v>
      </c>
      <c r="BR135" s="63" t="str">
        <f t="shared" si="368"/>
        <v>Not Started</v>
      </c>
      <c r="BS135" s="63" t="str">
        <f t="shared" si="369"/>
        <v>Not Started</v>
      </c>
      <c r="BT135" s="63" t="str">
        <f t="shared" si="370"/>
        <v>Not Started</v>
      </c>
      <c r="BU135" s="63" t="str">
        <f t="shared" si="371"/>
        <v>Not Started</v>
      </c>
      <c r="BV135" s="63" t="str">
        <f t="shared" si="372"/>
        <v>Not Started</v>
      </c>
      <c r="BW135" s="63" t="str">
        <f t="shared" si="373"/>
        <v>Not Started</v>
      </c>
      <c r="BX135" s="63" t="str">
        <f t="shared" si="374"/>
        <v>Not Started</v>
      </c>
      <c r="BY135" s="63" t="str">
        <f t="shared" si="375"/>
        <v>Not Started</v>
      </c>
      <c r="BZ135" s="63" t="str">
        <f t="shared" si="376"/>
        <v>Not Started</v>
      </c>
      <c r="CA135" s="63" t="str">
        <f t="shared" si="377"/>
        <v>Not Started</v>
      </c>
      <c r="CB135" s="63" t="str">
        <f t="shared" si="378"/>
        <v>Not Started</v>
      </c>
      <c r="CC135" s="44">
        <f t="shared" si="289"/>
        <v>0.14249999999999999</v>
      </c>
      <c r="CD135" s="44"/>
      <c r="CE135" s="44"/>
      <c r="CF135" s="44"/>
      <c r="CG135" s="44"/>
      <c r="CH135" s="44"/>
      <c r="CI135" s="44"/>
      <c r="CJ135" s="44"/>
      <c r="CK135" s="44"/>
      <c r="CL135" s="44"/>
      <c r="CM135" s="44"/>
      <c r="CN135" s="44"/>
      <c r="CO135" s="45">
        <f t="shared" si="379"/>
        <v>0.71249999999999991</v>
      </c>
      <c r="CP135" s="45">
        <f t="shared" si="380"/>
        <v>0</v>
      </c>
      <c r="CQ135" s="45">
        <f t="shared" si="381"/>
        <v>0</v>
      </c>
      <c r="CR135" s="45">
        <f t="shared" si="382"/>
        <v>0</v>
      </c>
      <c r="CS135" s="45">
        <f t="shared" si="383"/>
        <v>0</v>
      </c>
      <c r="CT135" s="45">
        <f t="shared" si="384"/>
        <v>0</v>
      </c>
      <c r="CU135" s="45">
        <f t="shared" si="385"/>
        <v>0</v>
      </c>
      <c r="CV135" s="45">
        <f t="shared" si="386"/>
        <v>0</v>
      </c>
      <c r="CW135" s="45">
        <f t="shared" si="387"/>
        <v>0</v>
      </c>
      <c r="CX135" s="45">
        <f t="shared" si="388"/>
        <v>0</v>
      </c>
      <c r="CY135" s="45">
        <f t="shared" si="290"/>
        <v>0</v>
      </c>
      <c r="CZ135" s="45"/>
      <c r="DA135" s="45" t="str">
        <f t="shared" si="389"/>
        <v>BS</v>
      </c>
      <c r="DB135" s="45" t="str">
        <f t="shared" si="390"/>
        <v>BS</v>
      </c>
      <c r="DC135" s="45" t="str">
        <f t="shared" si="391"/>
        <v>BS</v>
      </c>
      <c r="DD135" s="45" t="str">
        <f t="shared" si="392"/>
        <v>BS</v>
      </c>
      <c r="DE135" s="45" t="str">
        <f t="shared" si="393"/>
        <v>BS</v>
      </c>
      <c r="DF135" s="45" t="str">
        <f t="shared" si="394"/>
        <v>BS</v>
      </c>
      <c r="DG135" s="45" t="str">
        <f t="shared" si="395"/>
        <v>BS</v>
      </c>
      <c r="DH135" s="45" t="str">
        <f t="shared" si="396"/>
        <v>BS</v>
      </c>
      <c r="DI135" s="45" t="str">
        <f t="shared" si="397"/>
        <v>BS</v>
      </c>
      <c r="DJ135" s="45" t="str">
        <f t="shared" si="398"/>
        <v>BS</v>
      </c>
      <c r="DK135" s="45" t="str">
        <f t="shared" si="286"/>
        <v>BS</v>
      </c>
      <c r="DL135" s="45" t="str">
        <f t="shared" si="399"/>
        <v>BS</v>
      </c>
      <c r="DM135" s="45">
        <f t="shared" si="400"/>
        <v>0.16964285714285712</v>
      </c>
      <c r="DN135" s="45">
        <f t="shared" si="401"/>
        <v>0</v>
      </c>
      <c r="DO135" s="45">
        <f t="shared" si="402"/>
        <v>0</v>
      </c>
      <c r="DP135" s="45">
        <f t="shared" si="403"/>
        <v>0</v>
      </c>
      <c r="DQ135" s="45">
        <f t="shared" si="404"/>
        <v>0</v>
      </c>
      <c r="DR135" s="45">
        <f t="shared" si="405"/>
        <v>0</v>
      </c>
      <c r="DS135" s="45">
        <f t="shared" si="406"/>
        <v>0</v>
      </c>
      <c r="DT135" s="45">
        <f t="shared" si="407"/>
        <v>0</v>
      </c>
      <c r="DU135" s="45">
        <f t="shared" si="408"/>
        <v>0</v>
      </c>
      <c r="DV135" s="45">
        <f t="shared" si="409"/>
        <v>0</v>
      </c>
      <c r="DW135" s="45">
        <f t="shared" si="410"/>
        <v>0</v>
      </c>
      <c r="DX135" s="45">
        <f t="shared" si="411"/>
        <v>0</v>
      </c>
      <c r="DY135" s="41">
        <v>0.95</v>
      </c>
      <c r="DZ135" s="41">
        <v>0</v>
      </c>
      <c r="EA135" s="41">
        <v>0</v>
      </c>
      <c r="EB135" s="41">
        <v>0</v>
      </c>
      <c r="EC135" s="41">
        <v>0</v>
      </c>
      <c r="ED135" s="41">
        <v>0</v>
      </c>
      <c r="EE135" s="41">
        <v>0</v>
      </c>
      <c r="EF135" s="41">
        <v>0</v>
      </c>
      <c r="EG135" s="41">
        <v>0</v>
      </c>
      <c r="EH135" s="405" t="s">
        <v>1641</v>
      </c>
      <c r="EI135" s="231"/>
      <c r="EJ135" s="59">
        <f t="shared" si="412"/>
        <v>46477</v>
      </c>
      <c r="EK135" s="229"/>
      <c r="EL135" s="230"/>
      <c r="EM135" s="230"/>
      <c r="EN135" s="231"/>
      <c r="EO135" s="222"/>
      <c r="EP135" s="220"/>
      <c r="EQ135" s="222"/>
      <c r="ER135" s="223"/>
      <c r="ES135" s="220"/>
      <c r="ET135" s="222"/>
      <c r="EU135" s="222"/>
      <c r="EV135" s="220"/>
      <c r="EW135" s="220"/>
      <c r="EX135" s="220"/>
      <c r="EY135" s="220"/>
      <c r="EZ135" s="220"/>
      <c r="FA135" s="220"/>
      <c r="FB135" s="220"/>
      <c r="FC135" s="222"/>
      <c r="FD135" s="220"/>
      <c r="FE135" s="220"/>
      <c r="FF135" s="222"/>
      <c r="FG135" s="222"/>
      <c r="FH135" s="220"/>
      <c r="FI135" s="220"/>
      <c r="FJ135" s="220"/>
      <c r="FK135" s="220"/>
      <c r="FL135" s="215"/>
      <c r="FM135" s="172" t="s">
        <v>333</v>
      </c>
      <c r="FN135" s="172" t="s">
        <v>230</v>
      </c>
      <c r="FO135" s="224" t="s">
        <v>300</v>
      </c>
      <c r="FP135" s="172" t="s">
        <v>902</v>
      </c>
      <c r="FQ135" s="172" t="s">
        <v>301</v>
      </c>
      <c r="FR135" s="337" t="s">
        <v>549</v>
      </c>
      <c r="FS135" s="261" t="s">
        <v>203</v>
      </c>
      <c r="FT135" s="379" t="s">
        <v>722</v>
      </c>
      <c r="FU135" s="320">
        <v>4</v>
      </c>
    </row>
    <row r="136" spans="1:177" s="13" customFormat="1" ht="409.5">
      <c r="A136" s="278" t="s">
        <v>920</v>
      </c>
      <c r="B136" s="48"/>
      <c r="C136" s="64" t="s">
        <v>206</v>
      </c>
      <c r="D136" s="225" t="s">
        <v>207</v>
      </c>
      <c r="E136" s="487" t="s">
        <v>921</v>
      </c>
      <c r="F136" s="279">
        <v>1</v>
      </c>
      <c r="G136" s="65" t="s">
        <v>922</v>
      </c>
      <c r="H136" s="65" t="s">
        <v>923</v>
      </c>
      <c r="I136" s="65" t="s">
        <v>924</v>
      </c>
      <c r="J136" s="48">
        <v>2024</v>
      </c>
      <c r="K136" s="48">
        <v>2025</v>
      </c>
      <c r="L136" s="48" t="s">
        <v>172</v>
      </c>
      <c r="M136" s="48" t="s">
        <v>173</v>
      </c>
      <c r="N136" s="48" t="s">
        <v>174</v>
      </c>
      <c r="O136" s="48" t="s">
        <v>638</v>
      </c>
      <c r="P136" s="63" t="s">
        <v>458</v>
      </c>
      <c r="Q136" s="48" t="s">
        <v>189</v>
      </c>
      <c r="R136" s="66" t="s">
        <v>789</v>
      </c>
      <c r="S136" s="63" t="str">
        <f t="shared" si="414"/>
        <v>Selesai Implementasi</v>
      </c>
      <c r="T136" s="63" t="str">
        <f t="shared" si="413"/>
        <v>DONE</v>
      </c>
      <c r="U136" s="63" t="str">
        <f t="shared" si="354"/>
        <v>Aldo Fernanda</v>
      </c>
      <c r="V136" s="67">
        <f t="shared" si="415"/>
        <v>0.99999999999999989</v>
      </c>
      <c r="W136" s="66" t="s">
        <v>532</v>
      </c>
      <c r="X136" s="59">
        <f t="shared" si="355"/>
        <v>45900</v>
      </c>
      <c r="Y136" s="68">
        <v>1</v>
      </c>
      <c r="Z136" s="48"/>
      <c r="AA136" s="216"/>
      <c r="AB136" s="217"/>
      <c r="AC136" s="217"/>
      <c r="AD136" s="217"/>
      <c r="AE136" s="217"/>
      <c r="AF136" s="217"/>
      <c r="AG136" s="217"/>
      <c r="AH136" s="217"/>
      <c r="AI136" s="217">
        <v>45658</v>
      </c>
      <c r="AJ136" s="217">
        <v>45688</v>
      </c>
      <c r="AK136" s="217">
        <v>45689</v>
      </c>
      <c r="AL136" s="217">
        <v>45791</v>
      </c>
      <c r="AM136" s="217">
        <v>45792</v>
      </c>
      <c r="AN136" s="217">
        <v>45838</v>
      </c>
      <c r="AO136" s="217">
        <v>45839</v>
      </c>
      <c r="AP136" s="380">
        <v>45883</v>
      </c>
      <c r="AQ136" s="217">
        <v>45884</v>
      </c>
      <c r="AR136" s="217">
        <v>45900</v>
      </c>
      <c r="AS136" s="63" t="str">
        <f t="shared" si="356"/>
        <v>Selesai Implementasi</v>
      </c>
      <c r="AT136" s="63" t="str">
        <f t="shared" si="357"/>
        <v>Selesai Implementasi</v>
      </c>
      <c r="AU136" s="63" t="str">
        <f t="shared" si="358"/>
        <v>Selesai Implementasi</v>
      </c>
      <c r="AV136" s="63" t="str">
        <f t="shared" si="359"/>
        <v>Selesai Implementasi</v>
      </c>
      <c r="AW136" s="63" t="str">
        <f t="shared" si="360"/>
        <v>Selesai Implementasi</v>
      </c>
      <c r="AX136" s="63" t="str">
        <f t="shared" si="361"/>
        <v>Selesai Implementasi</v>
      </c>
      <c r="AY136" s="63" t="str">
        <f t="shared" si="362"/>
        <v>Selesai Implementasi</v>
      </c>
      <c r="AZ136" s="63" t="str">
        <f t="shared" si="363"/>
        <v>Selesai Implementasi</v>
      </c>
      <c r="BA136" s="63" t="str">
        <f t="shared" si="364"/>
        <v>Selesai Implementasi</v>
      </c>
      <c r="BB136" s="63" t="str">
        <f t="shared" si="365"/>
        <v>Selesai Implementasi</v>
      </c>
      <c r="BC136" s="63" t="str">
        <f t="shared" si="288"/>
        <v>Selesai Implementasi</v>
      </c>
      <c r="BD136" s="63" t="str">
        <f t="shared" si="366"/>
        <v>Selesai Implementasi</v>
      </c>
      <c r="BE136" s="351">
        <v>1</v>
      </c>
      <c r="BF136" s="351">
        <v>1</v>
      </c>
      <c r="BG136" s="351">
        <v>1</v>
      </c>
      <c r="BH136" s="351">
        <v>1</v>
      </c>
      <c r="BI136" s="351">
        <v>1</v>
      </c>
      <c r="BJ136" s="351">
        <v>1</v>
      </c>
      <c r="BK136" s="351">
        <v>1</v>
      </c>
      <c r="BL136" s="351">
        <v>1</v>
      </c>
      <c r="BM136" s="351">
        <v>1</v>
      </c>
      <c r="BN136" s="351">
        <v>1</v>
      </c>
      <c r="BO136" s="351">
        <v>1</v>
      </c>
      <c r="BP136" s="351">
        <v>1</v>
      </c>
      <c r="BQ136" s="63" t="str">
        <f t="shared" si="367"/>
        <v>Selesai Implementasi</v>
      </c>
      <c r="BR136" s="63" t="str">
        <f t="shared" si="368"/>
        <v>Not Started</v>
      </c>
      <c r="BS136" s="63" t="str">
        <f t="shared" si="369"/>
        <v>Not Started</v>
      </c>
      <c r="BT136" s="63" t="str">
        <f t="shared" si="370"/>
        <v>Not Started</v>
      </c>
      <c r="BU136" s="63" t="str">
        <f t="shared" si="371"/>
        <v>Not Started</v>
      </c>
      <c r="BV136" s="63" t="str">
        <f t="shared" si="372"/>
        <v>Not Started</v>
      </c>
      <c r="BW136" s="63" t="str">
        <f t="shared" si="373"/>
        <v>Not Started</v>
      </c>
      <c r="BX136" s="63" t="str">
        <f t="shared" si="374"/>
        <v>Not Started</v>
      </c>
      <c r="BY136" s="63" t="str">
        <f t="shared" si="375"/>
        <v>Not Started</v>
      </c>
      <c r="BZ136" s="63" t="str">
        <f t="shared" si="376"/>
        <v>Not Started</v>
      </c>
      <c r="CA136" s="63" t="str">
        <f t="shared" si="377"/>
        <v>Not Started</v>
      </c>
      <c r="CB136" s="63" t="str">
        <f t="shared" si="378"/>
        <v>Not Started</v>
      </c>
      <c r="CC136" s="44">
        <f t="shared" si="289"/>
        <v>0.99999999999999989</v>
      </c>
      <c r="CD136" s="44"/>
      <c r="CE136" s="44"/>
      <c r="CF136" s="44"/>
      <c r="CG136" s="44"/>
      <c r="CH136" s="44"/>
      <c r="CI136" s="44"/>
      <c r="CJ136" s="44"/>
      <c r="CK136" s="44"/>
      <c r="CL136" s="44"/>
      <c r="CM136" s="44"/>
      <c r="CN136" s="44"/>
      <c r="CO136" s="45">
        <f t="shared" si="379"/>
        <v>0.99999999999999989</v>
      </c>
      <c r="CP136" s="45">
        <f t="shared" si="380"/>
        <v>0</v>
      </c>
      <c r="CQ136" s="45">
        <f t="shared" si="381"/>
        <v>0</v>
      </c>
      <c r="CR136" s="45">
        <f t="shared" si="382"/>
        <v>0</v>
      </c>
      <c r="CS136" s="45">
        <f t="shared" si="383"/>
        <v>0</v>
      </c>
      <c r="CT136" s="45">
        <f t="shared" si="384"/>
        <v>0</v>
      </c>
      <c r="CU136" s="45">
        <f t="shared" si="385"/>
        <v>0</v>
      </c>
      <c r="CV136" s="45">
        <f t="shared" si="386"/>
        <v>0</v>
      </c>
      <c r="CW136" s="45">
        <f t="shared" si="387"/>
        <v>0</v>
      </c>
      <c r="CX136" s="45">
        <f t="shared" si="388"/>
        <v>0</v>
      </c>
      <c r="CY136" s="45">
        <f t="shared" si="290"/>
        <v>0</v>
      </c>
      <c r="CZ136" s="45"/>
      <c r="DA136" s="45" t="str">
        <f t="shared" si="389"/>
        <v>DONE</v>
      </c>
      <c r="DB136" s="45" t="str">
        <f t="shared" si="390"/>
        <v>BS</v>
      </c>
      <c r="DC136" s="45" t="str">
        <f t="shared" si="391"/>
        <v>BS</v>
      </c>
      <c r="DD136" s="45" t="str">
        <f t="shared" si="392"/>
        <v>BS</v>
      </c>
      <c r="DE136" s="45" t="str">
        <f t="shared" si="393"/>
        <v>BS</v>
      </c>
      <c r="DF136" s="45" t="str">
        <f t="shared" si="394"/>
        <v>BS</v>
      </c>
      <c r="DG136" s="45" t="str">
        <f t="shared" si="395"/>
        <v>BS</v>
      </c>
      <c r="DH136" s="45" t="str">
        <f t="shared" si="396"/>
        <v>BS</v>
      </c>
      <c r="DI136" s="45" t="str">
        <f t="shared" si="397"/>
        <v>BS</v>
      </c>
      <c r="DJ136" s="45" t="str">
        <f t="shared" si="398"/>
        <v>BS</v>
      </c>
      <c r="DK136" s="45" t="str">
        <f t="shared" si="286"/>
        <v>BS</v>
      </c>
      <c r="DL136" s="45" t="str">
        <f t="shared" si="399"/>
        <v>BS</v>
      </c>
      <c r="DM136" s="45">
        <f t="shared" si="400"/>
        <v>0.99999999999999989</v>
      </c>
      <c r="DN136" s="45">
        <f t="shared" si="401"/>
        <v>0</v>
      </c>
      <c r="DO136" s="45">
        <f t="shared" si="402"/>
        <v>0</v>
      </c>
      <c r="DP136" s="45">
        <f t="shared" si="403"/>
        <v>0</v>
      </c>
      <c r="DQ136" s="45">
        <f t="shared" si="404"/>
        <v>0</v>
      </c>
      <c r="DR136" s="45">
        <f t="shared" si="405"/>
        <v>0</v>
      </c>
      <c r="DS136" s="45">
        <f t="shared" si="406"/>
        <v>0</v>
      </c>
      <c r="DT136" s="45">
        <f t="shared" si="407"/>
        <v>0</v>
      </c>
      <c r="DU136" s="45">
        <f t="shared" si="408"/>
        <v>0</v>
      </c>
      <c r="DV136" s="45">
        <f t="shared" si="409"/>
        <v>0</v>
      </c>
      <c r="DW136" s="45">
        <f t="shared" si="410"/>
        <v>0</v>
      </c>
      <c r="DX136" s="45">
        <f t="shared" si="411"/>
        <v>0</v>
      </c>
      <c r="DY136" s="46">
        <v>1</v>
      </c>
      <c r="DZ136" s="46">
        <v>1</v>
      </c>
      <c r="EA136" s="46">
        <v>1</v>
      </c>
      <c r="EB136" s="46">
        <v>1</v>
      </c>
      <c r="EC136" s="46">
        <v>1</v>
      </c>
      <c r="ED136" s="46">
        <v>1</v>
      </c>
      <c r="EE136" s="46">
        <v>1</v>
      </c>
      <c r="EF136" s="46">
        <v>1</v>
      </c>
      <c r="EG136" s="46">
        <v>1</v>
      </c>
      <c r="EH136" s="473" t="s">
        <v>925</v>
      </c>
      <c r="EI136" s="230">
        <v>45930</v>
      </c>
      <c r="EJ136" s="59">
        <f t="shared" si="412"/>
        <v>45900</v>
      </c>
      <c r="EK136" s="229"/>
      <c r="EL136" s="230"/>
      <c r="EM136" s="230"/>
      <c r="EN136" s="222" t="s">
        <v>926</v>
      </c>
      <c r="EO136" s="222" t="s">
        <v>927</v>
      </c>
      <c r="EP136" s="220"/>
      <c r="EQ136" s="222"/>
      <c r="ER136" s="223"/>
      <c r="ES136" s="220"/>
      <c r="ET136" s="222"/>
      <c r="EU136" s="222"/>
      <c r="EV136" s="220"/>
      <c r="EW136" s="220"/>
      <c r="EX136" s="220"/>
      <c r="EY136" s="220"/>
      <c r="EZ136" s="220"/>
      <c r="FA136" s="222" t="s">
        <v>928</v>
      </c>
      <c r="FB136" s="220"/>
      <c r="FC136" s="222"/>
      <c r="FD136" s="220"/>
      <c r="FE136" s="220"/>
      <c r="FF136" s="222"/>
      <c r="FG136" s="222"/>
      <c r="FH136" s="220"/>
      <c r="FI136" s="220"/>
      <c r="FJ136" s="220"/>
      <c r="FK136" s="220"/>
      <c r="FL136" s="215"/>
      <c r="FM136" s="172" t="s">
        <v>929</v>
      </c>
      <c r="FN136" s="172" t="s">
        <v>180</v>
      </c>
      <c r="FO136" s="172" t="s">
        <v>231</v>
      </c>
      <c r="FP136" s="172" t="s">
        <v>182</v>
      </c>
      <c r="FQ136" s="172" t="s">
        <v>328</v>
      </c>
      <c r="FR136" s="289" t="s">
        <v>224</v>
      </c>
      <c r="FS136" s="267"/>
      <c r="FT136" s="381" t="s">
        <v>572</v>
      </c>
      <c r="FU136" s="294">
        <v>12</v>
      </c>
    </row>
    <row r="137" spans="1:177" s="13" customFormat="1" ht="64">
      <c r="A137" s="278" t="s">
        <v>930</v>
      </c>
      <c r="B137" s="48" t="s">
        <v>468</v>
      </c>
      <c r="C137" s="64" t="s">
        <v>206</v>
      </c>
      <c r="D137" s="225" t="s">
        <v>207</v>
      </c>
      <c r="E137" s="488" t="s">
        <v>921</v>
      </c>
      <c r="F137" s="279">
        <v>2</v>
      </c>
      <c r="G137" s="65" t="s">
        <v>922</v>
      </c>
      <c r="H137" s="65" t="s">
        <v>923</v>
      </c>
      <c r="I137" s="584" t="s">
        <v>931</v>
      </c>
      <c r="J137" s="48">
        <v>2024</v>
      </c>
      <c r="K137" s="48">
        <v>2025</v>
      </c>
      <c r="L137" s="48" t="s">
        <v>172</v>
      </c>
      <c r="M137" s="48" t="s">
        <v>173</v>
      </c>
      <c r="N137" s="48" t="s">
        <v>174</v>
      </c>
      <c r="O137" s="48" t="s">
        <v>932</v>
      </c>
      <c r="P137" s="63" t="s">
        <v>458</v>
      </c>
      <c r="Q137" s="214" t="s">
        <v>297</v>
      </c>
      <c r="R137" s="63" t="s">
        <v>310</v>
      </c>
      <c r="S137" s="63" t="str">
        <f t="shared" si="414"/>
        <v>Selesai Implementasi</v>
      </c>
      <c r="T137" s="63" t="str">
        <f t="shared" si="413"/>
        <v>DONE</v>
      </c>
      <c r="U137" s="63" t="str">
        <f t="shared" si="354"/>
        <v>Pahman Hasibuan</v>
      </c>
      <c r="V137" s="67">
        <f t="shared" si="415"/>
        <v>0.99999999999999989</v>
      </c>
      <c r="W137" s="66" t="s">
        <v>532</v>
      </c>
      <c r="X137" s="59">
        <f t="shared" si="355"/>
        <v>45793</v>
      </c>
      <c r="Y137" s="68">
        <v>2025</v>
      </c>
      <c r="Z137" s="48"/>
      <c r="AA137" s="279"/>
      <c r="AB137" s="48"/>
      <c r="AC137" s="48"/>
      <c r="AD137" s="48"/>
      <c r="AE137" s="218">
        <v>45658</v>
      </c>
      <c r="AF137" s="218">
        <v>45688</v>
      </c>
      <c r="AG137" s="218"/>
      <c r="AH137" s="218"/>
      <c r="AI137" s="218">
        <v>45705</v>
      </c>
      <c r="AJ137" s="218">
        <v>45723</v>
      </c>
      <c r="AK137" s="42">
        <v>45719</v>
      </c>
      <c r="AL137" s="42">
        <v>45772</v>
      </c>
      <c r="AM137" s="42">
        <v>45768</v>
      </c>
      <c r="AN137" s="42">
        <v>45772</v>
      </c>
      <c r="AO137" s="42">
        <v>45775</v>
      </c>
      <c r="AP137" s="42">
        <v>45791</v>
      </c>
      <c r="AQ137" s="42">
        <v>45791</v>
      </c>
      <c r="AR137" s="42">
        <v>45793</v>
      </c>
      <c r="AS137" s="63" t="str">
        <f t="shared" si="356"/>
        <v>Selesai Implementasi</v>
      </c>
      <c r="AT137" s="63" t="str">
        <f t="shared" si="357"/>
        <v>Selesai Implementasi</v>
      </c>
      <c r="AU137" s="63" t="str">
        <f t="shared" si="358"/>
        <v>Selesai Implementasi</v>
      </c>
      <c r="AV137" s="63" t="str">
        <f t="shared" si="359"/>
        <v>Selesai Implementasi</v>
      </c>
      <c r="AW137" s="63" t="str">
        <f t="shared" si="360"/>
        <v>Selesai Implementasi</v>
      </c>
      <c r="AX137" s="63" t="str">
        <f t="shared" si="361"/>
        <v>Selesai Implementasi</v>
      </c>
      <c r="AY137" s="63" t="str">
        <f t="shared" si="362"/>
        <v>Selesai Implementasi</v>
      </c>
      <c r="AZ137" s="63" t="str">
        <f t="shared" si="363"/>
        <v>Selesai Implementasi</v>
      </c>
      <c r="BA137" s="63" t="str">
        <f t="shared" si="364"/>
        <v>Selesai Implementasi</v>
      </c>
      <c r="BB137" s="63" t="str">
        <f t="shared" si="365"/>
        <v>Selesai Implementasi</v>
      </c>
      <c r="BC137" s="63" t="str">
        <f t="shared" si="288"/>
        <v>Selesai Implementasi</v>
      </c>
      <c r="BD137" s="63" t="str">
        <f t="shared" si="366"/>
        <v>Selesai Implementasi</v>
      </c>
      <c r="BE137" s="351">
        <v>1</v>
      </c>
      <c r="BF137" s="351">
        <v>1</v>
      </c>
      <c r="BG137" s="351">
        <v>1</v>
      </c>
      <c r="BH137" s="351">
        <v>1</v>
      </c>
      <c r="BI137" s="351">
        <v>1</v>
      </c>
      <c r="BJ137" s="351">
        <v>1</v>
      </c>
      <c r="BK137" s="351">
        <v>1</v>
      </c>
      <c r="BL137" s="351">
        <v>1</v>
      </c>
      <c r="BM137" s="351">
        <v>1</v>
      </c>
      <c r="BN137" s="351">
        <v>1</v>
      </c>
      <c r="BO137" s="351">
        <v>1</v>
      </c>
      <c r="BP137" s="351">
        <v>1</v>
      </c>
      <c r="BQ137" s="63" t="str">
        <f t="shared" si="367"/>
        <v>Selesai Implementasi</v>
      </c>
      <c r="BR137" s="63" t="str">
        <f t="shared" si="368"/>
        <v>Not Started</v>
      </c>
      <c r="BS137" s="63" t="str">
        <f t="shared" si="369"/>
        <v>Not Started</v>
      </c>
      <c r="BT137" s="63" t="str">
        <f t="shared" si="370"/>
        <v>Not Started</v>
      </c>
      <c r="BU137" s="63" t="str">
        <f t="shared" si="371"/>
        <v>Not Started</v>
      </c>
      <c r="BV137" s="63" t="str">
        <f t="shared" si="372"/>
        <v>Not Started</v>
      </c>
      <c r="BW137" s="63" t="str">
        <f t="shared" si="373"/>
        <v>Not Started</v>
      </c>
      <c r="BX137" s="63" t="str">
        <f t="shared" si="374"/>
        <v>Not Started</v>
      </c>
      <c r="BY137" s="63" t="str">
        <f t="shared" si="375"/>
        <v>Not Started</v>
      </c>
      <c r="BZ137" s="63" t="str">
        <f t="shared" si="376"/>
        <v>Not Started</v>
      </c>
      <c r="CA137" s="63" t="str">
        <f t="shared" si="377"/>
        <v>Not Started</v>
      </c>
      <c r="CB137" s="63" t="str">
        <f t="shared" si="378"/>
        <v>Not Started</v>
      </c>
      <c r="CC137" s="44">
        <f t="shared" si="289"/>
        <v>0.99999999999999989</v>
      </c>
      <c r="CD137" s="44"/>
      <c r="CE137" s="44"/>
      <c r="CF137" s="44"/>
      <c r="CG137" s="44"/>
      <c r="CH137" s="44"/>
      <c r="CI137" s="44"/>
      <c r="CJ137" s="44"/>
      <c r="CK137" s="44"/>
      <c r="CL137" s="44"/>
      <c r="CM137" s="44"/>
      <c r="CN137" s="44"/>
      <c r="CO137" s="45">
        <f t="shared" si="379"/>
        <v>0.99999999999999989</v>
      </c>
      <c r="CP137" s="45">
        <f t="shared" si="380"/>
        <v>0</v>
      </c>
      <c r="CQ137" s="45">
        <f t="shared" si="381"/>
        <v>0</v>
      </c>
      <c r="CR137" s="45">
        <f t="shared" si="382"/>
        <v>0</v>
      </c>
      <c r="CS137" s="45">
        <f t="shared" si="383"/>
        <v>0</v>
      </c>
      <c r="CT137" s="45">
        <f t="shared" si="384"/>
        <v>0</v>
      </c>
      <c r="CU137" s="45">
        <f t="shared" si="385"/>
        <v>0</v>
      </c>
      <c r="CV137" s="45">
        <f t="shared" si="386"/>
        <v>0</v>
      </c>
      <c r="CW137" s="45">
        <f t="shared" si="387"/>
        <v>0</v>
      </c>
      <c r="CX137" s="45">
        <f t="shared" si="388"/>
        <v>0</v>
      </c>
      <c r="CY137" s="45">
        <f t="shared" si="290"/>
        <v>0</v>
      </c>
      <c r="CZ137" s="45"/>
      <c r="DA137" s="45" t="str">
        <f t="shared" si="389"/>
        <v>DONE</v>
      </c>
      <c r="DB137" s="45" t="str">
        <f t="shared" si="390"/>
        <v>BS</v>
      </c>
      <c r="DC137" s="45" t="str">
        <f t="shared" si="391"/>
        <v>BS</v>
      </c>
      <c r="DD137" s="45" t="str">
        <f t="shared" si="392"/>
        <v>BS</v>
      </c>
      <c r="DE137" s="45" t="str">
        <f t="shared" si="393"/>
        <v>BS</v>
      </c>
      <c r="DF137" s="45" t="str">
        <f t="shared" si="394"/>
        <v>BS</v>
      </c>
      <c r="DG137" s="45" t="str">
        <f t="shared" si="395"/>
        <v>BS</v>
      </c>
      <c r="DH137" s="45" t="str">
        <f t="shared" si="396"/>
        <v>BS</v>
      </c>
      <c r="DI137" s="45" t="str">
        <f t="shared" si="397"/>
        <v>BS</v>
      </c>
      <c r="DJ137" s="45" t="str">
        <f t="shared" si="398"/>
        <v>BS</v>
      </c>
      <c r="DK137" s="45" t="str">
        <f t="shared" ref="DK137:DK157" si="416">IF(BO137=0%,"NS",IF(CM137=100%,"DONE",IF(CY137&gt;100%,"AS",IF(CY137&lt;75%,"BS",IF(CY137&lt;89.9%,"AR","OS")))))</f>
        <v>BS</v>
      </c>
      <c r="DL137" s="45" t="str">
        <f t="shared" si="399"/>
        <v>BS</v>
      </c>
      <c r="DM137" s="45">
        <f t="shared" si="400"/>
        <v>0.99999999999999989</v>
      </c>
      <c r="DN137" s="45">
        <f t="shared" si="401"/>
        <v>0</v>
      </c>
      <c r="DO137" s="45">
        <f t="shared" si="402"/>
        <v>0</v>
      </c>
      <c r="DP137" s="45">
        <f t="shared" si="403"/>
        <v>0</v>
      </c>
      <c r="DQ137" s="45">
        <f t="shared" si="404"/>
        <v>0</v>
      </c>
      <c r="DR137" s="45">
        <f t="shared" si="405"/>
        <v>0</v>
      </c>
      <c r="DS137" s="45">
        <f t="shared" si="406"/>
        <v>0</v>
      </c>
      <c r="DT137" s="45">
        <f t="shared" si="407"/>
        <v>0</v>
      </c>
      <c r="DU137" s="45">
        <f t="shared" si="408"/>
        <v>0</v>
      </c>
      <c r="DV137" s="45">
        <f t="shared" si="409"/>
        <v>0</v>
      </c>
      <c r="DW137" s="45">
        <f t="shared" si="410"/>
        <v>0</v>
      </c>
      <c r="DX137" s="45">
        <f t="shared" si="411"/>
        <v>0</v>
      </c>
      <c r="DY137" s="46">
        <v>1</v>
      </c>
      <c r="DZ137" s="46">
        <v>1</v>
      </c>
      <c r="EA137" s="46">
        <v>1</v>
      </c>
      <c r="EB137" s="46">
        <v>1</v>
      </c>
      <c r="EC137" s="46">
        <v>1</v>
      </c>
      <c r="ED137" s="46">
        <v>1</v>
      </c>
      <c r="EE137" s="46">
        <v>1</v>
      </c>
      <c r="EF137" s="46">
        <v>1</v>
      </c>
      <c r="EG137" s="46">
        <v>1</v>
      </c>
      <c r="EH137" s="567" t="s">
        <v>933</v>
      </c>
      <c r="EI137" s="59">
        <v>45793</v>
      </c>
      <c r="EJ137" s="59">
        <f t="shared" si="412"/>
        <v>45793</v>
      </c>
      <c r="EK137" s="229"/>
      <c r="EL137" s="382"/>
      <c r="EM137" s="382"/>
      <c r="EN137" s="222"/>
      <c r="EO137" s="222"/>
      <c r="EP137" s="220"/>
      <c r="EQ137" s="222"/>
      <c r="ER137" s="223"/>
      <c r="ES137" s="220"/>
      <c r="ET137" s="222"/>
      <c r="EU137" s="222"/>
      <c r="EV137" s="220"/>
      <c r="EW137" s="220"/>
      <c r="EX137" s="220"/>
      <c r="EY137" s="220"/>
      <c r="EZ137" s="220"/>
      <c r="FA137" s="220"/>
      <c r="FB137" s="220"/>
      <c r="FC137" s="222"/>
      <c r="FD137" s="220"/>
      <c r="FE137" s="220"/>
      <c r="FF137" s="222"/>
      <c r="FG137" s="222"/>
      <c r="FH137" s="220"/>
      <c r="FI137" s="220"/>
      <c r="FJ137" s="220"/>
      <c r="FK137" s="220"/>
      <c r="FL137" s="215"/>
      <c r="FM137" s="172"/>
      <c r="FN137" s="248" t="s">
        <v>299</v>
      </c>
      <c r="FO137" s="224"/>
      <c r="FP137" s="172"/>
      <c r="FQ137" s="172"/>
      <c r="FR137" s="289" t="s">
        <v>549</v>
      </c>
      <c r="FS137" s="267" t="s">
        <v>345</v>
      </c>
      <c r="FT137" s="354" t="s">
        <v>722</v>
      </c>
      <c r="FU137" s="258">
        <v>5</v>
      </c>
    </row>
    <row r="138" spans="1:177" s="16" customFormat="1" ht="80">
      <c r="A138" s="64" t="s">
        <v>934</v>
      </c>
      <c r="B138" s="48" t="s">
        <v>468</v>
      </c>
      <c r="C138" s="64" t="s">
        <v>206</v>
      </c>
      <c r="D138" s="225" t="s">
        <v>207</v>
      </c>
      <c r="E138" s="487" t="s">
        <v>935</v>
      </c>
      <c r="F138" s="279">
        <v>1</v>
      </c>
      <c r="G138" s="65" t="s">
        <v>936</v>
      </c>
      <c r="H138" s="65" t="s">
        <v>937</v>
      </c>
      <c r="I138" s="65" t="s">
        <v>938</v>
      </c>
      <c r="J138" s="48">
        <v>2024</v>
      </c>
      <c r="K138" s="48">
        <v>2025</v>
      </c>
      <c r="L138" s="48" t="s">
        <v>288</v>
      </c>
      <c r="M138" s="48" t="s">
        <v>173</v>
      </c>
      <c r="N138" s="63" t="s">
        <v>174</v>
      </c>
      <c r="O138" s="63" t="s">
        <v>720</v>
      </c>
      <c r="P138" s="63" t="s">
        <v>458</v>
      </c>
      <c r="Q138" s="48" t="s">
        <v>199</v>
      </c>
      <c r="R138" s="63" t="s">
        <v>939</v>
      </c>
      <c r="S138" s="63" t="str">
        <f t="shared" si="414"/>
        <v>Selesai Implementasi</v>
      </c>
      <c r="T138" s="63" t="str">
        <f t="shared" si="413"/>
        <v>DONE</v>
      </c>
      <c r="U138" s="63" t="str">
        <f t="shared" si="354"/>
        <v>M. Fahmi Ridwan</v>
      </c>
      <c r="V138" s="67">
        <f t="shared" si="415"/>
        <v>0.99999999999999989</v>
      </c>
      <c r="W138" s="66" t="s">
        <v>532</v>
      </c>
      <c r="X138" s="59">
        <f t="shared" si="355"/>
        <v>45805</v>
      </c>
      <c r="Y138" s="68" t="s">
        <v>381</v>
      </c>
      <c r="Z138" s="48"/>
      <c r="AA138" s="230"/>
      <c r="AB138" s="59"/>
      <c r="AC138" s="59"/>
      <c r="AD138" s="59"/>
      <c r="AE138" s="59"/>
      <c r="AF138" s="59"/>
      <c r="AG138" s="42"/>
      <c r="AH138" s="42"/>
      <c r="AI138" s="42">
        <v>45717</v>
      </c>
      <c r="AJ138" s="42">
        <v>45730</v>
      </c>
      <c r="AK138" s="42">
        <v>45733</v>
      </c>
      <c r="AL138" s="42">
        <v>45765</v>
      </c>
      <c r="AM138" s="42">
        <v>45768</v>
      </c>
      <c r="AN138" s="42">
        <v>45779</v>
      </c>
      <c r="AO138" s="42">
        <v>45782</v>
      </c>
      <c r="AP138" s="42">
        <v>45800</v>
      </c>
      <c r="AQ138" s="42">
        <v>45803</v>
      </c>
      <c r="AR138" s="42">
        <v>45805</v>
      </c>
      <c r="AS138" s="63" t="str">
        <f t="shared" si="356"/>
        <v>Selesai Implementasi</v>
      </c>
      <c r="AT138" s="63" t="str">
        <f t="shared" si="357"/>
        <v>Selesai Implementasi</v>
      </c>
      <c r="AU138" s="63" t="str">
        <f t="shared" si="358"/>
        <v>Selesai Implementasi</v>
      </c>
      <c r="AV138" s="63" t="str">
        <f t="shared" si="359"/>
        <v>Selesai Implementasi</v>
      </c>
      <c r="AW138" s="63" t="str">
        <f t="shared" si="360"/>
        <v>Selesai Implementasi</v>
      </c>
      <c r="AX138" s="63" t="str">
        <f t="shared" si="361"/>
        <v>Selesai Implementasi</v>
      </c>
      <c r="AY138" s="63" t="str">
        <f t="shared" si="362"/>
        <v>Selesai Implementasi</v>
      </c>
      <c r="AZ138" s="63" t="str">
        <f t="shared" si="363"/>
        <v>Selesai Implementasi</v>
      </c>
      <c r="BA138" s="63" t="str">
        <f t="shared" si="364"/>
        <v>Selesai Implementasi</v>
      </c>
      <c r="BB138" s="63" t="str">
        <f t="shared" si="365"/>
        <v>Selesai Implementasi</v>
      </c>
      <c r="BC138" s="63" t="str">
        <f t="shared" si="288"/>
        <v>Selesai Implementasi</v>
      </c>
      <c r="BD138" s="63" t="str">
        <f t="shared" si="366"/>
        <v>Selesai Implementasi</v>
      </c>
      <c r="BE138" s="351">
        <v>1</v>
      </c>
      <c r="BF138" s="351">
        <v>1</v>
      </c>
      <c r="BG138" s="351">
        <v>1</v>
      </c>
      <c r="BH138" s="351">
        <v>1</v>
      </c>
      <c r="BI138" s="351">
        <v>1</v>
      </c>
      <c r="BJ138" s="351">
        <v>1</v>
      </c>
      <c r="BK138" s="351">
        <v>1</v>
      </c>
      <c r="BL138" s="351">
        <v>1</v>
      </c>
      <c r="BM138" s="351">
        <v>1</v>
      </c>
      <c r="BN138" s="351">
        <v>1</v>
      </c>
      <c r="BO138" s="351">
        <v>1</v>
      </c>
      <c r="BP138" s="351">
        <v>1</v>
      </c>
      <c r="BQ138" s="63" t="str">
        <f t="shared" si="367"/>
        <v>Selesai Implementasi</v>
      </c>
      <c r="BR138" s="63" t="str">
        <f t="shared" si="368"/>
        <v>Not Started</v>
      </c>
      <c r="BS138" s="63" t="str">
        <f t="shared" si="369"/>
        <v>Not Started</v>
      </c>
      <c r="BT138" s="63" t="str">
        <f t="shared" si="370"/>
        <v>Not Started</v>
      </c>
      <c r="BU138" s="63" t="str">
        <f t="shared" si="371"/>
        <v>Not Started</v>
      </c>
      <c r="BV138" s="63" t="str">
        <f t="shared" si="372"/>
        <v>Not Started</v>
      </c>
      <c r="BW138" s="63" t="str">
        <f t="shared" si="373"/>
        <v>Not Started</v>
      </c>
      <c r="BX138" s="63" t="str">
        <f t="shared" si="374"/>
        <v>Not Started</v>
      </c>
      <c r="BY138" s="63" t="str">
        <f t="shared" si="375"/>
        <v>Not Started</v>
      </c>
      <c r="BZ138" s="63" t="str">
        <f t="shared" si="376"/>
        <v>Not Started</v>
      </c>
      <c r="CA138" s="63" t="str">
        <f t="shared" si="377"/>
        <v>Not Started</v>
      </c>
      <c r="CB138" s="63" t="str">
        <f t="shared" si="378"/>
        <v>Not Started</v>
      </c>
      <c r="CC138" s="44">
        <f t="shared" si="289"/>
        <v>0.99999999999999989</v>
      </c>
      <c r="CD138" s="44"/>
      <c r="CE138" s="44"/>
      <c r="CF138" s="44"/>
      <c r="CG138" s="44"/>
      <c r="CH138" s="44"/>
      <c r="CI138" s="44"/>
      <c r="CJ138" s="44"/>
      <c r="CK138" s="44"/>
      <c r="CL138" s="44"/>
      <c r="CM138" s="44"/>
      <c r="CN138" s="44"/>
      <c r="CO138" s="45">
        <f t="shared" si="379"/>
        <v>0.99999999999999989</v>
      </c>
      <c r="CP138" s="45">
        <f t="shared" si="380"/>
        <v>0</v>
      </c>
      <c r="CQ138" s="45">
        <f t="shared" si="381"/>
        <v>0</v>
      </c>
      <c r="CR138" s="45">
        <f t="shared" si="382"/>
        <v>0</v>
      </c>
      <c r="CS138" s="45">
        <f t="shared" si="383"/>
        <v>0</v>
      </c>
      <c r="CT138" s="45">
        <f t="shared" si="384"/>
        <v>0</v>
      </c>
      <c r="CU138" s="45">
        <f t="shared" si="385"/>
        <v>0</v>
      </c>
      <c r="CV138" s="45">
        <f t="shared" si="386"/>
        <v>0</v>
      </c>
      <c r="CW138" s="45">
        <f t="shared" si="387"/>
        <v>0</v>
      </c>
      <c r="CX138" s="45">
        <f t="shared" si="388"/>
        <v>0</v>
      </c>
      <c r="CY138" s="45">
        <f t="shared" si="290"/>
        <v>0</v>
      </c>
      <c r="CZ138" s="45"/>
      <c r="DA138" s="45" t="str">
        <f t="shared" si="389"/>
        <v>DONE</v>
      </c>
      <c r="DB138" s="45" t="str">
        <f t="shared" si="390"/>
        <v>BS</v>
      </c>
      <c r="DC138" s="45" t="str">
        <f t="shared" si="391"/>
        <v>BS</v>
      </c>
      <c r="DD138" s="45" t="str">
        <f t="shared" si="392"/>
        <v>BS</v>
      </c>
      <c r="DE138" s="45" t="str">
        <f t="shared" si="393"/>
        <v>BS</v>
      </c>
      <c r="DF138" s="45" t="str">
        <f t="shared" si="394"/>
        <v>BS</v>
      </c>
      <c r="DG138" s="45" t="str">
        <f t="shared" si="395"/>
        <v>BS</v>
      </c>
      <c r="DH138" s="45" t="str">
        <f t="shared" si="396"/>
        <v>BS</v>
      </c>
      <c r="DI138" s="45" t="str">
        <f t="shared" si="397"/>
        <v>BS</v>
      </c>
      <c r="DJ138" s="45" t="str">
        <f t="shared" si="398"/>
        <v>BS</v>
      </c>
      <c r="DK138" s="45" t="str">
        <f t="shared" si="416"/>
        <v>BS</v>
      </c>
      <c r="DL138" s="45" t="str">
        <f t="shared" si="399"/>
        <v>BS</v>
      </c>
      <c r="DM138" s="45">
        <f t="shared" si="400"/>
        <v>0.99999999999999989</v>
      </c>
      <c r="DN138" s="45">
        <f t="shared" si="401"/>
        <v>0</v>
      </c>
      <c r="DO138" s="45">
        <f t="shared" si="402"/>
        <v>0</v>
      </c>
      <c r="DP138" s="45">
        <f t="shared" si="403"/>
        <v>0</v>
      </c>
      <c r="DQ138" s="45">
        <f t="shared" si="404"/>
        <v>0</v>
      </c>
      <c r="DR138" s="45">
        <f t="shared" si="405"/>
        <v>0</v>
      </c>
      <c r="DS138" s="45">
        <f t="shared" si="406"/>
        <v>0</v>
      </c>
      <c r="DT138" s="45">
        <f t="shared" si="407"/>
        <v>0</v>
      </c>
      <c r="DU138" s="45">
        <f t="shared" si="408"/>
        <v>0</v>
      </c>
      <c r="DV138" s="45">
        <f t="shared" si="409"/>
        <v>0</v>
      </c>
      <c r="DW138" s="45">
        <f t="shared" si="410"/>
        <v>0</v>
      </c>
      <c r="DX138" s="45">
        <f t="shared" si="411"/>
        <v>0</v>
      </c>
      <c r="DY138" s="46">
        <v>1</v>
      </c>
      <c r="DZ138" s="46">
        <v>1</v>
      </c>
      <c r="EA138" s="41">
        <v>1</v>
      </c>
      <c r="EB138" s="41">
        <v>1</v>
      </c>
      <c r="EC138" s="41">
        <v>1</v>
      </c>
      <c r="ED138" s="41">
        <v>1</v>
      </c>
      <c r="EE138" s="41">
        <v>1</v>
      </c>
      <c r="EF138" s="41">
        <v>1</v>
      </c>
      <c r="EG138" s="41">
        <v>1</v>
      </c>
      <c r="EH138" s="49" t="s">
        <v>940</v>
      </c>
      <c r="EI138" s="59">
        <v>45803</v>
      </c>
      <c r="EJ138" s="59">
        <f t="shared" si="412"/>
        <v>45805</v>
      </c>
      <c r="EK138" s="229"/>
      <c r="EL138" s="229"/>
      <c r="EM138" s="229"/>
      <c r="EN138" s="213"/>
      <c r="EO138" s="213" t="s">
        <v>941</v>
      </c>
      <c r="EP138" s="48"/>
      <c r="EQ138" s="44"/>
      <c r="ER138" s="44"/>
      <c r="ES138" s="44"/>
      <c r="ET138" s="44"/>
      <c r="EU138" s="44"/>
      <c r="EV138" s="44"/>
      <c r="EW138" s="44"/>
      <c r="EX138" s="220"/>
      <c r="EY138" s="220"/>
      <c r="EZ138" s="220"/>
      <c r="FA138" s="45"/>
      <c r="FB138" s="45"/>
      <c r="FC138" s="45"/>
      <c r="FD138" s="45"/>
      <c r="FE138" s="45"/>
      <c r="FF138" s="45"/>
      <c r="FG138" s="45"/>
      <c r="FH138" s="45"/>
      <c r="FI138" s="45"/>
      <c r="FJ138" s="45"/>
      <c r="FK138" s="45"/>
      <c r="FL138" s="383"/>
      <c r="FM138" s="172"/>
      <c r="FN138" s="248" t="s">
        <v>610</v>
      </c>
      <c r="FO138" s="172"/>
      <c r="FP138" s="172"/>
      <c r="FQ138" s="172"/>
      <c r="FR138" s="289" t="s">
        <v>184</v>
      </c>
      <c r="FS138" s="267" t="s">
        <v>942</v>
      </c>
      <c r="FT138" s="267"/>
      <c r="FU138" s="48">
        <v>5</v>
      </c>
    </row>
    <row r="139" spans="1:177" s="16" customFormat="1" ht="208">
      <c r="A139" s="64"/>
      <c r="B139" s="48" t="s">
        <v>468</v>
      </c>
      <c r="C139" s="64" t="s">
        <v>206</v>
      </c>
      <c r="D139" s="225" t="s">
        <v>207</v>
      </c>
      <c r="E139" s="487" t="s">
        <v>935</v>
      </c>
      <c r="F139" s="279">
        <v>1</v>
      </c>
      <c r="G139" s="65" t="s">
        <v>936</v>
      </c>
      <c r="H139" s="65" t="s">
        <v>937</v>
      </c>
      <c r="I139" s="65" t="s">
        <v>943</v>
      </c>
      <c r="J139" s="48">
        <v>2025</v>
      </c>
      <c r="K139" s="48">
        <v>2025</v>
      </c>
      <c r="L139" s="48" t="s">
        <v>288</v>
      </c>
      <c r="M139" s="48" t="s">
        <v>173</v>
      </c>
      <c r="N139" s="63" t="s">
        <v>174</v>
      </c>
      <c r="O139" s="63" t="s">
        <v>720</v>
      </c>
      <c r="P139" s="63" t="s">
        <v>458</v>
      </c>
      <c r="Q139" s="63" t="s">
        <v>199</v>
      </c>
      <c r="R139" s="66" t="s">
        <v>939</v>
      </c>
      <c r="S139" s="63" t="str">
        <f t="shared" si="414"/>
        <v>Selesai Implementasi</v>
      </c>
      <c r="T139" s="63" t="str">
        <f t="shared" si="413"/>
        <v>DONE</v>
      </c>
      <c r="U139" s="63" t="str">
        <f t="shared" si="354"/>
        <v>M. Fahmi Ridwan</v>
      </c>
      <c r="V139" s="67">
        <f t="shared" si="415"/>
        <v>0.99999999999999989</v>
      </c>
      <c r="W139" s="66"/>
      <c r="X139" s="59">
        <f t="shared" si="355"/>
        <v>45991</v>
      </c>
      <c r="Y139" s="68" t="s">
        <v>381</v>
      </c>
      <c r="Z139" s="48" t="s">
        <v>179</v>
      </c>
      <c r="AA139" s="384">
        <v>45748</v>
      </c>
      <c r="AB139" s="385">
        <v>45899</v>
      </c>
      <c r="AC139" s="385">
        <v>45853</v>
      </c>
      <c r="AD139" s="385">
        <v>45899</v>
      </c>
      <c r="AE139" s="386"/>
      <c r="AF139" s="386"/>
      <c r="AG139" s="386"/>
      <c r="AH139" s="386"/>
      <c r="AI139" s="385">
        <v>45901</v>
      </c>
      <c r="AJ139" s="385">
        <v>45920</v>
      </c>
      <c r="AK139" s="385">
        <v>45921</v>
      </c>
      <c r="AL139" s="385">
        <v>45945</v>
      </c>
      <c r="AM139" s="385">
        <v>45946</v>
      </c>
      <c r="AN139" s="385">
        <v>45961</v>
      </c>
      <c r="AO139" s="385">
        <v>45962</v>
      </c>
      <c r="AP139" s="385">
        <v>45976</v>
      </c>
      <c r="AQ139" s="385">
        <v>45977</v>
      </c>
      <c r="AR139" s="385">
        <v>45991</v>
      </c>
      <c r="AS139" s="63" t="str">
        <f t="shared" si="356"/>
        <v>Selesai Implementasi</v>
      </c>
      <c r="AT139" s="63" t="str">
        <f t="shared" si="357"/>
        <v>Selesai Implementasi</v>
      </c>
      <c r="AU139" s="63" t="str">
        <f t="shared" si="358"/>
        <v>Selesai Implementasi</v>
      </c>
      <c r="AV139" s="63" t="str">
        <f t="shared" si="359"/>
        <v>Selesai Implementasi</v>
      </c>
      <c r="AW139" s="63" t="str">
        <f t="shared" si="360"/>
        <v>Selesai Implementasi</v>
      </c>
      <c r="AX139" s="63" t="str">
        <f t="shared" si="361"/>
        <v>Selesai Implementasi</v>
      </c>
      <c r="AY139" s="63" t="str">
        <f t="shared" si="362"/>
        <v>Selesai Implementasi</v>
      </c>
      <c r="AZ139" s="63" t="str">
        <f t="shared" si="363"/>
        <v>Selesai Implementasi</v>
      </c>
      <c r="BA139" s="63" t="str">
        <f t="shared" si="364"/>
        <v>Selesai Implementasi</v>
      </c>
      <c r="BB139" s="63" t="str">
        <f t="shared" si="365"/>
        <v>Selesai Implementasi</v>
      </c>
      <c r="BC139" s="63" t="str">
        <f t="shared" si="288"/>
        <v>Selesai Implementasi</v>
      </c>
      <c r="BD139" s="63" t="str">
        <f t="shared" si="366"/>
        <v>Selesai Implementasi</v>
      </c>
      <c r="BE139" s="351">
        <v>1</v>
      </c>
      <c r="BF139" s="351">
        <v>1</v>
      </c>
      <c r="BG139" s="351">
        <v>1</v>
      </c>
      <c r="BH139" s="351">
        <v>1</v>
      </c>
      <c r="BI139" s="351">
        <v>1</v>
      </c>
      <c r="BJ139" s="351">
        <v>1</v>
      </c>
      <c r="BK139" s="351">
        <v>1</v>
      </c>
      <c r="BL139" s="351">
        <v>1</v>
      </c>
      <c r="BM139" s="351">
        <v>1</v>
      </c>
      <c r="BN139" s="351">
        <v>1</v>
      </c>
      <c r="BO139" s="351">
        <v>1</v>
      </c>
      <c r="BP139" s="351">
        <v>1</v>
      </c>
      <c r="BQ139" s="63" t="str">
        <f t="shared" si="367"/>
        <v>Selesai Implementasi</v>
      </c>
      <c r="BR139" s="63" t="str">
        <f t="shared" si="368"/>
        <v>Not Started</v>
      </c>
      <c r="BS139" s="63" t="str">
        <f t="shared" si="369"/>
        <v>Not Started</v>
      </c>
      <c r="BT139" s="63" t="str">
        <f t="shared" si="370"/>
        <v>Not Started</v>
      </c>
      <c r="BU139" s="63" t="str">
        <f t="shared" si="371"/>
        <v>Not Started</v>
      </c>
      <c r="BV139" s="63" t="str">
        <f t="shared" si="372"/>
        <v>Not Started</v>
      </c>
      <c r="BW139" s="63" t="str">
        <f t="shared" si="373"/>
        <v>Not Started</v>
      </c>
      <c r="BX139" s="63" t="str">
        <f t="shared" si="374"/>
        <v>Not Started</v>
      </c>
      <c r="BY139" s="63" t="str">
        <f t="shared" si="375"/>
        <v>Not Started</v>
      </c>
      <c r="BZ139" s="63" t="str">
        <f t="shared" si="376"/>
        <v>Not Started</v>
      </c>
      <c r="CA139" s="63" t="str">
        <f t="shared" si="377"/>
        <v>Not Started</v>
      </c>
      <c r="CB139" s="63" t="str">
        <f t="shared" si="378"/>
        <v>Not Started</v>
      </c>
      <c r="CC139" s="44">
        <f t="shared" si="289"/>
        <v>0.99999999999999989</v>
      </c>
      <c r="CD139" s="44"/>
      <c r="CE139" s="44"/>
      <c r="CF139" s="44"/>
      <c r="CG139" s="44"/>
      <c r="CH139" s="44"/>
      <c r="CI139" s="44"/>
      <c r="CJ139" s="44"/>
      <c r="CK139" s="44"/>
      <c r="CL139" s="44"/>
      <c r="CM139" s="44"/>
      <c r="CN139" s="44"/>
      <c r="CO139" s="45">
        <f t="shared" si="379"/>
        <v>0.99999999999999989</v>
      </c>
      <c r="CP139" s="45">
        <f t="shared" si="380"/>
        <v>0</v>
      </c>
      <c r="CQ139" s="45">
        <f t="shared" si="381"/>
        <v>0</v>
      </c>
      <c r="CR139" s="45">
        <f t="shared" si="382"/>
        <v>0</v>
      </c>
      <c r="CS139" s="45">
        <f t="shared" si="383"/>
        <v>0</v>
      </c>
      <c r="CT139" s="45">
        <f t="shared" si="384"/>
        <v>0</v>
      </c>
      <c r="CU139" s="45">
        <f t="shared" si="385"/>
        <v>0</v>
      </c>
      <c r="CV139" s="45">
        <f t="shared" si="386"/>
        <v>0</v>
      </c>
      <c r="CW139" s="45">
        <f t="shared" si="387"/>
        <v>0</v>
      </c>
      <c r="CX139" s="45">
        <f t="shared" si="388"/>
        <v>0</v>
      </c>
      <c r="CY139" s="45">
        <f t="shared" si="290"/>
        <v>0</v>
      </c>
      <c r="CZ139" s="45"/>
      <c r="DA139" s="45" t="str">
        <f t="shared" si="389"/>
        <v>DONE</v>
      </c>
      <c r="DB139" s="45" t="str">
        <f t="shared" si="390"/>
        <v>BS</v>
      </c>
      <c r="DC139" s="45" t="str">
        <f t="shared" si="391"/>
        <v>BS</v>
      </c>
      <c r="DD139" s="45" t="str">
        <f t="shared" si="392"/>
        <v>BS</v>
      </c>
      <c r="DE139" s="45" t="str">
        <f t="shared" si="393"/>
        <v>BS</v>
      </c>
      <c r="DF139" s="45" t="str">
        <f t="shared" si="394"/>
        <v>BS</v>
      </c>
      <c r="DG139" s="45" t="str">
        <f t="shared" si="395"/>
        <v>BS</v>
      </c>
      <c r="DH139" s="45" t="str">
        <f t="shared" si="396"/>
        <v>BS</v>
      </c>
      <c r="DI139" s="45" t="str">
        <f t="shared" si="397"/>
        <v>BS</v>
      </c>
      <c r="DJ139" s="45" t="str">
        <f t="shared" si="398"/>
        <v>BS</v>
      </c>
      <c r="DK139" s="45" t="str">
        <f t="shared" si="416"/>
        <v>BS</v>
      </c>
      <c r="DL139" s="45" t="str">
        <f t="shared" si="399"/>
        <v>BS</v>
      </c>
      <c r="DM139" s="45">
        <f t="shared" si="400"/>
        <v>0.99999999999999989</v>
      </c>
      <c r="DN139" s="45">
        <f t="shared" si="401"/>
        <v>0</v>
      </c>
      <c r="DO139" s="45">
        <f t="shared" si="402"/>
        <v>0</v>
      </c>
      <c r="DP139" s="45">
        <f t="shared" si="403"/>
        <v>0</v>
      </c>
      <c r="DQ139" s="45">
        <f t="shared" si="404"/>
        <v>0</v>
      </c>
      <c r="DR139" s="45">
        <f t="shared" si="405"/>
        <v>0</v>
      </c>
      <c r="DS139" s="45">
        <f t="shared" si="406"/>
        <v>0</v>
      </c>
      <c r="DT139" s="45">
        <f t="shared" si="407"/>
        <v>0</v>
      </c>
      <c r="DU139" s="45">
        <f t="shared" si="408"/>
        <v>0</v>
      </c>
      <c r="DV139" s="45">
        <f t="shared" si="409"/>
        <v>0</v>
      </c>
      <c r="DW139" s="45">
        <f t="shared" si="410"/>
        <v>0</v>
      </c>
      <c r="DX139" s="45">
        <f t="shared" si="411"/>
        <v>0</v>
      </c>
      <c r="DY139" s="41">
        <v>1</v>
      </c>
      <c r="DZ139" s="41">
        <v>1</v>
      </c>
      <c r="EA139" s="41">
        <v>1</v>
      </c>
      <c r="EB139" s="41">
        <v>1</v>
      </c>
      <c r="EC139" s="41">
        <v>1</v>
      </c>
      <c r="ED139" s="41">
        <v>1</v>
      </c>
      <c r="EE139" s="41">
        <v>1</v>
      </c>
      <c r="EF139" s="41">
        <v>1</v>
      </c>
      <c r="EG139" s="41">
        <v>1</v>
      </c>
      <c r="EH139" s="49" t="s">
        <v>944</v>
      </c>
      <c r="EI139" s="352">
        <v>45964</v>
      </c>
      <c r="EJ139" s="59">
        <f t="shared" si="412"/>
        <v>45991</v>
      </c>
      <c r="EK139" s="229"/>
      <c r="EL139" s="229"/>
      <c r="EM139" s="229"/>
      <c r="EN139" s="213"/>
      <c r="EO139" s="213" t="s">
        <v>941</v>
      </c>
      <c r="EP139" s="48"/>
      <c r="EQ139" s="44"/>
      <c r="ER139" s="44"/>
      <c r="ES139" s="44"/>
      <c r="ET139" s="44"/>
      <c r="EU139" s="44"/>
      <c r="EV139" s="44"/>
      <c r="EW139" s="44"/>
      <c r="EX139" s="220"/>
      <c r="EY139" s="220"/>
      <c r="EZ139" s="220"/>
      <c r="FA139" s="45"/>
      <c r="FB139" s="45"/>
      <c r="FC139" s="45"/>
      <c r="FD139" s="45"/>
      <c r="FE139" s="45"/>
      <c r="FF139" s="45"/>
      <c r="FG139" s="45"/>
      <c r="FH139" s="45"/>
      <c r="FI139" s="45"/>
      <c r="FJ139" s="45"/>
      <c r="FK139" s="45"/>
      <c r="FL139" s="383"/>
      <c r="FM139" s="172" t="s">
        <v>244</v>
      </c>
      <c r="FN139" s="172" t="s">
        <v>610</v>
      </c>
      <c r="FO139" s="172" t="s">
        <v>231</v>
      </c>
      <c r="FP139" s="172" t="s">
        <v>945</v>
      </c>
      <c r="FQ139" s="172" t="s">
        <v>946</v>
      </c>
      <c r="FR139" s="289" t="s">
        <v>184</v>
      </c>
      <c r="FS139" s="267" t="s">
        <v>942</v>
      </c>
      <c r="FT139" s="267"/>
      <c r="FU139" s="48">
        <v>5</v>
      </c>
    </row>
    <row r="140" spans="1:177" s="16" customFormat="1" ht="409.5">
      <c r="A140" s="278" t="s">
        <v>947</v>
      </c>
      <c r="B140" s="263"/>
      <c r="C140" s="64" t="s">
        <v>206</v>
      </c>
      <c r="D140" s="225" t="s">
        <v>207</v>
      </c>
      <c r="E140" s="487" t="s">
        <v>948</v>
      </c>
      <c r="F140" s="279">
        <v>1</v>
      </c>
      <c r="G140" s="65" t="s">
        <v>949</v>
      </c>
      <c r="H140" s="65" t="s">
        <v>950</v>
      </c>
      <c r="I140" s="65" t="s">
        <v>951</v>
      </c>
      <c r="J140" s="48">
        <v>2024</v>
      </c>
      <c r="K140" s="48">
        <v>2025</v>
      </c>
      <c r="L140" s="48" t="s">
        <v>288</v>
      </c>
      <c r="M140" s="48" t="s">
        <v>173</v>
      </c>
      <c r="N140" s="48" t="s">
        <v>174</v>
      </c>
      <c r="O140" s="66" t="s">
        <v>542</v>
      </c>
      <c r="P140" s="48" t="s">
        <v>212</v>
      </c>
      <c r="Q140" s="48" t="s">
        <v>189</v>
      </c>
      <c r="R140" s="66" t="s">
        <v>952</v>
      </c>
      <c r="S140" s="63" t="str">
        <f t="shared" si="414"/>
        <v>Selesai Implementasi</v>
      </c>
      <c r="T140" s="63" t="str">
        <f t="shared" si="413"/>
        <v>DONE</v>
      </c>
      <c r="U140" s="63" t="str">
        <f t="shared" si="354"/>
        <v>Aldo Fernanda</v>
      </c>
      <c r="V140" s="67">
        <f t="shared" si="415"/>
        <v>0.99999999999999989</v>
      </c>
      <c r="W140" s="66" t="s">
        <v>532</v>
      </c>
      <c r="X140" s="59">
        <f t="shared" si="355"/>
        <v>45961</v>
      </c>
      <c r="Y140" s="387">
        <f>AR140</f>
        <v>45961</v>
      </c>
      <c r="Z140" s="217"/>
      <c r="AA140" s="279"/>
      <c r="AB140" s="48"/>
      <c r="AC140" s="48"/>
      <c r="AD140" s="48"/>
      <c r="AE140" s="217">
        <v>45505</v>
      </c>
      <c r="AF140" s="217">
        <v>45565</v>
      </c>
      <c r="AG140" s="217">
        <v>45566</v>
      </c>
      <c r="AH140" s="217">
        <v>45596</v>
      </c>
      <c r="AI140" s="217">
        <v>45672</v>
      </c>
      <c r="AJ140" s="217">
        <v>45702</v>
      </c>
      <c r="AK140" s="217">
        <v>45689</v>
      </c>
      <c r="AL140" s="217">
        <v>45826</v>
      </c>
      <c r="AM140" s="217">
        <v>45717</v>
      </c>
      <c r="AN140" s="217">
        <v>45869</v>
      </c>
      <c r="AO140" s="217">
        <v>45870</v>
      </c>
      <c r="AP140" s="217">
        <v>45930</v>
      </c>
      <c r="AQ140" s="217">
        <v>45931</v>
      </c>
      <c r="AR140" s="217">
        <v>45961</v>
      </c>
      <c r="AS140" s="63" t="str">
        <f t="shared" si="356"/>
        <v>Selesai Implementasi</v>
      </c>
      <c r="AT140" s="63" t="str">
        <f t="shared" si="357"/>
        <v>Selesai Implementasi</v>
      </c>
      <c r="AU140" s="63" t="str">
        <f t="shared" si="358"/>
        <v>Selesai Implementasi</v>
      </c>
      <c r="AV140" s="63" t="str">
        <f t="shared" si="359"/>
        <v>Selesai Implementasi</v>
      </c>
      <c r="AW140" s="63" t="str">
        <f t="shared" si="360"/>
        <v>Selesai Implementasi</v>
      </c>
      <c r="AX140" s="63" t="str">
        <f t="shared" si="361"/>
        <v>Selesai Implementasi</v>
      </c>
      <c r="AY140" s="63" t="str">
        <f t="shared" si="362"/>
        <v>Selesai Implementasi</v>
      </c>
      <c r="AZ140" s="63" t="str">
        <f t="shared" si="363"/>
        <v>Selesai Implementasi</v>
      </c>
      <c r="BA140" s="63" t="str">
        <f t="shared" si="364"/>
        <v>Selesai Implementasi</v>
      </c>
      <c r="BB140" s="63" t="str">
        <f t="shared" si="365"/>
        <v>Selesai Implementasi</v>
      </c>
      <c r="BC140" s="63" t="str">
        <f t="shared" si="288"/>
        <v>Selesai Implementasi</v>
      </c>
      <c r="BD140" s="63" t="str">
        <f t="shared" si="366"/>
        <v>Selesai Implementasi</v>
      </c>
      <c r="BE140" s="351">
        <v>1</v>
      </c>
      <c r="BF140" s="351">
        <v>1</v>
      </c>
      <c r="BG140" s="351">
        <v>1</v>
      </c>
      <c r="BH140" s="351">
        <v>1</v>
      </c>
      <c r="BI140" s="351">
        <v>1</v>
      </c>
      <c r="BJ140" s="351">
        <v>1</v>
      </c>
      <c r="BK140" s="351">
        <v>1</v>
      </c>
      <c r="BL140" s="351">
        <v>1</v>
      </c>
      <c r="BM140" s="351">
        <v>1</v>
      </c>
      <c r="BN140" s="351">
        <v>1</v>
      </c>
      <c r="BO140" s="351">
        <v>1</v>
      </c>
      <c r="BP140" s="351">
        <v>1</v>
      </c>
      <c r="BQ140" s="63" t="str">
        <f t="shared" si="367"/>
        <v>Selesai Implementasi</v>
      </c>
      <c r="BR140" s="63" t="str">
        <f t="shared" si="368"/>
        <v>Not Started</v>
      </c>
      <c r="BS140" s="63" t="str">
        <f t="shared" si="369"/>
        <v>Not Started</v>
      </c>
      <c r="BT140" s="63" t="str">
        <f t="shared" si="370"/>
        <v>Not Started</v>
      </c>
      <c r="BU140" s="63" t="str">
        <f t="shared" si="371"/>
        <v>Not Started</v>
      </c>
      <c r="BV140" s="63" t="str">
        <f t="shared" si="372"/>
        <v>Not Started</v>
      </c>
      <c r="BW140" s="63" t="str">
        <f t="shared" si="373"/>
        <v>Not Started</v>
      </c>
      <c r="BX140" s="63" t="str">
        <f t="shared" si="374"/>
        <v>Not Started</v>
      </c>
      <c r="BY140" s="63" t="str">
        <f t="shared" si="375"/>
        <v>Not Started</v>
      </c>
      <c r="BZ140" s="63" t="str">
        <f t="shared" si="376"/>
        <v>Not Started</v>
      </c>
      <c r="CA140" s="63" t="str">
        <f t="shared" si="377"/>
        <v>Not Started</v>
      </c>
      <c r="CB140" s="63" t="str">
        <f t="shared" si="378"/>
        <v>Not Started</v>
      </c>
      <c r="CC140" s="44">
        <f t="shared" si="289"/>
        <v>0.99999999999999989</v>
      </c>
      <c r="CD140" s="44"/>
      <c r="CE140" s="44"/>
      <c r="CF140" s="44"/>
      <c r="CG140" s="44"/>
      <c r="CH140" s="44"/>
      <c r="CI140" s="44"/>
      <c r="CJ140" s="44"/>
      <c r="CK140" s="44"/>
      <c r="CL140" s="44"/>
      <c r="CM140" s="44"/>
      <c r="CN140" s="44"/>
      <c r="CO140" s="45">
        <f t="shared" si="379"/>
        <v>0.99999999999999989</v>
      </c>
      <c r="CP140" s="45">
        <f t="shared" si="380"/>
        <v>0</v>
      </c>
      <c r="CQ140" s="45">
        <f t="shared" si="381"/>
        <v>0</v>
      </c>
      <c r="CR140" s="45">
        <f t="shared" si="382"/>
        <v>0</v>
      </c>
      <c r="CS140" s="45">
        <f t="shared" si="383"/>
        <v>0</v>
      </c>
      <c r="CT140" s="45">
        <f t="shared" si="384"/>
        <v>0</v>
      </c>
      <c r="CU140" s="45">
        <f t="shared" si="385"/>
        <v>0</v>
      </c>
      <c r="CV140" s="45">
        <f t="shared" si="386"/>
        <v>0</v>
      </c>
      <c r="CW140" s="45">
        <f t="shared" si="387"/>
        <v>0</v>
      </c>
      <c r="CX140" s="45">
        <f t="shared" si="388"/>
        <v>0</v>
      </c>
      <c r="CY140" s="45">
        <f t="shared" si="290"/>
        <v>0</v>
      </c>
      <c r="CZ140" s="45"/>
      <c r="DA140" s="45" t="str">
        <f t="shared" si="389"/>
        <v>DONE</v>
      </c>
      <c r="DB140" s="45" t="str">
        <f t="shared" si="390"/>
        <v>BS</v>
      </c>
      <c r="DC140" s="45" t="str">
        <f t="shared" si="391"/>
        <v>BS</v>
      </c>
      <c r="DD140" s="45" t="str">
        <f t="shared" si="392"/>
        <v>BS</v>
      </c>
      <c r="DE140" s="45" t="str">
        <f t="shared" si="393"/>
        <v>BS</v>
      </c>
      <c r="DF140" s="45" t="str">
        <f t="shared" si="394"/>
        <v>BS</v>
      </c>
      <c r="DG140" s="45" t="str">
        <f t="shared" si="395"/>
        <v>BS</v>
      </c>
      <c r="DH140" s="45" t="str">
        <f t="shared" si="396"/>
        <v>BS</v>
      </c>
      <c r="DI140" s="45" t="str">
        <f t="shared" si="397"/>
        <v>BS</v>
      </c>
      <c r="DJ140" s="45" t="str">
        <f t="shared" si="398"/>
        <v>BS</v>
      </c>
      <c r="DK140" s="45" t="str">
        <f t="shared" si="416"/>
        <v>BS</v>
      </c>
      <c r="DL140" s="45" t="str">
        <f t="shared" si="399"/>
        <v>BS</v>
      </c>
      <c r="DM140" s="45">
        <f t="shared" si="400"/>
        <v>0.99999999999999989</v>
      </c>
      <c r="DN140" s="45">
        <f t="shared" si="401"/>
        <v>0</v>
      </c>
      <c r="DO140" s="45">
        <f t="shared" si="402"/>
        <v>0</v>
      </c>
      <c r="DP140" s="45">
        <f t="shared" si="403"/>
        <v>0</v>
      </c>
      <c r="DQ140" s="45">
        <f t="shared" si="404"/>
        <v>0</v>
      </c>
      <c r="DR140" s="45">
        <f t="shared" si="405"/>
        <v>0</v>
      </c>
      <c r="DS140" s="45">
        <f t="shared" si="406"/>
        <v>0</v>
      </c>
      <c r="DT140" s="45">
        <f t="shared" si="407"/>
        <v>0</v>
      </c>
      <c r="DU140" s="45">
        <f t="shared" si="408"/>
        <v>0</v>
      </c>
      <c r="DV140" s="45">
        <f t="shared" si="409"/>
        <v>0</v>
      </c>
      <c r="DW140" s="45">
        <f t="shared" si="410"/>
        <v>0</v>
      </c>
      <c r="DX140" s="45">
        <f t="shared" si="411"/>
        <v>0</v>
      </c>
      <c r="DY140" s="46">
        <v>1</v>
      </c>
      <c r="DZ140" s="46">
        <v>1</v>
      </c>
      <c r="EA140" s="46">
        <v>1</v>
      </c>
      <c r="EB140" s="46">
        <v>1</v>
      </c>
      <c r="EC140" s="46">
        <v>1</v>
      </c>
      <c r="ED140" s="46">
        <v>1</v>
      </c>
      <c r="EE140" s="46">
        <v>1</v>
      </c>
      <c r="EF140" s="46">
        <v>1</v>
      </c>
      <c r="EG140" s="46">
        <v>1</v>
      </c>
      <c r="EH140" s="47" t="s">
        <v>953</v>
      </c>
      <c r="EI140" s="352">
        <v>45904</v>
      </c>
      <c r="EJ140" s="59">
        <f t="shared" si="412"/>
        <v>45961</v>
      </c>
      <c r="EK140" s="229"/>
      <c r="EL140" s="230" t="s">
        <v>954</v>
      </c>
      <c r="EM140" s="230"/>
      <c r="EN140" s="222" t="s">
        <v>955</v>
      </c>
      <c r="EO140" s="409" t="s">
        <v>956</v>
      </c>
      <c r="EP140" s="220"/>
      <c r="EQ140" s="222"/>
      <c r="ER140" s="223"/>
      <c r="ES140" s="220"/>
      <c r="ET140" s="222"/>
      <c r="EU140" s="222"/>
      <c r="EV140" s="220"/>
      <c r="EW140" s="220"/>
      <c r="EX140" s="220"/>
      <c r="EY140" s="220"/>
      <c r="EZ140" s="220"/>
      <c r="FA140" s="222" t="s">
        <v>957</v>
      </c>
      <c r="FB140" s="220"/>
      <c r="FC140" s="222"/>
      <c r="FD140" s="220"/>
      <c r="FE140" s="220"/>
      <c r="FF140" s="222"/>
      <c r="FG140" s="222"/>
      <c r="FH140" s="220"/>
      <c r="FI140" s="220"/>
      <c r="FJ140" s="220"/>
      <c r="FK140" s="220"/>
      <c r="FL140" s="215"/>
      <c r="FM140" s="172" t="s">
        <v>571</v>
      </c>
      <c r="FN140" s="172" t="s">
        <v>180</v>
      </c>
      <c r="FO140" s="172" t="s">
        <v>181</v>
      </c>
      <c r="FP140" s="172" t="s">
        <v>548</v>
      </c>
      <c r="FQ140" s="172" t="s">
        <v>399</v>
      </c>
      <c r="FR140" s="289" t="s">
        <v>549</v>
      </c>
      <c r="FS140" s="267"/>
      <c r="FT140" s="267"/>
      <c r="FU140" s="48">
        <v>10</v>
      </c>
    </row>
    <row r="141" spans="1:177" s="16" customFormat="1" ht="409.5">
      <c r="A141" s="64" t="s">
        <v>958</v>
      </c>
      <c r="B141" s="48" t="s">
        <v>468</v>
      </c>
      <c r="C141" s="64" t="s">
        <v>206</v>
      </c>
      <c r="D141" s="225" t="s">
        <v>207</v>
      </c>
      <c r="E141" s="487" t="s">
        <v>959</v>
      </c>
      <c r="F141" s="249">
        <v>1</v>
      </c>
      <c r="G141" s="65" t="s">
        <v>960</v>
      </c>
      <c r="H141" s="65" t="s">
        <v>961</v>
      </c>
      <c r="I141" s="65" t="s">
        <v>962</v>
      </c>
      <c r="J141" s="48">
        <v>2024</v>
      </c>
      <c r="K141" s="48">
        <v>2025</v>
      </c>
      <c r="L141" s="48" t="s">
        <v>352</v>
      </c>
      <c r="M141" s="48" t="s">
        <v>173</v>
      </c>
      <c r="N141" s="48" t="s">
        <v>174</v>
      </c>
      <c r="O141" s="66" t="s">
        <v>312</v>
      </c>
      <c r="P141" s="63" t="s">
        <v>458</v>
      </c>
      <c r="Q141" s="48" t="s">
        <v>297</v>
      </c>
      <c r="R141" s="63" t="s">
        <v>960</v>
      </c>
      <c r="S141" s="63" t="str">
        <f t="shared" si="414"/>
        <v>Selesai Implementasi</v>
      </c>
      <c r="T141" s="63" t="str">
        <f t="shared" si="413"/>
        <v>DONE</v>
      </c>
      <c r="U141" s="63" t="str">
        <f t="shared" si="354"/>
        <v>Yolanda Dini</v>
      </c>
      <c r="V141" s="67">
        <f t="shared" si="415"/>
        <v>0.99999999999999989</v>
      </c>
      <c r="W141" s="66" t="s">
        <v>532</v>
      </c>
      <c r="X141" s="59">
        <f t="shared" si="355"/>
        <v>45838</v>
      </c>
      <c r="Y141" s="68" t="s">
        <v>381</v>
      </c>
      <c r="Z141" s="48"/>
      <c r="AA141" s="62">
        <v>45139</v>
      </c>
      <c r="AB141" s="217">
        <v>45199</v>
      </c>
      <c r="AC141" s="42">
        <v>45139</v>
      </c>
      <c r="AD141" s="217">
        <v>45199</v>
      </c>
      <c r="AE141" s="217">
        <v>45200</v>
      </c>
      <c r="AF141" s="217">
        <v>45229</v>
      </c>
      <c r="AG141" s="217">
        <v>45231</v>
      </c>
      <c r="AH141" s="217">
        <v>45443</v>
      </c>
      <c r="AI141" s="217">
        <v>45470</v>
      </c>
      <c r="AJ141" s="217">
        <v>45499</v>
      </c>
      <c r="AK141" s="217">
        <v>45502</v>
      </c>
      <c r="AL141" s="217">
        <v>45716</v>
      </c>
      <c r="AM141" s="217">
        <v>45717</v>
      </c>
      <c r="AN141" s="217">
        <v>45747</v>
      </c>
      <c r="AO141" s="217">
        <v>45748</v>
      </c>
      <c r="AP141" s="380">
        <v>45777</v>
      </c>
      <c r="AQ141" s="59">
        <v>45778</v>
      </c>
      <c r="AR141" s="59">
        <v>45838</v>
      </c>
      <c r="AS141" s="63" t="str">
        <f t="shared" si="356"/>
        <v>Selesai Implementasi</v>
      </c>
      <c r="AT141" s="63" t="str">
        <f t="shared" si="357"/>
        <v>Selesai Implementasi</v>
      </c>
      <c r="AU141" s="63" t="str">
        <f t="shared" si="358"/>
        <v>Selesai Implementasi</v>
      </c>
      <c r="AV141" s="63" t="str">
        <f t="shared" si="359"/>
        <v>Selesai Implementasi</v>
      </c>
      <c r="AW141" s="63" t="str">
        <f t="shared" si="360"/>
        <v>Selesai Implementasi</v>
      </c>
      <c r="AX141" s="63" t="str">
        <f t="shared" si="361"/>
        <v>Selesai Implementasi</v>
      </c>
      <c r="AY141" s="63" t="str">
        <f t="shared" si="362"/>
        <v>Selesai Implementasi</v>
      </c>
      <c r="AZ141" s="63" t="str">
        <f t="shared" si="363"/>
        <v>Selesai Implementasi</v>
      </c>
      <c r="BA141" s="63" t="str">
        <f t="shared" si="364"/>
        <v>Selesai Implementasi</v>
      </c>
      <c r="BB141" s="63" t="str">
        <f t="shared" si="365"/>
        <v>Selesai Implementasi</v>
      </c>
      <c r="BC141" s="63" t="str">
        <f t="shared" ref="BC141:BC150" si="417">IF(BO141=0%,"Not Started",IF(BO141&lt;5%,"Proses RBT-RBB",IF(BO141=5%,"Selesai RBT-RBB",IF(BO141&lt;10%,"Proses RBT-RBL",IF(BO141=10%,"Selesai RBT-RBL",IF(BO141&lt;15%,"Proses RBT-RBTD",IF(BO141=15%,"Selesai RBT-RBTD",IF(BO141&lt;20%,"Proses RPP",IF(BO141=20%,"Selesai RPP",IF(BO141&lt;25%,"Proses KAK",IF(BO141=25%,"Selesai KAK",IF(BO141&lt;30%,"Proses Pengadaan",IF(BO141=30%,"Selesai Pengadaan",IF(BO141&lt;45%,"Proses Desain",IF(BO141=45%,"Selesai Desain",IF(BO141&lt;80%,"Proses Pengembangan",IF(BO141=80%,"Selesai Pengembangan",IF(BO141&lt;87.5%,"Proses SIT",IF(BO141=87.5%,"Selesai SIT",IF(BO141&lt;95%,"Proses UAT",IF(BO141=95%,"Selesai UAT",IF(BO141&lt;100%,"Proses Implementasi","Selesai Implementasi"))))))))))))))))))))))</f>
        <v>Selesai Implementasi</v>
      </c>
      <c r="BD141" s="63" t="str">
        <f t="shared" si="366"/>
        <v>Selesai Implementasi</v>
      </c>
      <c r="BE141" s="351">
        <v>1</v>
      </c>
      <c r="BF141" s="351">
        <v>1</v>
      </c>
      <c r="BG141" s="351">
        <v>1</v>
      </c>
      <c r="BH141" s="351">
        <v>1</v>
      </c>
      <c r="BI141" s="351">
        <v>1</v>
      </c>
      <c r="BJ141" s="351">
        <v>1</v>
      </c>
      <c r="BK141" s="351">
        <v>1</v>
      </c>
      <c r="BL141" s="351">
        <v>1</v>
      </c>
      <c r="BM141" s="351">
        <v>1</v>
      </c>
      <c r="BN141" s="351">
        <v>1</v>
      </c>
      <c r="BO141" s="351">
        <v>1</v>
      </c>
      <c r="BP141" s="351">
        <v>1</v>
      </c>
      <c r="BQ141" s="63" t="str">
        <f t="shared" si="367"/>
        <v>Selesai Implementasi</v>
      </c>
      <c r="BR141" s="63" t="str">
        <f t="shared" si="368"/>
        <v>Not Started</v>
      </c>
      <c r="BS141" s="63" t="str">
        <f t="shared" si="369"/>
        <v>Not Started</v>
      </c>
      <c r="BT141" s="63" t="str">
        <f t="shared" si="370"/>
        <v>Not Started</v>
      </c>
      <c r="BU141" s="63" t="str">
        <f t="shared" si="371"/>
        <v>Not Started</v>
      </c>
      <c r="BV141" s="63" t="str">
        <f t="shared" si="372"/>
        <v>Not Started</v>
      </c>
      <c r="BW141" s="63" t="str">
        <f t="shared" si="373"/>
        <v>Not Started</v>
      </c>
      <c r="BX141" s="63" t="str">
        <f t="shared" si="374"/>
        <v>Not Started</v>
      </c>
      <c r="BY141" s="63" t="str">
        <f t="shared" si="375"/>
        <v>Not Started</v>
      </c>
      <c r="BZ141" s="63" t="str">
        <f t="shared" si="376"/>
        <v>Not Started</v>
      </c>
      <c r="CA141" s="63" t="str">
        <f t="shared" si="377"/>
        <v>Not Started</v>
      </c>
      <c r="CB141" s="63" t="str">
        <f t="shared" si="378"/>
        <v>Not Started</v>
      </c>
      <c r="CC141" s="44">
        <f t="shared" si="289"/>
        <v>0.99999999999999989</v>
      </c>
      <c r="CD141" s="44"/>
      <c r="CE141" s="44"/>
      <c r="CF141" s="44"/>
      <c r="CG141" s="44"/>
      <c r="CH141" s="44"/>
      <c r="CI141" s="44"/>
      <c r="CJ141" s="44"/>
      <c r="CK141" s="44"/>
      <c r="CL141" s="44"/>
      <c r="CM141" s="44"/>
      <c r="CN141" s="44"/>
      <c r="CO141" s="45">
        <f t="shared" si="379"/>
        <v>0.99999999999999989</v>
      </c>
      <c r="CP141" s="45">
        <f t="shared" si="380"/>
        <v>0</v>
      </c>
      <c r="CQ141" s="45">
        <f t="shared" si="381"/>
        <v>0</v>
      </c>
      <c r="CR141" s="45">
        <f t="shared" si="382"/>
        <v>0</v>
      </c>
      <c r="CS141" s="45">
        <f t="shared" si="383"/>
        <v>0</v>
      </c>
      <c r="CT141" s="45">
        <f t="shared" si="384"/>
        <v>0</v>
      </c>
      <c r="CU141" s="45">
        <f t="shared" si="385"/>
        <v>0</v>
      </c>
      <c r="CV141" s="45">
        <f t="shared" si="386"/>
        <v>0</v>
      </c>
      <c r="CW141" s="45">
        <f t="shared" si="387"/>
        <v>0</v>
      </c>
      <c r="CX141" s="45">
        <f t="shared" si="388"/>
        <v>0</v>
      </c>
      <c r="CY141" s="45">
        <f t="shared" ref="CY141:CY157" si="418">IF(BO141=0%, 100%, (CM141/BO141))</f>
        <v>0</v>
      </c>
      <c r="CZ141" s="45"/>
      <c r="DA141" s="45" t="str">
        <f t="shared" si="389"/>
        <v>DONE</v>
      </c>
      <c r="DB141" s="45" t="str">
        <f t="shared" si="390"/>
        <v>BS</v>
      </c>
      <c r="DC141" s="45" t="str">
        <f t="shared" si="391"/>
        <v>BS</v>
      </c>
      <c r="DD141" s="45" t="str">
        <f t="shared" si="392"/>
        <v>BS</v>
      </c>
      <c r="DE141" s="45" t="str">
        <f t="shared" si="393"/>
        <v>BS</v>
      </c>
      <c r="DF141" s="45" t="str">
        <f t="shared" si="394"/>
        <v>BS</v>
      </c>
      <c r="DG141" s="45" t="str">
        <f t="shared" si="395"/>
        <v>BS</v>
      </c>
      <c r="DH141" s="45" t="str">
        <f t="shared" si="396"/>
        <v>BS</v>
      </c>
      <c r="DI141" s="45" t="str">
        <f t="shared" si="397"/>
        <v>BS</v>
      </c>
      <c r="DJ141" s="45" t="str">
        <f t="shared" si="398"/>
        <v>BS</v>
      </c>
      <c r="DK141" s="45" t="str">
        <f t="shared" si="416"/>
        <v>BS</v>
      </c>
      <c r="DL141" s="45" t="str">
        <f t="shared" si="399"/>
        <v>BS</v>
      </c>
      <c r="DM141" s="45">
        <f t="shared" si="400"/>
        <v>0.99999999999999989</v>
      </c>
      <c r="DN141" s="45">
        <f t="shared" si="401"/>
        <v>0</v>
      </c>
      <c r="DO141" s="45">
        <f t="shared" si="402"/>
        <v>0</v>
      </c>
      <c r="DP141" s="45">
        <f t="shared" si="403"/>
        <v>0</v>
      </c>
      <c r="DQ141" s="45">
        <f t="shared" si="404"/>
        <v>0</v>
      </c>
      <c r="DR141" s="45">
        <f t="shared" si="405"/>
        <v>0</v>
      </c>
      <c r="DS141" s="45">
        <f t="shared" si="406"/>
        <v>0</v>
      </c>
      <c r="DT141" s="45">
        <f t="shared" si="407"/>
        <v>0</v>
      </c>
      <c r="DU141" s="45">
        <f t="shared" si="408"/>
        <v>0</v>
      </c>
      <c r="DV141" s="45">
        <f t="shared" si="409"/>
        <v>0</v>
      </c>
      <c r="DW141" s="45">
        <f t="shared" si="410"/>
        <v>0</v>
      </c>
      <c r="DX141" s="45">
        <f t="shared" si="411"/>
        <v>0</v>
      </c>
      <c r="DY141" s="46">
        <v>1</v>
      </c>
      <c r="DZ141" s="46">
        <v>1</v>
      </c>
      <c r="EA141" s="46">
        <v>1</v>
      </c>
      <c r="EB141" s="46">
        <v>1</v>
      </c>
      <c r="EC141" s="46">
        <v>1</v>
      </c>
      <c r="ED141" s="46">
        <v>1</v>
      </c>
      <c r="EE141" s="46">
        <v>1</v>
      </c>
      <c r="EF141" s="46">
        <v>1</v>
      </c>
      <c r="EG141" s="41">
        <v>1</v>
      </c>
      <c r="EH141" s="193" t="s">
        <v>963</v>
      </c>
      <c r="EI141" s="352">
        <v>45842</v>
      </c>
      <c r="EJ141" s="59">
        <f t="shared" si="412"/>
        <v>45838</v>
      </c>
      <c r="EK141" s="229"/>
      <c r="EL141" s="230"/>
      <c r="EM141" s="230"/>
      <c r="EN141" s="231"/>
      <c r="EO141" s="222" t="s">
        <v>964</v>
      </c>
      <c r="EP141" s="220"/>
      <c r="EQ141" s="222" t="s">
        <v>965</v>
      </c>
      <c r="ER141" s="222"/>
      <c r="ES141" s="222" t="s">
        <v>966</v>
      </c>
      <c r="ET141" s="220"/>
      <c r="EU141" s="220"/>
      <c r="EV141" s="220"/>
      <c r="EW141" s="220"/>
      <c r="EX141" s="220"/>
      <c r="EY141" s="220"/>
      <c r="EZ141" s="220"/>
      <c r="FA141" s="222" t="s">
        <v>967</v>
      </c>
      <c r="FB141" s="220"/>
      <c r="FC141" s="220" t="s">
        <v>968</v>
      </c>
      <c r="FD141" s="220"/>
      <c r="FE141" s="220"/>
      <c r="FF141" s="220"/>
      <c r="FG141" s="222"/>
      <c r="FH141" s="220"/>
      <c r="FI141" s="220"/>
      <c r="FJ141" s="220"/>
      <c r="FK141" s="220"/>
      <c r="FL141" s="215"/>
      <c r="FM141" s="172"/>
      <c r="FN141" s="340" t="s">
        <v>315</v>
      </c>
      <c r="FO141" s="172"/>
      <c r="FP141" s="172"/>
      <c r="FQ141" s="172"/>
      <c r="FR141" s="289" t="s">
        <v>549</v>
      </c>
      <c r="FS141" s="267" t="s">
        <v>677</v>
      </c>
      <c r="FT141" s="267" t="s">
        <v>346</v>
      </c>
      <c r="FU141" s="48">
        <v>7</v>
      </c>
    </row>
    <row r="142" spans="1:177" s="13" customFormat="1" ht="112">
      <c r="A142" s="64" t="s">
        <v>969</v>
      </c>
      <c r="B142" s="48" t="s">
        <v>468</v>
      </c>
      <c r="C142" s="64" t="s">
        <v>206</v>
      </c>
      <c r="D142" s="225" t="s">
        <v>207</v>
      </c>
      <c r="E142" s="487" t="s">
        <v>959</v>
      </c>
      <c r="F142" s="279">
        <v>2</v>
      </c>
      <c r="G142" s="65" t="s">
        <v>960</v>
      </c>
      <c r="H142" s="65" t="s">
        <v>961</v>
      </c>
      <c r="I142" s="65" t="s">
        <v>970</v>
      </c>
      <c r="J142" s="48">
        <v>2024</v>
      </c>
      <c r="K142" s="48">
        <v>2025</v>
      </c>
      <c r="L142" s="48" t="s">
        <v>352</v>
      </c>
      <c r="M142" s="48" t="s">
        <v>173</v>
      </c>
      <c r="N142" s="48" t="s">
        <v>174</v>
      </c>
      <c r="O142" s="66" t="s">
        <v>312</v>
      </c>
      <c r="P142" s="63" t="s">
        <v>458</v>
      </c>
      <c r="Q142" s="48" t="s">
        <v>297</v>
      </c>
      <c r="R142" s="63" t="s">
        <v>960</v>
      </c>
      <c r="S142" s="63" t="str">
        <f t="shared" si="414"/>
        <v>Selesai Implementasi</v>
      </c>
      <c r="T142" s="63" t="str">
        <f t="shared" si="413"/>
        <v>DONE</v>
      </c>
      <c r="U142" s="63" t="str">
        <f t="shared" si="354"/>
        <v>Yolanda Dini</v>
      </c>
      <c r="V142" s="67">
        <f t="shared" si="415"/>
        <v>0.99999999999999989</v>
      </c>
      <c r="W142" s="66" t="s">
        <v>532</v>
      </c>
      <c r="X142" s="59">
        <f t="shared" si="355"/>
        <v>45838</v>
      </c>
      <c r="Y142" s="68" t="s">
        <v>381</v>
      </c>
      <c r="Z142" s="48"/>
      <c r="AA142" s="279"/>
      <c r="AB142" s="48"/>
      <c r="AC142" s="48"/>
      <c r="AD142" s="48"/>
      <c r="AE142" s="48"/>
      <c r="AF142" s="48"/>
      <c r="AG142" s="48"/>
      <c r="AH142" s="48"/>
      <c r="AI142" s="48"/>
      <c r="AJ142" s="48"/>
      <c r="AK142" s="217">
        <v>45726</v>
      </c>
      <c r="AL142" s="217">
        <v>45758</v>
      </c>
      <c r="AM142" s="219" t="s">
        <v>971</v>
      </c>
      <c r="AN142" s="217" t="s">
        <v>971</v>
      </c>
      <c r="AO142" s="217">
        <v>45761</v>
      </c>
      <c r="AP142" s="217">
        <v>45777</v>
      </c>
      <c r="AQ142" s="59">
        <v>45824</v>
      </c>
      <c r="AR142" s="59">
        <v>45838</v>
      </c>
      <c r="AS142" s="63" t="str">
        <f t="shared" si="356"/>
        <v>Selesai Implementasi</v>
      </c>
      <c r="AT142" s="63" t="str">
        <f t="shared" si="357"/>
        <v>Selesai Implementasi</v>
      </c>
      <c r="AU142" s="63" t="str">
        <f t="shared" si="358"/>
        <v>Selesai Implementasi</v>
      </c>
      <c r="AV142" s="63" t="str">
        <f t="shared" si="359"/>
        <v>Selesai Implementasi</v>
      </c>
      <c r="AW142" s="63" t="str">
        <f t="shared" si="360"/>
        <v>Selesai Implementasi</v>
      </c>
      <c r="AX142" s="63" t="str">
        <f t="shared" si="361"/>
        <v>Selesai Implementasi</v>
      </c>
      <c r="AY142" s="63" t="str">
        <f t="shared" si="362"/>
        <v>Selesai Implementasi</v>
      </c>
      <c r="AZ142" s="63" t="str">
        <f t="shared" si="363"/>
        <v>Selesai Implementasi</v>
      </c>
      <c r="BA142" s="63" t="str">
        <f t="shared" si="364"/>
        <v>Selesai Implementasi</v>
      </c>
      <c r="BB142" s="63" t="str">
        <f t="shared" si="365"/>
        <v>Selesai Implementasi</v>
      </c>
      <c r="BC142" s="63" t="str">
        <f t="shared" si="417"/>
        <v>Selesai Implementasi</v>
      </c>
      <c r="BD142" s="63" t="str">
        <f t="shared" si="366"/>
        <v>Selesai Implementasi</v>
      </c>
      <c r="BE142" s="351">
        <v>1</v>
      </c>
      <c r="BF142" s="351">
        <v>1</v>
      </c>
      <c r="BG142" s="351">
        <v>1</v>
      </c>
      <c r="BH142" s="351">
        <v>1</v>
      </c>
      <c r="BI142" s="351">
        <v>1</v>
      </c>
      <c r="BJ142" s="351">
        <v>1</v>
      </c>
      <c r="BK142" s="351">
        <v>1</v>
      </c>
      <c r="BL142" s="351">
        <v>1</v>
      </c>
      <c r="BM142" s="351">
        <v>1</v>
      </c>
      <c r="BN142" s="351">
        <v>1</v>
      </c>
      <c r="BO142" s="351">
        <v>1</v>
      </c>
      <c r="BP142" s="351">
        <v>1</v>
      </c>
      <c r="BQ142" s="63" t="str">
        <f t="shared" si="367"/>
        <v>Selesai Implementasi</v>
      </c>
      <c r="BR142" s="63" t="str">
        <f t="shared" si="368"/>
        <v>Not Started</v>
      </c>
      <c r="BS142" s="63" t="str">
        <f t="shared" si="369"/>
        <v>Not Started</v>
      </c>
      <c r="BT142" s="63" t="str">
        <f t="shared" si="370"/>
        <v>Not Started</v>
      </c>
      <c r="BU142" s="63" t="str">
        <f t="shared" si="371"/>
        <v>Not Started</v>
      </c>
      <c r="BV142" s="63" t="str">
        <f t="shared" si="372"/>
        <v>Not Started</v>
      </c>
      <c r="BW142" s="63" t="str">
        <f t="shared" si="373"/>
        <v>Not Started</v>
      </c>
      <c r="BX142" s="63" t="str">
        <f t="shared" si="374"/>
        <v>Not Started</v>
      </c>
      <c r="BY142" s="63" t="str">
        <f t="shared" si="375"/>
        <v>Not Started</v>
      </c>
      <c r="BZ142" s="63" t="str">
        <f t="shared" si="376"/>
        <v>Not Started</v>
      </c>
      <c r="CA142" s="63" t="str">
        <f t="shared" si="377"/>
        <v>Not Started</v>
      </c>
      <c r="CB142" s="63" t="str">
        <f t="shared" si="378"/>
        <v>Not Started</v>
      </c>
      <c r="CC142" s="44">
        <f t="shared" si="289"/>
        <v>0.99999999999999989</v>
      </c>
      <c r="CD142" s="44"/>
      <c r="CE142" s="44"/>
      <c r="CF142" s="44"/>
      <c r="CG142" s="44"/>
      <c r="CH142" s="44"/>
      <c r="CI142" s="44"/>
      <c r="CJ142" s="44"/>
      <c r="CK142" s="44"/>
      <c r="CL142" s="44"/>
      <c r="CM142" s="44"/>
      <c r="CN142" s="44"/>
      <c r="CO142" s="45">
        <f t="shared" si="379"/>
        <v>0.99999999999999989</v>
      </c>
      <c r="CP142" s="45">
        <f t="shared" si="380"/>
        <v>0</v>
      </c>
      <c r="CQ142" s="45">
        <f t="shared" si="381"/>
        <v>0</v>
      </c>
      <c r="CR142" s="45">
        <f t="shared" si="382"/>
        <v>0</v>
      </c>
      <c r="CS142" s="45">
        <f t="shared" si="383"/>
        <v>0</v>
      </c>
      <c r="CT142" s="45">
        <f t="shared" si="384"/>
        <v>0</v>
      </c>
      <c r="CU142" s="45">
        <f t="shared" si="385"/>
        <v>0</v>
      </c>
      <c r="CV142" s="45">
        <f t="shared" si="386"/>
        <v>0</v>
      </c>
      <c r="CW142" s="45">
        <f t="shared" si="387"/>
        <v>0</v>
      </c>
      <c r="CX142" s="45">
        <f t="shared" si="388"/>
        <v>0</v>
      </c>
      <c r="CY142" s="45">
        <f t="shared" si="418"/>
        <v>0</v>
      </c>
      <c r="CZ142" s="45"/>
      <c r="DA142" s="45" t="str">
        <f t="shared" si="389"/>
        <v>DONE</v>
      </c>
      <c r="DB142" s="45" t="str">
        <f t="shared" si="390"/>
        <v>BS</v>
      </c>
      <c r="DC142" s="45" t="str">
        <f t="shared" si="391"/>
        <v>BS</v>
      </c>
      <c r="DD142" s="45" t="str">
        <f t="shared" si="392"/>
        <v>BS</v>
      </c>
      <c r="DE142" s="45" t="str">
        <f t="shared" si="393"/>
        <v>BS</v>
      </c>
      <c r="DF142" s="45" t="str">
        <f t="shared" si="394"/>
        <v>BS</v>
      </c>
      <c r="DG142" s="45" t="str">
        <f t="shared" si="395"/>
        <v>BS</v>
      </c>
      <c r="DH142" s="45" t="str">
        <f t="shared" si="396"/>
        <v>BS</v>
      </c>
      <c r="DI142" s="45" t="str">
        <f t="shared" si="397"/>
        <v>BS</v>
      </c>
      <c r="DJ142" s="45" t="str">
        <f t="shared" si="398"/>
        <v>BS</v>
      </c>
      <c r="DK142" s="45" t="str">
        <f t="shared" si="416"/>
        <v>BS</v>
      </c>
      <c r="DL142" s="45" t="str">
        <f t="shared" si="399"/>
        <v>BS</v>
      </c>
      <c r="DM142" s="45">
        <f t="shared" si="400"/>
        <v>0.99999999999999989</v>
      </c>
      <c r="DN142" s="45">
        <f t="shared" si="401"/>
        <v>0</v>
      </c>
      <c r="DO142" s="45">
        <f t="shared" si="402"/>
        <v>0</v>
      </c>
      <c r="DP142" s="45">
        <f t="shared" si="403"/>
        <v>0</v>
      </c>
      <c r="DQ142" s="45">
        <f t="shared" si="404"/>
        <v>0</v>
      </c>
      <c r="DR142" s="45">
        <f t="shared" si="405"/>
        <v>0</v>
      </c>
      <c r="DS142" s="45">
        <f t="shared" si="406"/>
        <v>0</v>
      </c>
      <c r="DT142" s="45">
        <f t="shared" si="407"/>
        <v>0</v>
      </c>
      <c r="DU142" s="45">
        <f t="shared" si="408"/>
        <v>0</v>
      </c>
      <c r="DV142" s="45">
        <f t="shared" si="409"/>
        <v>0</v>
      </c>
      <c r="DW142" s="45">
        <f t="shared" si="410"/>
        <v>0</v>
      </c>
      <c r="DX142" s="45">
        <f t="shared" si="411"/>
        <v>0</v>
      </c>
      <c r="DY142" s="41">
        <v>1</v>
      </c>
      <c r="DZ142" s="41">
        <v>1</v>
      </c>
      <c r="EA142" s="41">
        <v>1</v>
      </c>
      <c r="EB142" s="41">
        <v>1</v>
      </c>
      <c r="EC142" s="41">
        <v>1</v>
      </c>
      <c r="ED142" s="41">
        <v>1</v>
      </c>
      <c r="EE142" s="41">
        <v>1</v>
      </c>
      <c r="EF142" s="41">
        <v>1</v>
      </c>
      <c r="EG142" s="41">
        <v>1</v>
      </c>
      <c r="EH142" s="75" t="s">
        <v>972</v>
      </c>
      <c r="EI142" s="352">
        <v>45828</v>
      </c>
      <c r="EJ142" s="59">
        <f t="shared" si="412"/>
        <v>45838</v>
      </c>
      <c r="EK142" s="229"/>
      <c r="EL142" s="382"/>
      <c r="EM142" s="382"/>
      <c r="EN142" s="222"/>
      <c r="EO142" s="222"/>
      <c r="EP142" s="220"/>
      <c r="EQ142" s="222"/>
      <c r="ER142" s="223"/>
      <c r="ES142" s="220"/>
      <c r="ET142" s="222"/>
      <c r="EU142" s="222"/>
      <c r="EV142" s="220"/>
      <c r="EW142" s="220"/>
      <c r="EX142" s="220"/>
      <c r="EY142" s="220"/>
      <c r="EZ142" s="220"/>
      <c r="FA142" s="222"/>
      <c r="FB142" s="220"/>
      <c r="FC142" s="222"/>
      <c r="FD142" s="220"/>
      <c r="FE142" s="220"/>
      <c r="FF142" s="222"/>
      <c r="FG142" s="222"/>
      <c r="FH142" s="220"/>
      <c r="FI142" s="220"/>
      <c r="FJ142" s="220"/>
      <c r="FK142" s="220"/>
      <c r="FL142" s="215"/>
      <c r="FM142" s="172"/>
      <c r="FN142" s="340" t="s">
        <v>315</v>
      </c>
      <c r="FO142" s="172"/>
      <c r="FP142" s="172"/>
      <c r="FQ142" s="172"/>
      <c r="FR142" s="289" t="s">
        <v>549</v>
      </c>
      <c r="FS142" s="267" t="s">
        <v>677</v>
      </c>
      <c r="FT142" s="267" t="s">
        <v>346</v>
      </c>
      <c r="FU142" s="48">
        <v>4</v>
      </c>
    </row>
    <row r="143" spans="1:177" s="13" customFormat="1" ht="96">
      <c r="A143" s="63" t="s">
        <v>973</v>
      </c>
      <c r="B143" s="48"/>
      <c r="C143" s="64" t="s">
        <v>206</v>
      </c>
      <c r="D143" s="225" t="s">
        <v>207</v>
      </c>
      <c r="E143" s="63" t="s">
        <v>974</v>
      </c>
      <c r="F143" s="279">
        <v>1</v>
      </c>
      <c r="G143" s="65" t="s">
        <v>398</v>
      </c>
      <c r="H143" s="65" t="s">
        <v>398</v>
      </c>
      <c r="I143" s="65" t="s">
        <v>975</v>
      </c>
      <c r="J143" s="48">
        <v>2027</v>
      </c>
      <c r="K143" s="48">
        <v>2028</v>
      </c>
      <c r="L143" s="48" t="s">
        <v>172</v>
      </c>
      <c r="M143" s="48" t="s">
        <v>173</v>
      </c>
      <c r="N143" s="63" t="s">
        <v>174</v>
      </c>
      <c r="O143" s="63" t="s">
        <v>976</v>
      </c>
      <c r="P143" s="63" t="s">
        <v>458</v>
      </c>
      <c r="Q143" s="63" t="s">
        <v>199</v>
      </c>
      <c r="R143" s="63" t="s">
        <v>398</v>
      </c>
      <c r="S143" s="63" t="str">
        <f t="shared" si="414"/>
        <v>Not Started</v>
      </c>
      <c r="T143" s="63" t="str">
        <f t="shared" si="413"/>
        <v>Not Started</v>
      </c>
      <c r="U143" s="63" t="str">
        <f t="shared" si="354"/>
        <v>Rizky Arga</v>
      </c>
      <c r="V143" s="67">
        <f t="shared" si="415"/>
        <v>0</v>
      </c>
      <c r="W143" s="66" t="s">
        <v>977</v>
      </c>
      <c r="X143" s="59">
        <f t="shared" si="355"/>
        <v>46873</v>
      </c>
      <c r="Y143" s="68">
        <v>0</v>
      </c>
      <c r="Z143" s="48"/>
      <c r="AA143" s="62">
        <v>46661</v>
      </c>
      <c r="AB143" s="217">
        <v>46721</v>
      </c>
      <c r="AC143" s="62">
        <v>46722</v>
      </c>
      <c r="AD143" s="217">
        <v>46752</v>
      </c>
      <c r="AE143" s="62">
        <v>46722</v>
      </c>
      <c r="AF143" s="217">
        <v>46752</v>
      </c>
      <c r="AG143" s="48"/>
      <c r="AH143" s="48"/>
      <c r="AI143" s="62">
        <v>46753</v>
      </c>
      <c r="AJ143" s="217">
        <v>46783</v>
      </c>
      <c r="AK143" s="62">
        <v>46784</v>
      </c>
      <c r="AL143" s="217">
        <v>46811</v>
      </c>
      <c r="AM143" s="62">
        <v>46813</v>
      </c>
      <c r="AN143" s="217">
        <v>46827</v>
      </c>
      <c r="AO143" s="217">
        <v>46828</v>
      </c>
      <c r="AP143" s="217">
        <v>46842</v>
      </c>
      <c r="AQ143" s="217">
        <v>46844</v>
      </c>
      <c r="AR143" s="217">
        <v>46873</v>
      </c>
      <c r="AS143" s="63" t="str">
        <f t="shared" si="356"/>
        <v>Not Started</v>
      </c>
      <c r="AT143" s="63" t="str">
        <f t="shared" si="357"/>
        <v>Not Started</v>
      </c>
      <c r="AU143" s="63" t="str">
        <f t="shared" si="358"/>
        <v>Not Started</v>
      </c>
      <c r="AV143" s="63" t="str">
        <f t="shared" si="359"/>
        <v>Not Started</v>
      </c>
      <c r="AW143" s="63" t="str">
        <f t="shared" si="360"/>
        <v>Not Started</v>
      </c>
      <c r="AX143" s="63" t="str">
        <f t="shared" si="361"/>
        <v>Not Started</v>
      </c>
      <c r="AY143" s="63" t="str">
        <f t="shared" si="362"/>
        <v>Not Started</v>
      </c>
      <c r="AZ143" s="63" t="str">
        <f t="shared" si="363"/>
        <v>Not Started</v>
      </c>
      <c r="BA143" s="63" t="str">
        <f t="shared" si="364"/>
        <v>Not Started</v>
      </c>
      <c r="BB143" s="63" t="str">
        <f t="shared" si="365"/>
        <v>Not Started</v>
      </c>
      <c r="BC143" s="63" t="str">
        <f t="shared" si="417"/>
        <v>Not Started</v>
      </c>
      <c r="BD143" s="63" t="str">
        <f t="shared" si="366"/>
        <v>Not Started</v>
      </c>
      <c r="BE143" s="219">
        <v>0</v>
      </c>
      <c r="BF143" s="219">
        <v>0</v>
      </c>
      <c r="BG143" s="219">
        <v>0</v>
      </c>
      <c r="BH143" s="219">
        <v>0</v>
      </c>
      <c r="BI143" s="219">
        <v>0</v>
      </c>
      <c r="BJ143" s="219">
        <v>0</v>
      </c>
      <c r="BK143" s="219">
        <v>0</v>
      </c>
      <c r="BL143" s="219">
        <v>0</v>
      </c>
      <c r="BM143" s="219">
        <v>0</v>
      </c>
      <c r="BN143" s="219">
        <v>0</v>
      </c>
      <c r="BO143" s="219">
        <v>0</v>
      </c>
      <c r="BP143" s="219">
        <v>0</v>
      </c>
      <c r="BQ143" s="63" t="str">
        <f t="shared" si="367"/>
        <v>Not Started</v>
      </c>
      <c r="BR143" s="63" t="str">
        <f t="shared" si="368"/>
        <v>Not Started</v>
      </c>
      <c r="BS143" s="63" t="str">
        <f t="shared" si="369"/>
        <v>Not Started</v>
      </c>
      <c r="BT143" s="63" t="str">
        <f t="shared" si="370"/>
        <v>Not Started</v>
      </c>
      <c r="BU143" s="63" t="str">
        <f t="shared" si="371"/>
        <v>Not Started</v>
      </c>
      <c r="BV143" s="63" t="str">
        <f t="shared" si="372"/>
        <v>Not Started</v>
      </c>
      <c r="BW143" s="63" t="str">
        <f t="shared" si="373"/>
        <v>Not Started</v>
      </c>
      <c r="BX143" s="63" t="str">
        <f t="shared" si="374"/>
        <v>Not Started</v>
      </c>
      <c r="BY143" s="63" t="str">
        <f t="shared" si="375"/>
        <v>Not Started</v>
      </c>
      <c r="BZ143" s="63" t="str">
        <f t="shared" si="376"/>
        <v>Not Started</v>
      </c>
      <c r="CA143" s="63" t="str">
        <f t="shared" si="377"/>
        <v>Not Started</v>
      </c>
      <c r="CB143" s="63" t="str">
        <f t="shared" si="378"/>
        <v>Not Started</v>
      </c>
      <c r="CC143" s="44">
        <v>0</v>
      </c>
      <c r="CD143" s="44">
        <v>0</v>
      </c>
      <c r="CE143" s="44">
        <v>0</v>
      </c>
      <c r="CF143" s="44">
        <v>0</v>
      </c>
      <c r="CG143" s="44">
        <v>0</v>
      </c>
      <c r="CH143" s="44">
        <f>(($DY143/100%)*15%)+(($DZ143/100%)*5%)+(($EA143/100%)*5%)+(($EB143/100%)*5%)+(($EC143/100%)*15%)+(($ED143/100%)*35%)+(($EE143/100%)*7.5%)+(($EF143/100%)*7.5%)+(($EG143/100%)*5%)</f>
        <v>0</v>
      </c>
      <c r="CI143" s="44">
        <v>0</v>
      </c>
      <c r="CJ143" s="44"/>
      <c r="CK143" s="44"/>
      <c r="CL143" s="44">
        <v>0</v>
      </c>
      <c r="CM143" s="44">
        <f t="shared" ref="CM143:CN149" si="419">(($DY143/100%)*15%)+(($DZ143/100%)*5%)+(($EA143/100%)*5%)+(($EB143/100%)*5%)+(($EC143/100%)*15%)+(($ED143/100%)*35%)+(($EE143/100%)*7.5%)+(($EF143/100%)*7.5%)+(($EG143/100%)*5%)</f>
        <v>0</v>
      </c>
      <c r="CN143" s="44">
        <f t="shared" si="419"/>
        <v>0</v>
      </c>
      <c r="CO143" s="45">
        <f t="shared" si="379"/>
        <v>1</v>
      </c>
      <c r="CP143" s="45">
        <f t="shared" si="380"/>
        <v>1</v>
      </c>
      <c r="CQ143" s="45">
        <f t="shared" si="381"/>
        <v>1</v>
      </c>
      <c r="CR143" s="45">
        <f t="shared" si="382"/>
        <v>1</v>
      </c>
      <c r="CS143" s="45">
        <f t="shared" si="383"/>
        <v>1</v>
      </c>
      <c r="CT143" s="45">
        <f t="shared" si="384"/>
        <v>1</v>
      </c>
      <c r="CU143" s="45">
        <f t="shared" si="385"/>
        <v>1</v>
      </c>
      <c r="CV143" s="45">
        <f t="shared" si="386"/>
        <v>1</v>
      </c>
      <c r="CW143" s="45">
        <f t="shared" si="387"/>
        <v>1</v>
      </c>
      <c r="CX143" s="45">
        <f t="shared" si="388"/>
        <v>1</v>
      </c>
      <c r="CY143" s="45">
        <f t="shared" si="418"/>
        <v>1</v>
      </c>
      <c r="CZ143" s="45"/>
      <c r="DA143" s="45" t="str">
        <f t="shared" si="389"/>
        <v>NS</v>
      </c>
      <c r="DB143" s="45" t="str">
        <f t="shared" si="390"/>
        <v>NS</v>
      </c>
      <c r="DC143" s="45" t="str">
        <f t="shared" si="391"/>
        <v>NS</v>
      </c>
      <c r="DD143" s="45" t="str">
        <f t="shared" si="392"/>
        <v>NS</v>
      </c>
      <c r="DE143" s="45" t="str">
        <f t="shared" si="393"/>
        <v>NS</v>
      </c>
      <c r="DF143" s="45" t="str">
        <f t="shared" si="394"/>
        <v>NS</v>
      </c>
      <c r="DG143" s="45" t="str">
        <f t="shared" si="395"/>
        <v>NS</v>
      </c>
      <c r="DH143" s="45" t="str">
        <f t="shared" si="396"/>
        <v>NS</v>
      </c>
      <c r="DI143" s="45" t="str">
        <f t="shared" si="397"/>
        <v>NS</v>
      </c>
      <c r="DJ143" s="45" t="str">
        <f t="shared" si="398"/>
        <v>NS</v>
      </c>
      <c r="DK143" s="45" t="str">
        <f t="shared" si="416"/>
        <v>NS</v>
      </c>
      <c r="DL143" s="45" t="str">
        <f t="shared" si="399"/>
        <v>NS</v>
      </c>
      <c r="DM143" s="45" t="e">
        <f t="shared" si="400"/>
        <v>#DIV/0!</v>
      </c>
      <c r="DN143" s="45" t="e">
        <f t="shared" si="401"/>
        <v>#DIV/0!</v>
      </c>
      <c r="DO143" s="45" t="e">
        <f t="shared" si="402"/>
        <v>#DIV/0!</v>
      </c>
      <c r="DP143" s="45" t="e">
        <f t="shared" si="403"/>
        <v>#DIV/0!</v>
      </c>
      <c r="DQ143" s="45" t="e">
        <f t="shared" si="404"/>
        <v>#DIV/0!</v>
      </c>
      <c r="DR143" s="45" t="e">
        <f t="shared" si="405"/>
        <v>#DIV/0!</v>
      </c>
      <c r="DS143" s="45" t="e">
        <f t="shared" si="406"/>
        <v>#DIV/0!</v>
      </c>
      <c r="DT143" s="45" t="e">
        <f t="shared" si="407"/>
        <v>#DIV/0!</v>
      </c>
      <c r="DU143" s="45" t="e">
        <f t="shared" si="408"/>
        <v>#DIV/0!</v>
      </c>
      <c r="DV143" s="45" t="e">
        <f t="shared" si="409"/>
        <v>#DIV/0!</v>
      </c>
      <c r="DW143" s="45" t="e">
        <f t="shared" si="410"/>
        <v>#DIV/0!</v>
      </c>
      <c r="DX143" s="45" t="e">
        <f t="shared" si="411"/>
        <v>#DIV/0!</v>
      </c>
      <c r="DY143" s="41"/>
      <c r="DZ143" s="41"/>
      <c r="EA143" s="41"/>
      <c r="EB143" s="41"/>
      <c r="EC143" s="41"/>
      <c r="ED143" s="41"/>
      <c r="EE143" s="41"/>
      <c r="EF143" s="41"/>
      <c r="EG143" s="41"/>
      <c r="EH143" s="47"/>
      <c r="EI143" s="270"/>
      <c r="EJ143" s="59">
        <f t="shared" si="412"/>
        <v>46873</v>
      </c>
      <c r="EK143" s="266"/>
      <c r="EL143" s="382"/>
      <c r="EM143" s="382"/>
      <c r="EN143" s="222"/>
      <c r="EO143" s="222"/>
      <c r="EP143" s="220"/>
      <c r="EQ143" s="222"/>
      <c r="ER143" s="223"/>
      <c r="ES143" s="220"/>
      <c r="ET143" s="222"/>
      <c r="EU143" s="222"/>
      <c r="EV143" s="220"/>
      <c r="EW143" s="220"/>
      <c r="EX143" s="220"/>
      <c r="EY143" s="220"/>
      <c r="EZ143" s="220"/>
      <c r="FA143" s="222"/>
      <c r="FB143" s="220"/>
      <c r="FC143" s="222"/>
      <c r="FD143" s="220"/>
      <c r="FE143" s="220"/>
      <c r="FF143" s="222"/>
      <c r="FG143" s="222"/>
      <c r="FH143" s="220"/>
      <c r="FI143" s="220"/>
      <c r="FJ143" s="220"/>
      <c r="FK143" s="220"/>
      <c r="FL143" s="215"/>
      <c r="FM143" s="172" t="s">
        <v>408</v>
      </c>
      <c r="FN143" s="172" t="s">
        <v>202</v>
      </c>
      <c r="FO143" s="224" t="s">
        <v>231</v>
      </c>
      <c r="FP143" s="172" t="s">
        <v>203</v>
      </c>
      <c r="FQ143" s="172" t="s">
        <v>183</v>
      </c>
      <c r="FR143" s="213" t="s">
        <v>184</v>
      </c>
      <c r="FS143" s="213" t="s">
        <v>385</v>
      </c>
      <c r="FT143" s="213" t="s">
        <v>432</v>
      </c>
      <c r="FU143" s="269"/>
    </row>
    <row r="144" spans="1:177" s="13" customFormat="1" ht="176">
      <c r="A144" s="63" t="s">
        <v>978</v>
      </c>
      <c r="B144" s="48"/>
      <c r="C144" s="64" t="s">
        <v>206</v>
      </c>
      <c r="D144" s="225" t="s">
        <v>207</v>
      </c>
      <c r="E144" s="63" t="s">
        <v>974</v>
      </c>
      <c r="F144" s="279">
        <v>2</v>
      </c>
      <c r="G144" s="65" t="s">
        <v>398</v>
      </c>
      <c r="H144" s="65" t="s">
        <v>398</v>
      </c>
      <c r="I144" s="388" t="s">
        <v>979</v>
      </c>
      <c r="J144" s="48">
        <v>2024</v>
      </c>
      <c r="K144" s="48">
        <v>2025</v>
      </c>
      <c r="L144" s="48" t="s">
        <v>172</v>
      </c>
      <c r="M144" s="48" t="s">
        <v>173</v>
      </c>
      <c r="N144" s="63" t="s">
        <v>174</v>
      </c>
      <c r="O144" s="63" t="s">
        <v>980</v>
      </c>
      <c r="P144" s="63" t="s">
        <v>458</v>
      </c>
      <c r="Q144" s="63" t="s">
        <v>199</v>
      </c>
      <c r="R144" s="63" t="s">
        <v>981</v>
      </c>
      <c r="S144" s="63" t="str">
        <f t="shared" si="414"/>
        <v>Selesai Implementasi</v>
      </c>
      <c r="T144" s="63" t="str">
        <f t="shared" si="413"/>
        <v>DONE</v>
      </c>
      <c r="U144" s="63" t="str">
        <f t="shared" si="354"/>
        <v>Rizky Arga</v>
      </c>
      <c r="V144" s="67">
        <f t="shared" si="415"/>
        <v>0.99999999999999989</v>
      </c>
      <c r="W144" s="66" t="s">
        <v>532</v>
      </c>
      <c r="X144" s="59">
        <f t="shared" si="355"/>
        <v>45646</v>
      </c>
      <c r="Y144" s="68">
        <v>0</v>
      </c>
      <c r="Z144" s="48"/>
      <c r="AA144" s="389">
        <v>45509</v>
      </c>
      <c r="AB144" s="390">
        <v>45548</v>
      </c>
      <c r="AC144" s="390">
        <v>45509</v>
      </c>
      <c r="AD144" s="390">
        <v>45548</v>
      </c>
      <c r="AE144" s="390"/>
      <c r="AF144" s="390"/>
      <c r="AG144" s="390"/>
      <c r="AH144" s="390"/>
      <c r="AI144" s="390">
        <v>45551</v>
      </c>
      <c r="AJ144" s="390">
        <v>45555</v>
      </c>
      <c r="AK144" s="390">
        <v>45558</v>
      </c>
      <c r="AL144" s="390">
        <v>45618</v>
      </c>
      <c r="AM144" s="265" t="s">
        <v>971</v>
      </c>
      <c r="AN144" s="265" t="s">
        <v>971</v>
      </c>
      <c r="AO144" s="390">
        <v>45621</v>
      </c>
      <c r="AP144" s="391">
        <v>45632</v>
      </c>
      <c r="AQ144" s="217">
        <v>45642</v>
      </c>
      <c r="AR144" s="217">
        <v>45646</v>
      </c>
      <c r="AS144" s="63" t="str">
        <f t="shared" si="356"/>
        <v>Selesai Implementasi</v>
      </c>
      <c r="AT144" s="63" t="str">
        <f t="shared" si="357"/>
        <v>Selesai Implementasi</v>
      </c>
      <c r="AU144" s="63" t="str">
        <f t="shared" si="358"/>
        <v>Selesai Implementasi</v>
      </c>
      <c r="AV144" s="63" t="str">
        <f t="shared" si="359"/>
        <v>Selesai Implementasi</v>
      </c>
      <c r="AW144" s="63" t="str">
        <f t="shared" si="360"/>
        <v>Selesai Implementasi</v>
      </c>
      <c r="AX144" s="63" t="str">
        <f t="shared" si="361"/>
        <v>Selesai Implementasi</v>
      </c>
      <c r="AY144" s="63" t="str">
        <f t="shared" si="362"/>
        <v>Selesai Implementasi</v>
      </c>
      <c r="AZ144" s="63" t="str">
        <f t="shared" si="363"/>
        <v>Selesai Implementasi</v>
      </c>
      <c r="BA144" s="63" t="str">
        <f t="shared" si="364"/>
        <v>Selesai Implementasi</v>
      </c>
      <c r="BB144" s="63" t="str">
        <f t="shared" si="365"/>
        <v>Selesai Implementasi</v>
      </c>
      <c r="BC144" s="63" t="str">
        <f t="shared" si="417"/>
        <v>Selesai Implementasi</v>
      </c>
      <c r="BD144" s="63" t="str">
        <f t="shared" si="366"/>
        <v>Selesai Implementasi</v>
      </c>
      <c r="BE144" s="351">
        <v>1</v>
      </c>
      <c r="BF144" s="351">
        <v>1</v>
      </c>
      <c r="BG144" s="351">
        <v>1</v>
      </c>
      <c r="BH144" s="351">
        <v>1</v>
      </c>
      <c r="BI144" s="351">
        <v>1</v>
      </c>
      <c r="BJ144" s="351">
        <v>1</v>
      </c>
      <c r="BK144" s="351">
        <v>1</v>
      </c>
      <c r="BL144" s="351">
        <v>1</v>
      </c>
      <c r="BM144" s="351">
        <v>1</v>
      </c>
      <c r="BN144" s="351">
        <v>1</v>
      </c>
      <c r="BO144" s="351">
        <v>1</v>
      </c>
      <c r="BP144" s="351">
        <v>1</v>
      </c>
      <c r="BQ144" s="63" t="str">
        <f t="shared" si="367"/>
        <v>Selesai Implementasi</v>
      </c>
      <c r="BR144" s="63" t="str">
        <f t="shared" si="368"/>
        <v>Not Started</v>
      </c>
      <c r="BS144" s="63" t="str">
        <f t="shared" si="369"/>
        <v>Not Started</v>
      </c>
      <c r="BT144" s="63" t="str">
        <f t="shared" si="370"/>
        <v>Not Started</v>
      </c>
      <c r="BU144" s="63" t="str">
        <f t="shared" si="371"/>
        <v>Not Started</v>
      </c>
      <c r="BV144" s="63" t="str">
        <f t="shared" si="372"/>
        <v>Not Started</v>
      </c>
      <c r="BW144" s="63" t="str">
        <f t="shared" si="373"/>
        <v>Not Started</v>
      </c>
      <c r="BX144" s="63" t="str">
        <f t="shared" si="374"/>
        <v>Not Started</v>
      </c>
      <c r="BY144" s="63" t="str">
        <f t="shared" si="375"/>
        <v>Not Started</v>
      </c>
      <c r="BZ144" s="63" t="str">
        <f t="shared" si="376"/>
        <v>Not Started</v>
      </c>
      <c r="CA144" s="63" t="str">
        <f t="shared" si="377"/>
        <v>Not Started</v>
      </c>
      <c r="CB144" s="63" t="str">
        <f t="shared" si="378"/>
        <v>Not Started</v>
      </c>
      <c r="CC144" s="44">
        <f>(($DY144/100%)*15%)+(($DZ144/100%)*5%)+(($EA144/100%)*5%)+(($EB144/100%)*5%)+(($EC144/100%)*15%)+(($ED144/100%)*35%)+(($EE144/100%)*7.5%)+(($EF144/100%)*7.5%)+(($EG144/100%)*5%)</f>
        <v>0.99999999999999989</v>
      </c>
      <c r="CD144" s="44"/>
      <c r="CE144" s="44"/>
      <c r="CF144" s="44"/>
      <c r="CG144" s="44"/>
      <c r="CH144" s="44"/>
      <c r="CI144" s="44"/>
      <c r="CJ144" s="44"/>
      <c r="CK144" s="44"/>
      <c r="CL144" s="44"/>
      <c r="CM144" s="44"/>
      <c r="CN144" s="44"/>
      <c r="CO144" s="45">
        <f t="shared" si="379"/>
        <v>0.99999999999999989</v>
      </c>
      <c r="CP144" s="45">
        <f t="shared" si="380"/>
        <v>0</v>
      </c>
      <c r="CQ144" s="45">
        <f t="shared" si="381"/>
        <v>0</v>
      </c>
      <c r="CR144" s="45">
        <f t="shared" si="382"/>
        <v>0</v>
      </c>
      <c r="CS144" s="45">
        <f t="shared" si="383"/>
        <v>0</v>
      </c>
      <c r="CT144" s="45">
        <f t="shared" si="384"/>
        <v>0</v>
      </c>
      <c r="CU144" s="45">
        <f t="shared" si="385"/>
        <v>0</v>
      </c>
      <c r="CV144" s="45">
        <f t="shared" si="386"/>
        <v>0</v>
      </c>
      <c r="CW144" s="45">
        <f t="shared" si="387"/>
        <v>0</v>
      </c>
      <c r="CX144" s="45">
        <f t="shared" si="388"/>
        <v>0</v>
      </c>
      <c r="CY144" s="45">
        <f t="shared" si="418"/>
        <v>0</v>
      </c>
      <c r="CZ144" s="45"/>
      <c r="DA144" s="45" t="str">
        <f t="shared" si="389"/>
        <v>DONE</v>
      </c>
      <c r="DB144" s="45" t="str">
        <f t="shared" si="390"/>
        <v>BS</v>
      </c>
      <c r="DC144" s="45" t="str">
        <f t="shared" si="391"/>
        <v>BS</v>
      </c>
      <c r="DD144" s="45" t="str">
        <f t="shared" si="392"/>
        <v>BS</v>
      </c>
      <c r="DE144" s="45" t="str">
        <f t="shared" si="393"/>
        <v>BS</v>
      </c>
      <c r="DF144" s="45" t="str">
        <f t="shared" si="394"/>
        <v>BS</v>
      </c>
      <c r="DG144" s="45" t="str">
        <f t="shared" si="395"/>
        <v>BS</v>
      </c>
      <c r="DH144" s="45" t="str">
        <f t="shared" si="396"/>
        <v>BS</v>
      </c>
      <c r="DI144" s="45" t="str">
        <f t="shared" si="397"/>
        <v>BS</v>
      </c>
      <c r="DJ144" s="45" t="str">
        <f t="shared" si="398"/>
        <v>BS</v>
      </c>
      <c r="DK144" s="45" t="str">
        <f t="shared" si="416"/>
        <v>BS</v>
      </c>
      <c r="DL144" s="45" t="str">
        <f t="shared" si="399"/>
        <v>BS</v>
      </c>
      <c r="DM144" s="45">
        <f t="shared" si="400"/>
        <v>0.99999999999999989</v>
      </c>
      <c r="DN144" s="45">
        <f t="shared" si="401"/>
        <v>0</v>
      </c>
      <c r="DO144" s="45">
        <f t="shared" si="402"/>
        <v>0</v>
      </c>
      <c r="DP144" s="45">
        <f t="shared" si="403"/>
        <v>0</v>
      </c>
      <c r="DQ144" s="45">
        <f t="shared" si="404"/>
        <v>0</v>
      </c>
      <c r="DR144" s="45">
        <f t="shared" si="405"/>
        <v>0</v>
      </c>
      <c r="DS144" s="45">
        <f t="shared" si="406"/>
        <v>0</v>
      </c>
      <c r="DT144" s="45">
        <f t="shared" si="407"/>
        <v>0</v>
      </c>
      <c r="DU144" s="45">
        <f t="shared" si="408"/>
        <v>0</v>
      </c>
      <c r="DV144" s="45">
        <f t="shared" si="409"/>
        <v>0</v>
      </c>
      <c r="DW144" s="45">
        <f t="shared" si="410"/>
        <v>0</v>
      </c>
      <c r="DX144" s="45">
        <f t="shared" si="411"/>
        <v>0</v>
      </c>
      <c r="DY144" s="46">
        <v>1</v>
      </c>
      <c r="DZ144" s="46">
        <v>1</v>
      </c>
      <c r="EA144" s="41">
        <v>1</v>
      </c>
      <c r="EB144" s="41">
        <v>1</v>
      </c>
      <c r="EC144" s="46">
        <v>1</v>
      </c>
      <c r="ED144" s="46">
        <v>1</v>
      </c>
      <c r="EE144" s="41">
        <v>1</v>
      </c>
      <c r="EF144" s="46">
        <v>1</v>
      </c>
      <c r="EG144" s="46">
        <v>1</v>
      </c>
      <c r="EH144" s="460" t="s">
        <v>982</v>
      </c>
      <c r="EI144" s="59">
        <v>45670</v>
      </c>
      <c r="EJ144" s="339">
        <f t="shared" si="412"/>
        <v>45646</v>
      </c>
      <c r="EK144" s="627"/>
      <c r="EL144" s="392"/>
      <c r="EM144" s="392"/>
      <c r="EN144" s="388"/>
      <c r="EO144" s="388" t="s">
        <v>983</v>
      </c>
      <c r="EP144" s="393"/>
      <c r="EQ144" s="388"/>
      <c r="ER144" s="393"/>
      <c r="ES144" s="393"/>
      <c r="ET144" s="388"/>
      <c r="EU144" s="388"/>
      <c r="EV144" s="393"/>
      <c r="EW144" s="393"/>
      <c r="EX144" s="393"/>
      <c r="EY144" s="393"/>
      <c r="EZ144" s="393"/>
      <c r="FA144" s="388" t="s">
        <v>984</v>
      </c>
      <c r="FB144" s="393"/>
      <c r="FC144" s="388"/>
      <c r="FD144" s="393"/>
      <c r="FE144" s="393"/>
      <c r="FF144" s="388"/>
      <c r="FG144" s="388"/>
      <c r="FH144" s="393"/>
      <c r="FI144" s="393"/>
      <c r="FJ144" s="393"/>
      <c r="FK144" s="393"/>
      <c r="FL144" s="394"/>
      <c r="FM144" s="172"/>
      <c r="FN144" s="340" t="s">
        <v>202</v>
      </c>
      <c r="FO144" s="224"/>
      <c r="FP144" s="172"/>
      <c r="FQ144" s="172" t="s">
        <v>971</v>
      </c>
      <c r="FR144" s="255" t="s">
        <v>549</v>
      </c>
      <c r="FS144" s="223" t="s">
        <v>400</v>
      </c>
      <c r="FT144" s="267" t="s">
        <v>421</v>
      </c>
      <c r="FU144" s="48">
        <v>5</v>
      </c>
    </row>
    <row r="145" spans="1:177" s="16" customFormat="1" ht="224">
      <c r="A145" s="278" t="s">
        <v>985</v>
      </c>
      <c r="B145" s="263"/>
      <c r="C145" s="64" t="s">
        <v>206</v>
      </c>
      <c r="D145" s="225" t="s">
        <v>207</v>
      </c>
      <c r="E145" s="48" t="s">
        <v>986</v>
      </c>
      <c r="F145" s="227">
        <v>1</v>
      </c>
      <c r="G145" s="293" t="s">
        <v>987</v>
      </c>
      <c r="H145" s="293" t="s">
        <v>988</v>
      </c>
      <c r="I145" s="285" t="s">
        <v>989</v>
      </c>
      <c r="J145" s="48">
        <v>2024</v>
      </c>
      <c r="K145" s="48">
        <v>2025</v>
      </c>
      <c r="L145" s="48" t="s">
        <v>288</v>
      </c>
      <c r="M145" s="48" t="s">
        <v>173</v>
      </c>
      <c r="N145" s="48" t="s">
        <v>174</v>
      </c>
      <c r="O145" s="48" t="s">
        <v>833</v>
      </c>
      <c r="P145" s="63" t="s">
        <v>458</v>
      </c>
      <c r="Q145" s="48" t="s">
        <v>213</v>
      </c>
      <c r="R145" s="66" t="s">
        <v>214</v>
      </c>
      <c r="S145" s="63" t="str">
        <f t="shared" si="414"/>
        <v>Selesai Implementasi</v>
      </c>
      <c r="T145" s="63" t="str">
        <f t="shared" si="413"/>
        <v>DONE</v>
      </c>
      <c r="U145" s="63" t="str">
        <f t="shared" si="354"/>
        <v>Rifanda Yulio</v>
      </c>
      <c r="V145" s="67">
        <f t="shared" si="415"/>
        <v>0.99999999999999989</v>
      </c>
      <c r="W145" s="66" t="s">
        <v>532</v>
      </c>
      <c r="X145" s="59">
        <f t="shared" si="355"/>
        <v>45900</v>
      </c>
      <c r="Y145" s="68" t="s">
        <v>381</v>
      </c>
      <c r="Z145" s="48"/>
      <c r="AA145" s="395"/>
      <c r="AB145" s="355"/>
      <c r="AC145" s="355"/>
      <c r="AD145" s="355"/>
      <c r="AE145" s="355"/>
      <c r="AF145" s="294"/>
      <c r="AG145" s="355"/>
      <c r="AH145" s="355"/>
      <c r="AI145" s="355">
        <v>45659</v>
      </c>
      <c r="AJ145" s="355">
        <v>45688</v>
      </c>
      <c r="AK145" s="355">
        <v>45691</v>
      </c>
      <c r="AL145" s="297">
        <v>45777</v>
      </c>
      <c r="AM145" s="297">
        <v>45778</v>
      </c>
      <c r="AN145" s="297">
        <v>45808</v>
      </c>
      <c r="AO145" s="297">
        <v>45810</v>
      </c>
      <c r="AP145" s="297">
        <v>45838</v>
      </c>
      <c r="AQ145" s="297">
        <v>45839</v>
      </c>
      <c r="AR145" s="396">
        <v>45900</v>
      </c>
      <c r="AS145" s="63" t="str">
        <f t="shared" si="356"/>
        <v>Selesai Implementasi</v>
      </c>
      <c r="AT145" s="63" t="str">
        <f t="shared" si="357"/>
        <v>Selesai Implementasi</v>
      </c>
      <c r="AU145" s="63" t="str">
        <f t="shared" si="358"/>
        <v>Selesai Implementasi</v>
      </c>
      <c r="AV145" s="63" t="str">
        <f t="shared" si="359"/>
        <v>Selesai Implementasi</v>
      </c>
      <c r="AW145" s="63" t="str">
        <f t="shared" si="360"/>
        <v>Selesai Implementasi</v>
      </c>
      <c r="AX145" s="63" t="str">
        <f t="shared" si="361"/>
        <v>Selesai Implementasi</v>
      </c>
      <c r="AY145" s="63" t="str">
        <f t="shared" si="362"/>
        <v>Selesai Implementasi</v>
      </c>
      <c r="AZ145" s="63" t="str">
        <f t="shared" si="363"/>
        <v>Selesai Implementasi</v>
      </c>
      <c r="BA145" s="63" t="str">
        <f t="shared" si="364"/>
        <v>Selesai Implementasi</v>
      </c>
      <c r="BB145" s="63" t="str">
        <f t="shared" si="365"/>
        <v>Selesai Implementasi</v>
      </c>
      <c r="BC145" s="63" t="str">
        <f t="shared" si="417"/>
        <v>Selesai Implementasi</v>
      </c>
      <c r="BD145" s="63" t="str">
        <f t="shared" si="366"/>
        <v>Selesai Implementasi</v>
      </c>
      <c r="BE145" s="351">
        <v>1</v>
      </c>
      <c r="BF145" s="351">
        <v>1</v>
      </c>
      <c r="BG145" s="351">
        <v>1</v>
      </c>
      <c r="BH145" s="351">
        <v>1</v>
      </c>
      <c r="BI145" s="351">
        <v>1</v>
      </c>
      <c r="BJ145" s="351">
        <v>1</v>
      </c>
      <c r="BK145" s="351">
        <v>1</v>
      </c>
      <c r="BL145" s="351">
        <v>1</v>
      </c>
      <c r="BM145" s="351">
        <v>1</v>
      </c>
      <c r="BN145" s="351">
        <v>1</v>
      </c>
      <c r="BO145" s="351">
        <v>1</v>
      </c>
      <c r="BP145" s="351">
        <v>1</v>
      </c>
      <c r="BQ145" s="63" t="str">
        <f t="shared" si="367"/>
        <v>Selesai Implementasi</v>
      </c>
      <c r="BR145" s="63" t="str">
        <f t="shared" si="368"/>
        <v>Not Started</v>
      </c>
      <c r="BS145" s="63" t="str">
        <f t="shared" si="369"/>
        <v>Not Started</v>
      </c>
      <c r="BT145" s="63" t="str">
        <f t="shared" si="370"/>
        <v>Not Started</v>
      </c>
      <c r="BU145" s="63" t="str">
        <f t="shared" si="371"/>
        <v>Not Started</v>
      </c>
      <c r="BV145" s="63" t="str">
        <f t="shared" si="372"/>
        <v>Not Started</v>
      </c>
      <c r="BW145" s="63" t="str">
        <f t="shared" si="373"/>
        <v>Not Started</v>
      </c>
      <c r="BX145" s="63" t="str">
        <f t="shared" si="374"/>
        <v>Not Started</v>
      </c>
      <c r="BY145" s="63" t="str">
        <f t="shared" si="375"/>
        <v>Not Started</v>
      </c>
      <c r="BZ145" s="63" t="str">
        <f t="shared" si="376"/>
        <v>Not Started</v>
      </c>
      <c r="CA145" s="63" t="str">
        <f t="shared" si="377"/>
        <v>Not Started</v>
      </c>
      <c r="CB145" s="63" t="str">
        <f t="shared" si="378"/>
        <v>Not Started</v>
      </c>
      <c r="CC145" s="44">
        <f>(($DY145/100%)*15%)+(($DZ145/100%)*5%)+(($EA145/100%)*5%)+(($EB145/100%)*5%)+(($EC145/100%)*15%)+(($ED145/100%)*35%)+(($EE145/100%)*7.5%)+(($EF145/100%)*7.5%)+(($EG145/100%)*5%)</f>
        <v>0.99999999999999989</v>
      </c>
      <c r="CD145" s="44"/>
      <c r="CE145" s="44"/>
      <c r="CF145" s="44"/>
      <c r="CG145" s="44"/>
      <c r="CH145" s="44"/>
      <c r="CI145" s="44"/>
      <c r="CJ145" s="44"/>
      <c r="CK145" s="346"/>
      <c r="CL145" s="44"/>
      <c r="CM145" s="44"/>
      <c r="CN145" s="44"/>
      <c r="CO145" s="45">
        <f t="shared" si="379"/>
        <v>0.99999999999999989</v>
      </c>
      <c r="CP145" s="45">
        <f t="shared" si="380"/>
        <v>0</v>
      </c>
      <c r="CQ145" s="45">
        <f t="shared" si="381"/>
        <v>0</v>
      </c>
      <c r="CR145" s="45">
        <f t="shared" si="382"/>
        <v>0</v>
      </c>
      <c r="CS145" s="45">
        <f t="shared" si="383"/>
        <v>0</v>
      </c>
      <c r="CT145" s="45">
        <f t="shared" si="384"/>
        <v>0</v>
      </c>
      <c r="CU145" s="45">
        <f t="shared" si="385"/>
        <v>0</v>
      </c>
      <c r="CV145" s="45">
        <f t="shared" si="386"/>
        <v>0</v>
      </c>
      <c r="CW145" s="45">
        <f t="shared" si="387"/>
        <v>0</v>
      </c>
      <c r="CX145" s="45">
        <f t="shared" si="388"/>
        <v>0</v>
      </c>
      <c r="CY145" s="45">
        <f t="shared" si="418"/>
        <v>0</v>
      </c>
      <c r="CZ145" s="45"/>
      <c r="DA145" s="45" t="str">
        <f t="shared" si="389"/>
        <v>DONE</v>
      </c>
      <c r="DB145" s="45" t="str">
        <f t="shared" si="390"/>
        <v>BS</v>
      </c>
      <c r="DC145" s="45" t="str">
        <f t="shared" si="391"/>
        <v>BS</v>
      </c>
      <c r="DD145" s="45" t="str">
        <f t="shared" si="392"/>
        <v>BS</v>
      </c>
      <c r="DE145" s="45" t="str">
        <f t="shared" si="393"/>
        <v>BS</v>
      </c>
      <c r="DF145" s="45" t="str">
        <f t="shared" si="394"/>
        <v>BS</v>
      </c>
      <c r="DG145" s="45" t="str">
        <f t="shared" si="395"/>
        <v>BS</v>
      </c>
      <c r="DH145" s="45" t="str">
        <f t="shared" si="396"/>
        <v>BS</v>
      </c>
      <c r="DI145" s="45" t="str">
        <f t="shared" si="397"/>
        <v>BS</v>
      </c>
      <c r="DJ145" s="45" t="str">
        <f t="shared" si="398"/>
        <v>BS</v>
      </c>
      <c r="DK145" s="45" t="str">
        <f t="shared" si="416"/>
        <v>BS</v>
      </c>
      <c r="DL145" s="45" t="str">
        <f t="shared" si="399"/>
        <v>BS</v>
      </c>
      <c r="DM145" s="45">
        <f t="shared" si="400"/>
        <v>0.99999999999999989</v>
      </c>
      <c r="DN145" s="45">
        <f t="shared" si="401"/>
        <v>0</v>
      </c>
      <c r="DO145" s="45">
        <f t="shared" si="402"/>
        <v>0</v>
      </c>
      <c r="DP145" s="45">
        <f t="shared" si="403"/>
        <v>0</v>
      </c>
      <c r="DQ145" s="45">
        <f t="shared" si="404"/>
        <v>0</v>
      </c>
      <c r="DR145" s="45">
        <f t="shared" si="405"/>
        <v>0</v>
      </c>
      <c r="DS145" s="45">
        <f t="shared" si="406"/>
        <v>0</v>
      </c>
      <c r="DT145" s="45">
        <f t="shared" si="407"/>
        <v>0</v>
      </c>
      <c r="DU145" s="45">
        <f t="shared" si="408"/>
        <v>0</v>
      </c>
      <c r="DV145" s="45">
        <f t="shared" si="409"/>
        <v>0</v>
      </c>
      <c r="DW145" s="45">
        <f t="shared" si="410"/>
        <v>0</v>
      </c>
      <c r="DX145" s="45">
        <f t="shared" si="411"/>
        <v>0</v>
      </c>
      <c r="DY145" s="181">
        <v>1</v>
      </c>
      <c r="DZ145" s="181">
        <v>1</v>
      </c>
      <c r="EA145" s="181">
        <v>1</v>
      </c>
      <c r="EB145" s="181">
        <v>1</v>
      </c>
      <c r="EC145" s="181">
        <v>1</v>
      </c>
      <c r="ED145" s="181">
        <v>1</v>
      </c>
      <c r="EE145" s="194">
        <v>1</v>
      </c>
      <c r="EF145" s="194">
        <v>1</v>
      </c>
      <c r="EG145" s="194">
        <v>1</v>
      </c>
      <c r="EH145" s="450" t="s">
        <v>990</v>
      </c>
      <c r="EI145" s="59">
        <v>45898</v>
      </c>
      <c r="EJ145" s="59">
        <f t="shared" si="412"/>
        <v>45900</v>
      </c>
      <c r="EK145" s="308"/>
      <c r="EL145" s="297">
        <v>45688</v>
      </c>
      <c r="EM145" s="297"/>
      <c r="EN145" s="285"/>
      <c r="EO145" s="285" t="s">
        <v>991</v>
      </c>
      <c r="EP145" s="346"/>
      <c r="EQ145" s="285"/>
      <c r="ER145" s="397"/>
      <c r="ES145" s="346"/>
      <c r="ET145" s="285"/>
      <c r="EU145" s="285"/>
      <c r="EV145" s="346"/>
      <c r="EW145" s="346"/>
      <c r="EX145" s="346"/>
      <c r="EY145" s="346"/>
      <c r="EZ145" s="346"/>
      <c r="FA145" s="285" t="s">
        <v>992</v>
      </c>
      <c r="FB145" s="346"/>
      <c r="FC145" s="285"/>
      <c r="FD145" s="346"/>
      <c r="FE145" s="346"/>
      <c r="FF145" s="285"/>
      <c r="FG145" s="285"/>
      <c r="FH145" s="346"/>
      <c r="FI145" s="346"/>
      <c r="FJ145" s="346"/>
      <c r="FK145" s="346"/>
      <c r="FL145" s="347"/>
      <c r="FM145" s="172" t="s">
        <v>993</v>
      </c>
      <c r="FN145" s="172" t="s">
        <v>220</v>
      </c>
      <c r="FO145" s="172" t="s">
        <v>221</v>
      </c>
      <c r="FP145" s="172" t="s">
        <v>222</v>
      </c>
      <c r="FQ145" s="172" t="s">
        <v>994</v>
      </c>
      <c r="FR145" s="398" t="s">
        <v>184</v>
      </c>
      <c r="FS145" s="287" t="s">
        <v>488</v>
      </c>
      <c r="FT145" s="399" t="s">
        <v>995</v>
      </c>
      <c r="FU145" s="48">
        <v>6</v>
      </c>
    </row>
    <row r="146" spans="1:177" s="13" customFormat="1" ht="144">
      <c r="A146" s="63" t="s">
        <v>996</v>
      </c>
      <c r="B146" s="48"/>
      <c r="C146" s="64" t="s">
        <v>206</v>
      </c>
      <c r="D146" s="225" t="s">
        <v>207</v>
      </c>
      <c r="E146" s="48" t="s">
        <v>986</v>
      </c>
      <c r="F146" s="227">
        <f>F145+1</f>
        <v>2</v>
      </c>
      <c r="G146" s="222" t="s">
        <v>987</v>
      </c>
      <c r="H146" s="293" t="s">
        <v>988</v>
      </c>
      <c r="I146" s="222" t="s">
        <v>997</v>
      </c>
      <c r="J146" s="48">
        <v>2026</v>
      </c>
      <c r="K146" s="48">
        <v>2026</v>
      </c>
      <c r="L146" s="48" t="s">
        <v>288</v>
      </c>
      <c r="M146" s="48" t="s">
        <v>173</v>
      </c>
      <c r="N146" s="48" t="s">
        <v>174</v>
      </c>
      <c r="O146" s="63" t="s">
        <v>602</v>
      </c>
      <c r="P146" s="63" t="s">
        <v>458</v>
      </c>
      <c r="Q146" s="48" t="s">
        <v>213</v>
      </c>
      <c r="R146" s="63" t="s">
        <v>998</v>
      </c>
      <c r="S146" s="63" t="str">
        <f t="shared" si="414"/>
        <v>Not Started</v>
      </c>
      <c r="T146" s="63" t="str">
        <f t="shared" si="413"/>
        <v>Not Started</v>
      </c>
      <c r="U146" s="63" t="str">
        <f t="shared" si="354"/>
        <v>Rifanda Yulio</v>
      </c>
      <c r="V146" s="67">
        <f t="shared" si="415"/>
        <v>0</v>
      </c>
      <c r="W146" s="66" t="s">
        <v>260</v>
      </c>
      <c r="X146" s="59">
        <f t="shared" si="355"/>
        <v>0</v>
      </c>
      <c r="Y146" s="68">
        <v>1</v>
      </c>
      <c r="Z146" s="48"/>
      <c r="AA146" s="280">
        <v>46023</v>
      </c>
      <c r="AB146" s="280">
        <v>46081</v>
      </c>
      <c r="AC146" s="280">
        <v>46082</v>
      </c>
      <c r="AD146" s="280">
        <v>46112</v>
      </c>
      <c r="AE146" s="48"/>
      <c r="AF146" s="48"/>
      <c r="AG146" s="48"/>
      <c r="AH146" s="48"/>
      <c r="AI146" s="48"/>
      <c r="AJ146" s="48"/>
      <c r="AK146" s="63"/>
      <c r="AL146" s="63"/>
      <c r="AM146" s="63"/>
      <c r="AN146" s="63"/>
      <c r="AO146" s="63"/>
      <c r="AP146" s="63"/>
      <c r="AQ146" s="63"/>
      <c r="AR146" s="59"/>
      <c r="AS146" s="63" t="str">
        <f t="shared" si="356"/>
        <v>Not Started</v>
      </c>
      <c r="AT146" s="63" t="str">
        <f t="shared" si="357"/>
        <v>Not Started</v>
      </c>
      <c r="AU146" s="63" t="str">
        <f t="shared" si="358"/>
        <v>Not Started</v>
      </c>
      <c r="AV146" s="63" t="str">
        <f t="shared" si="359"/>
        <v>Not Started</v>
      </c>
      <c r="AW146" s="63" t="str">
        <f t="shared" si="360"/>
        <v>Not Started</v>
      </c>
      <c r="AX146" s="63" t="str">
        <f t="shared" si="361"/>
        <v>Not Started</v>
      </c>
      <c r="AY146" s="63" t="str">
        <f t="shared" si="362"/>
        <v>Not Started</v>
      </c>
      <c r="AZ146" s="63" t="str">
        <f t="shared" si="363"/>
        <v>Not Started</v>
      </c>
      <c r="BA146" s="63" t="str">
        <f t="shared" si="364"/>
        <v>Not Started</v>
      </c>
      <c r="BB146" s="63" t="str">
        <f t="shared" si="365"/>
        <v>Not Started</v>
      </c>
      <c r="BC146" s="63" t="str">
        <f t="shared" si="417"/>
        <v>Not Started</v>
      </c>
      <c r="BD146" s="63" t="str">
        <f t="shared" si="366"/>
        <v>Not Started</v>
      </c>
      <c r="BE146" s="43"/>
      <c r="BF146" s="43"/>
      <c r="BG146" s="43">
        <v>0</v>
      </c>
      <c r="BH146" s="281">
        <v>0</v>
      </c>
      <c r="BI146" s="43"/>
      <c r="BJ146" s="43"/>
      <c r="BK146" s="43"/>
      <c r="BL146" s="43"/>
      <c r="BM146" s="43"/>
      <c r="BN146" s="43"/>
      <c r="BO146" s="43">
        <v>0</v>
      </c>
      <c r="BP146" s="43"/>
      <c r="BQ146" s="63" t="str">
        <f t="shared" si="367"/>
        <v>Not Started</v>
      </c>
      <c r="BR146" s="63" t="str">
        <f t="shared" si="368"/>
        <v>Not Started</v>
      </c>
      <c r="BS146" s="63" t="str">
        <f t="shared" si="369"/>
        <v>Not Started</v>
      </c>
      <c r="BT146" s="63" t="str">
        <f t="shared" si="370"/>
        <v>Not Started</v>
      </c>
      <c r="BU146" s="63" t="str">
        <f t="shared" si="371"/>
        <v>Not Started</v>
      </c>
      <c r="BV146" s="63" t="str">
        <f t="shared" si="372"/>
        <v>Not Started</v>
      </c>
      <c r="BW146" s="63" t="str">
        <f t="shared" si="373"/>
        <v>Not Started</v>
      </c>
      <c r="BX146" s="63" t="str">
        <f t="shared" si="374"/>
        <v>Not Started</v>
      </c>
      <c r="BY146" s="63" t="str">
        <f t="shared" si="375"/>
        <v>Not Started</v>
      </c>
      <c r="BZ146" s="63" t="str">
        <f t="shared" si="376"/>
        <v>Not Started</v>
      </c>
      <c r="CA146" s="63" t="str">
        <f t="shared" si="377"/>
        <v>Not Started</v>
      </c>
      <c r="CB146" s="63" t="str">
        <f t="shared" si="378"/>
        <v>Not Started</v>
      </c>
      <c r="CC146" s="44">
        <f>(($DY146/100%)*15%)+(($DZ146/100%)*5%)+(($EA146/100%)*5%)+(($EB146/100%)*5%)+(($EC146/100%)*15%)+(($ED146/100%)*35%)+(($EE146/100%)*7.5%)+(($EF146/100%)*7.5%)+(($EG146/100%)*5%)</f>
        <v>0</v>
      </c>
      <c r="CD146" s="44"/>
      <c r="CE146" s="44"/>
      <c r="CF146" s="44"/>
      <c r="CG146" s="44"/>
      <c r="CH146" s="44"/>
      <c r="CI146" s="44"/>
      <c r="CJ146" s="44"/>
      <c r="CK146" s="44"/>
      <c r="CL146" s="44"/>
      <c r="CM146" s="44"/>
      <c r="CN146" s="44"/>
      <c r="CO146" s="45">
        <f t="shared" si="379"/>
        <v>1</v>
      </c>
      <c r="CP146" s="45">
        <f t="shared" si="380"/>
        <v>1</v>
      </c>
      <c r="CQ146" s="45">
        <f t="shared" si="381"/>
        <v>1</v>
      </c>
      <c r="CR146" s="45">
        <f t="shared" si="382"/>
        <v>1</v>
      </c>
      <c r="CS146" s="45">
        <f t="shared" si="383"/>
        <v>1</v>
      </c>
      <c r="CT146" s="45">
        <f t="shared" si="384"/>
        <v>1</v>
      </c>
      <c r="CU146" s="45">
        <f t="shared" si="385"/>
        <v>1</v>
      </c>
      <c r="CV146" s="45">
        <f t="shared" si="386"/>
        <v>1</v>
      </c>
      <c r="CW146" s="45">
        <f t="shared" si="387"/>
        <v>1</v>
      </c>
      <c r="CX146" s="45">
        <f t="shared" si="388"/>
        <v>1</v>
      </c>
      <c r="CY146" s="45">
        <f t="shared" si="418"/>
        <v>1</v>
      </c>
      <c r="CZ146" s="45"/>
      <c r="DA146" s="45" t="str">
        <f t="shared" si="389"/>
        <v>NS</v>
      </c>
      <c r="DB146" s="45" t="str">
        <f t="shared" si="390"/>
        <v>NS</v>
      </c>
      <c r="DC146" s="45" t="str">
        <f t="shared" si="391"/>
        <v>NS</v>
      </c>
      <c r="DD146" s="45" t="str">
        <f t="shared" si="392"/>
        <v>NS</v>
      </c>
      <c r="DE146" s="45" t="str">
        <f t="shared" si="393"/>
        <v>NS</v>
      </c>
      <c r="DF146" s="45" t="str">
        <f t="shared" si="394"/>
        <v>NS</v>
      </c>
      <c r="DG146" s="45" t="str">
        <f t="shared" si="395"/>
        <v>NS</v>
      </c>
      <c r="DH146" s="45" t="str">
        <f t="shared" si="396"/>
        <v>NS</v>
      </c>
      <c r="DI146" s="45" t="str">
        <f t="shared" si="397"/>
        <v>NS</v>
      </c>
      <c r="DJ146" s="45" t="str">
        <f t="shared" si="398"/>
        <v>NS</v>
      </c>
      <c r="DK146" s="45" t="str">
        <f t="shared" si="416"/>
        <v>NS</v>
      </c>
      <c r="DL146" s="45" t="str">
        <f t="shared" si="399"/>
        <v>NS</v>
      </c>
      <c r="DM146" s="45" t="e">
        <f t="shared" si="400"/>
        <v>#DIV/0!</v>
      </c>
      <c r="DN146" s="45" t="e">
        <f t="shared" si="401"/>
        <v>#DIV/0!</v>
      </c>
      <c r="DO146" s="45" t="e">
        <f t="shared" si="402"/>
        <v>#DIV/0!</v>
      </c>
      <c r="DP146" s="45" t="e">
        <f t="shared" si="403"/>
        <v>#DIV/0!</v>
      </c>
      <c r="DQ146" s="45" t="e">
        <f t="shared" si="404"/>
        <v>#DIV/0!</v>
      </c>
      <c r="DR146" s="45" t="e">
        <f t="shared" si="405"/>
        <v>#DIV/0!</v>
      </c>
      <c r="DS146" s="45" t="e">
        <f t="shared" si="406"/>
        <v>#DIV/0!</v>
      </c>
      <c r="DT146" s="45" t="e">
        <f t="shared" si="407"/>
        <v>#DIV/0!</v>
      </c>
      <c r="DU146" s="45" t="e">
        <f t="shared" si="408"/>
        <v>#DIV/0!</v>
      </c>
      <c r="DV146" s="45" t="e">
        <f t="shared" si="409"/>
        <v>#DIV/0!</v>
      </c>
      <c r="DW146" s="45" t="e">
        <f t="shared" si="410"/>
        <v>#DIV/0!</v>
      </c>
      <c r="DX146" s="45" t="e">
        <f t="shared" si="411"/>
        <v>#DIV/0!</v>
      </c>
      <c r="DY146" s="41"/>
      <c r="DZ146" s="41"/>
      <c r="EA146" s="41"/>
      <c r="EB146" s="41"/>
      <c r="EC146" s="41"/>
      <c r="ED146" s="41"/>
      <c r="EE146" s="41"/>
      <c r="EF146" s="41"/>
      <c r="EG146" s="41"/>
      <c r="EH146" s="47" t="s">
        <v>999</v>
      </c>
      <c r="EI146" s="270"/>
      <c r="EJ146" s="59">
        <f t="shared" si="412"/>
        <v>0</v>
      </c>
      <c r="EK146" s="229"/>
      <c r="EL146" s="264"/>
      <c r="EM146" s="264"/>
      <c r="EN146" s="222"/>
      <c r="EO146" s="222"/>
      <c r="EP146" s="220"/>
      <c r="EQ146" s="222"/>
      <c r="ER146" s="223"/>
      <c r="ES146" s="220"/>
      <c r="ET146" s="222"/>
      <c r="EU146" s="222"/>
      <c r="EV146" s="220"/>
      <c r="EW146" s="220"/>
      <c r="EX146" s="220"/>
      <c r="EY146" s="220"/>
      <c r="EZ146" s="220"/>
      <c r="FA146" s="222"/>
      <c r="FB146" s="220"/>
      <c r="FC146" s="222"/>
      <c r="FD146" s="220"/>
      <c r="FE146" s="220"/>
      <c r="FF146" s="222"/>
      <c r="FG146" s="222"/>
      <c r="FH146" s="220"/>
      <c r="FI146" s="220"/>
      <c r="FJ146" s="220"/>
      <c r="FK146" s="220"/>
      <c r="FL146" s="220"/>
      <c r="FM146" s="172" t="s">
        <v>993</v>
      </c>
      <c r="FN146" s="172" t="s">
        <v>220</v>
      </c>
      <c r="FO146" s="172" t="s">
        <v>221</v>
      </c>
      <c r="FP146" s="172" t="s">
        <v>222</v>
      </c>
      <c r="FQ146" s="172" t="s">
        <v>328</v>
      </c>
      <c r="FR146" s="223" t="s">
        <v>224</v>
      </c>
      <c r="FS146" s="213"/>
      <c r="FT146" s="213" t="s">
        <v>1000</v>
      </c>
      <c r="FU146" s="269"/>
    </row>
    <row r="147" spans="1:177" s="13" customFormat="1" ht="144">
      <c r="A147" s="63" t="s">
        <v>1001</v>
      </c>
      <c r="B147" s="48"/>
      <c r="C147" s="64" t="s">
        <v>206</v>
      </c>
      <c r="D147" s="225" t="s">
        <v>207</v>
      </c>
      <c r="E147" s="48" t="s">
        <v>986</v>
      </c>
      <c r="F147" s="227">
        <f>F146+1</f>
        <v>3</v>
      </c>
      <c r="G147" s="222" t="s">
        <v>987</v>
      </c>
      <c r="H147" s="293" t="s">
        <v>988</v>
      </c>
      <c r="I147" s="222" t="s">
        <v>1002</v>
      </c>
      <c r="J147" s="48">
        <v>2027</v>
      </c>
      <c r="K147" s="48">
        <v>2029</v>
      </c>
      <c r="L147" s="48" t="s">
        <v>288</v>
      </c>
      <c r="M147" s="48" t="s">
        <v>173</v>
      </c>
      <c r="N147" s="48" t="s">
        <v>174</v>
      </c>
      <c r="O147" s="63" t="s">
        <v>493</v>
      </c>
      <c r="P147" s="63" t="s">
        <v>458</v>
      </c>
      <c r="Q147" s="48" t="s">
        <v>213</v>
      </c>
      <c r="R147" s="63" t="s">
        <v>834</v>
      </c>
      <c r="S147" s="63" t="str">
        <f t="shared" si="414"/>
        <v>Not Started</v>
      </c>
      <c r="T147" s="63" t="str">
        <f t="shared" si="413"/>
        <v>Not Started</v>
      </c>
      <c r="U147" s="63" t="str">
        <f t="shared" si="354"/>
        <v>Rifanda Yulio</v>
      </c>
      <c r="V147" s="67">
        <f t="shared" si="415"/>
        <v>0</v>
      </c>
      <c r="W147" s="66" t="s">
        <v>359</v>
      </c>
      <c r="X147" s="59">
        <f t="shared" si="355"/>
        <v>46203</v>
      </c>
      <c r="Y147" s="68">
        <v>0</v>
      </c>
      <c r="Z147" s="48"/>
      <c r="AA147" s="246">
        <v>46478</v>
      </c>
      <c r="AB147" s="218">
        <v>46599</v>
      </c>
      <c r="AC147" s="218"/>
      <c r="AD147" s="218"/>
      <c r="AE147" s="59"/>
      <c r="AF147" s="59"/>
      <c r="AG147" s="48"/>
      <c r="AH147" s="48"/>
      <c r="AI147" s="48"/>
      <c r="AJ147" s="48"/>
      <c r="AK147" s="59"/>
      <c r="AL147" s="59"/>
      <c r="AM147" s="59"/>
      <c r="AN147" s="59"/>
      <c r="AO147" s="59"/>
      <c r="AP147" s="59"/>
      <c r="AQ147" s="59"/>
      <c r="AR147" s="59">
        <v>46203</v>
      </c>
      <c r="AS147" s="63" t="str">
        <f t="shared" si="356"/>
        <v>Not Started</v>
      </c>
      <c r="AT147" s="63" t="str">
        <f t="shared" si="357"/>
        <v>Not Started</v>
      </c>
      <c r="AU147" s="63" t="str">
        <f t="shared" si="358"/>
        <v>Not Started</v>
      </c>
      <c r="AV147" s="63" t="str">
        <f t="shared" si="359"/>
        <v>Not Started</v>
      </c>
      <c r="AW147" s="63" t="str">
        <f t="shared" si="360"/>
        <v>Not Started</v>
      </c>
      <c r="AX147" s="63" t="str">
        <f t="shared" si="361"/>
        <v>Not Started</v>
      </c>
      <c r="AY147" s="63" t="str">
        <f t="shared" si="362"/>
        <v>Not Started</v>
      </c>
      <c r="AZ147" s="63" t="str">
        <f t="shared" si="363"/>
        <v>Not Started</v>
      </c>
      <c r="BA147" s="63" t="str">
        <f t="shared" si="364"/>
        <v>Not Started</v>
      </c>
      <c r="BB147" s="63" t="str">
        <f t="shared" si="365"/>
        <v>Not Started</v>
      </c>
      <c r="BC147" s="63" t="str">
        <f t="shared" si="417"/>
        <v>Not Started</v>
      </c>
      <c r="BD147" s="63" t="str">
        <f t="shared" si="366"/>
        <v>Not Started</v>
      </c>
      <c r="BE147" s="219">
        <v>0</v>
      </c>
      <c r="BF147" s="219">
        <v>0</v>
      </c>
      <c r="BG147" s="219">
        <v>0</v>
      </c>
      <c r="BH147" s="219">
        <v>0</v>
      </c>
      <c r="BI147" s="219">
        <v>0</v>
      </c>
      <c r="BJ147" s="219">
        <v>0</v>
      </c>
      <c r="BK147" s="219">
        <v>0</v>
      </c>
      <c r="BL147" s="219">
        <v>0</v>
      </c>
      <c r="BM147" s="219">
        <v>0</v>
      </c>
      <c r="BN147" s="219">
        <v>0</v>
      </c>
      <c r="BO147" s="219">
        <v>0</v>
      </c>
      <c r="BP147" s="219">
        <v>0</v>
      </c>
      <c r="BQ147" s="63" t="str">
        <f t="shared" si="367"/>
        <v>Not Started</v>
      </c>
      <c r="BR147" s="63" t="str">
        <f t="shared" si="368"/>
        <v>Not Started</v>
      </c>
      <c r="BS147" s="63" t="str">
        <f t="shared" si="369"/>
        <v>Not Started</v>
      </c>
      <c r="BT147" s="63" t="str">
        <f t="shared" si="370"/>
        <v>Not Started</v>
      </c>
      <c r="BU147" s="63" t="str">
        <f t="shared" si="371"/>
        <v>Not Started</v>
      </c>
      <c r="BV147" s="63" t="str">
        <f t="shared" si="372"/>
        <v>Not Started</v>
      </c>
      <c r="BW147" s="63" t="str">
        <f t="shared" si="373"/>
        <v>Not Started</v>
      </c>
      <c r="BX147" s="63" t="str">
        <f t="shared" si="374"/>
        <v>Not Started</v>
      </c>
      <c r="BY147" s="63" t="str">
        <f t="shared" si="375"/>
        <v>Not Started</v>
      </c>
      <c r="BZ147" s="63" t="str">
        <f t="shared" si="376"/>
        <v>Not Started</v>
      </c>
      <c r="CA147" s="63" t="str">
        <f t="shared" si="377"/>
        <v>Not Started</v>
      </c>
      <c r="CB147" s="63" t="str">
        <f t="shared" si="378"/>
        <v>Not Started</v>
      </c>
      <c r="CC147" s="44">
        <v>0</v>
      </c>
      <c r="CD147" s="44">
        <v>0</v>
      </c>
      <c r="CE147" s="44">
        <v>0</v>
      </c>
      <c r="CF147" s="44">
        <v>0</v>
      </c>
      <c r="CG147" s="44">
        <v>0</v>
      </c>
      <c r="CH147" s="44"/>
      <c r="CI147" s="44">
        <v>0</v>
      </c>
      <c r="CJ147" s="44"/>
      <c r="CK147" s="44"/>
      <c r="CL147" s="44">
        <v>0</v>
      </c>
      <c r="CM147" s="44">
        <f t="shared" si="419"/>
        <v>0</v>
      </c>
      <c r="CN147" s="44">
        <f t="shared" si="419"/>
        <v>0</v>
      </c>
      <c r="CO147" s="45">
        <f t="shared" si="379"/>
        <v>1</v>
      </c>
      <c r="CP147" s="45">
        <f t="shared" si="380"/>
        <v>1</v>
      </c>
      <c r="CQ147" s="45">
        <f t="shared" si="381"/>
        <v>1</v>
      </c>
      <c r="CR147" s="45">
        <f t="shared" si="382"/>
        <v>1</v>
      </c>
      <c r="CS147" s="45">
        <f t="shared" si="383"/>
        <v>1</v>
      </c>
      <c r="CT147" s="45">
        <f t="shared" si="384"/>
        <v>1</v>
      </c>
      <c r="CU147" s="45">
        <f t="shared" si="385"/>
        <v>1</v>
      </c>
      <c r="CV147" s="45">
        <f t="shared" si="386"/>
        <v>1</v>
      </c>
      <c r="CW147" s="45">
        <f t="shared" si="387"/>
        <v>1</v>
      </c>
      <c r="CX147" s="45">
        <f t="shared" si="388"/>
        <v>1</v>
      </c>
      <c r="CY147" s="45">
        <f t="shared" si="418"/>
        <v>1</v>
      </c>
      <c r="CZ147" s="45"/>
      <c r="DA147" s="45" t="str">
        <f t="shared" si="389"/>
        <v>NS</v>
      </c>
      <c r="DB147" s="45" t="str">
        <f t="shared" si="390"/>
        <v>NS</v>
      </c>
      <c r="DC147" s="45" t="str">
        <f t="shared" si="391"/>
        <v>NS</v>
      </c>
      <c r="DD147" s="45" t="str">
        <f t="shared" si="392"/>
        <v>NS</v>
      </c>
      <c r="DE147" s="45" t="str">
        <f t="shared" si="393"/>
        <v>NS</v>
      </c>
      <c r="DF147" s="45" t="str">
        <f t="shared" si="394"/>
        <v>NS</v>
      </c>
      <c r="DG147" s="45" t="str">
        <f t="shared" si="395"/>
        <v>NS</v>
      </c>
      <c r="DH147" s="45" t="str">
        <f t="shared" si="396"/>
        <v>NS</v>
      </c>
      <c r="DI147" s="45" t="str">
        <f t="shared" si="397"/>
        <v>NS</v>
      </c>
      <c r="DJ147" s="45" t="str">
        <f t="shared" si="398"/>
        <v>NS</v>
      </c>
      <c r="DK147" s="45" t="str">
        <f t="shared" si="416"/>
        <v>NS</v>
      </c>
      <c r="DL147" s="45" t="str">
        <f t="shared" si="399"/>
        <v>NS</v>
      </c>
      <c r="DM147" s="45" t="e">
        <f t="shared" si="400"/>
        <v>#DIV/0!</v>
      </c>
      <c r="DN147" s="45" t="e">
        <f t="shared" si="401"/>
        <v>#DIV/0!</v>
      </c>
      <c r="DO147" s="45" t="e">
        <f t="shared" si="402"/>
        <v>#DIV/0!</v>
      </c>
      <c r="DP147" s="45" t="e">
        <f t="shared" si="403"/>
        <v>#DIV/0!</v>
      </c>
      <c r="DQ147" s="45" t="e">
        <f t="shared" si="404"/>
        <v>#DIV/0!</v>
      </c>
      <c r="DR147" s="45" t="e">
        <f t="shared" si="405"/>
        <v>#DIV/0!</v>
      </c>
      <c r="DS147" s="45" t="e">
        <f t="shared" si="406"/>
        <v>#DIV/0!</v>
      </c>
      <c r="DT147" s="45" t="e">
        <f t="shared" si="407"/>
        <v>#DIV/0!</v>
      </c>
      <c r="DU147" s="45" t="e">
        <f t="shared" si="408"/>
        <v>#DIV/0!</v>
      </c>
      <c r="DV147" s="45" t="e">
        <f t="shared" si="409"/>
        <v>#DIV/0!</v>
      </c>
      <c r="DW147" s="45" t="e">
        <f t="shared" si="410"/>
        <v>#DIV/0!</v>
      </c>
      <c r="DX147" s="45" t="e">
        <f t="shared" si="411"/>
        <v>#DIV/0!</v>
      </c>
      <c r="DY147" s="41"/>
      <c r="DZ147" s="41"/>
      <c r="EA147" s="41"/>
      <c r="EB147" s="41"/>
      <c r="EC147" s="41"/>
      <c r="ED147" s="41"/>
      <c r="EE147" s="41"/>
      <c r="EF147" s="41"/>
      <c r="EG147" s="54"/>
      <c r="EH147" s="47" t="s">
        <v>1003</v>
      </c>
      <c r="EI147" s="231"/>
      <c r="EJ147" s="59">
        <f t="shared" si="412"/>
        <v>46203</v>
      </c>
      <c r="EK147" s="229"/>
      <c r="EL147" s="59"/>
      <c r="EM147" s="59"/>
      <c r="EN147" s="231"/>
      <c r="EO147" s="222"/>
      <c r="EP147" s="220"/>
      <c r="EQ147" s="222"/>
      <c r="ER147" s="223"/>
      <c r="ES147" s="220"/>
      <c r="ET147" s="222"/>
      <c r="EU147" s="222"/>
      <c r="EV147" s="220"/>
      <c r="EW147" s="220"/>
      <c r="EX147" s="220"/>
      <c r="EY147" s="220"/>
      <c r="EZ147" s="220"/>
      <c r="FA147" s="222"/>
      <c r="FB147" s="220"/>
      <c r="FC147" s="222"/>
      <c r="FD147" s="220"/>
      <c r="FE147" s="220"/>
      <c r="FF147" s="222"/>
      <c r="FG147" s="222"/>
      <c r="FH147" s="220"/>
      <c r="FI147" s="220"/>
      <c r="FJ147" s="220"/>
      <c r="FK147" s="220"/>
      <c r="FL147" s="220"/>
      <c r="FM147" s="172" t="s">
        <v>993</v>
      </c>
      <c r="FN147" s="172" t="s">
        <v>220</v>
      </c>
      <c r="FO147" s="172" t="s">
        <v>221</v>
      </c>
      <c r="FP147" s="172" t="s">
        <v>222</v>
      </c>
      <c r="FQ147" s="172" t="s">
        <v>183</v>
      </c>
      <c r="FR147" s="255" t="s">
        <v>184</v>
      </c>
      <c r="FS147" s="213"/>
      <c r="FT147" s="267" t="s">
        <v>508</v>
      </c>
      <c r="FU147" s="294">
        <v>6</v>
      </c>
    </row>
    <row r="148" spans="1:177" s="13" customFormat="1" ht="409.5">
      <c r="A148" s="63" t="s">
        <v>1004</v>
      </c>
      <c r="B148" s="48" t="s">
        <v>468</v>
      </c>
      <c r="C148" s="63" t="s">
        <v>206</v>
      </c>
      <c r="D148" s="225" t="s">
        <v>207</v>
      </c>
      <c r="E148" s="226" t="s">
        <v>1005</v>
      </c>
      <c r="F148" s="48">
        <v>1</v>
      </c>
      <c r="G148" s="222" t="s">
        <v>1006</v>
      </c>
      <c r="H148" s="222" t="s">
        <v>1007</v>
      </c>
      <c r="I148" s="222" t="s">
        <v>1008</v>
      </c>
      <c r="J148" s="48">
        <v>2024</v>
      </c>
      <c r="K148" s="48">
        <v>2025</v>
      </c>
      <c r="L148" s="48" t="s">
        <v>172</v>
      </c>
      <c r="M148" s="48" t="s">
        <v>173</v>
      </c>
      <c r="N148" s="48" t="s">
        <v>174</v>
      </c>
      <c r="O148" s="48" t="s">
        <v>1009</v>
      </c>
      <c r="P148" s="63" t="s">
        <v>458</v>
      </c>
      <c r="Q148" s="42" t="s">
        <v>1010</v>
      </c>
      <c r="R148" s="63" t="s">
        <v>459</v>
      </c>
      <c r="S148" s="63" t="str">
        <f t="shared" si="414"/>
        <v>Selesai Implementasi</v>
      </c>
      <c r="T148" s="63" t="str">
        <f t="shared" si="413"/>
        <v>DONE</v>
      </c>
      <c r="U148" s="63" t="str">
        <f t="shared" si="354"/>
        <v>Aldo Fernanda</v>
      </c>
      <c r="V148" s="67">
        <f t="shared" si="415"/>
        <v>0.99999999999999989</v>
      </c>
      <c r="W148" s="66" t="s">
        <v>380</v>
      </c>
      <c r="X148" s="59">
        <f t="shared" si="355"/>
        <v>46022</v>
      </c>
      <c r="Y148" s="278" t="s">
        <v>381</v>
      </c>
      <c r="Z148" s="48"/>
      <c r="AA148" s="279"/>
      <c r="AB148" s="48"/>
      <c r="AC148" s="59"/>
      <c r="AD148" s="59"/>
      <c r="AE148" s="59">
        <v>45870</v>
      </c>
      <c r="AF148" s="59">
        <v>45900</v>
      </c>
      <c r="AG148" s="48"/>
      <c r="AH148" s="48"/>
      <c r="AI148" s="218">
        <v>45901</v>
      </c>
      <c r="AJ148" s="218">
        <v>45930</v>
      </c>
      <c r="AK148" s="59">
        <v>45931</v>
      </c>
      <c r="AL148" s="59">
        <v>45976</v>
      </c>
      <c r="AM148" s="59">
        <v>45977</v>
      </c>
      <c r="AN148" s="59">
        <v>45991</v>
      </c>
      <c r="AO148" s="59">
        <v>45992</v>
      </c>
      <c r="AP148" s="59">
        <v>46006</v>
      </c>
      <c r="AQ148" s="59">
        <v>46007</v>
      </c>
      <c r="AR148" s="59">
        <v>46022</v>
      </c>
      <c r="AS148" s="63" t="str">
        <f t="shared" si="356"/>
        <v>Selesai Implementasi</v>
      </c>
      <c r="AT148" s="63" t="str">
        <f t="shared" si="357"/>
        <v>Selesai Implementasi</v>
      </c>
      <c r="AU148" s="63" t="str">
        <f t="shared" si="358"/>
        <v>Selesai Implementasi</v>
      </c>
      <c r="AV148" s="63" t="str">
        <f t="shared" si="359"/>
        <v>Selesai Implementasi</v>
      </c>
      <c r="AW148" s="63" t="str">
        <f t="shared" si="360"/>
        <v>Selesai Implementasi</v>
      </c>
      <c r="AX148" s="63" t="str">
        <f t="shared" si="361"/>
        <v>Selesai Implementasi</v>
      </c>
      <c r="AY148" s="63" t="str">
        <f t="shared" si="362"/>
        <v>Selesai Implementasi</v>
      </c>
      <c r="AZ148" s="63" t="str">
        <f t="shared" si="363"/>
        <v>Selesai Implementasi</v>
      </c>
      <c r="BA148" s="63" t="str">
        <f t="shared" si="364"/>
        <v>Selesai Implementasi</v>
      </c>
      <c r="BB148" s="63" t="str">
        <f t="shared" si="365"/>
        <v>Selesai Implementasi</v>
      </c>
      <c r="BC148" s="63" t="str">
        <f t="shared" si="417"/>
        <v>Selesai Implementasi</v>
      </c>
      <c r="BD148" s="63" t="str">
        <f t="shared" si="366"/>
        <v>Selesai Implementasi</v>
      </c>
      <c r="BE148" s="351">
        <v>1</v>
      </c>
      <c r="BF148" s="351">
        <v>1</v>
      </c>
      <c r="BG148" s="351">
        <v>1</v>
      </c>
      <c r="BH148" s="351">
        <v>1</v>
      </c>
      <c r="BI148" s="351">
        <v>1</v>
      </c>
      <c r="BJ148" s="351">
        <v>1</v>
      </c>
      <c r="BK148" s="351">
        <v>1</v>
      </c>
      <c r="BL148" s="351">
        <v>1</v>
      </c>
      <c r="BM148" s="351">
        <v>1</v>
      </c>
      <c r="BN148" s="351">
        <v>1</v>
      </c>
      <c r="BO148" s="351">
        <v>1</v>
      </c>
      <c r="BP148" s="351">
        <v>1</v>
      </c>
      <c r="BQ148" s="63" t="str">
        <f>IF(CC148=0%,"Not Started",IF(CC148&lt;5%,"Proses RBT-RBB",IF(CC148=5%,"Selesai RBT-RBB",IF(CC148&lt;10%,"Proses RBT-RBL",IF(CC148=10%,"Selesai RBT-RBL",IF(CC148&lt;15%,"Proses RBT-RBTD",IF(CC148=15%,"Selesai RBT-RBTD",IF(CC148&lt;20%,"Proses RPP",IF(CC148=20%,"Selesai RPP",IF(CC148&lt;25%,"Proses KAK",IF(CC148=25%,"Selesai KAK",IF(CC148&lt;30%,"Proses Pengadaan",IF(CC148=30%,"Selesai Pengadaan",IF(CC148&lt;45%,"Proses Desain",IF(CC148=45%,"Selesai Desain",IF(CC148&lt;80%,"Proses Pengembangan",IF(CC148=80%,"Selesai Pengembangan",IF(CC148&lt;87.5%,"Proses SIT",IF(CC148=87.5%,"Selesai SIT",IF(CC148&lt;95%,"Proses UAT",IF(CC148=95%,"Selesai UAT",IF(CC148&lt;100%,"Proses Implementasi","Selesai Implementasi"))))))))))))))))))))))</f>
        <v>Selesai Implementasi</v>
      </c>
      <c r="BR148" s="63" t="str">
        <f t="shared" si="368"/>
        <v>Not Started</v>
      </c>
      <c r="BS148" s="63" t="str">
        <f t="shared" si="369"/>
        <v>Not Started</v>
      </c>
      <c r="BT148" s="63" t="str">
        <f t="shared" si="370"/>
        <v>Not Started</v>
      </c>
      <c r="BU148" s="63" t="str">
        <f t="shared" si="371"/>
        <v>Not Started</v>
      </c>
      <c r="BV148" s="63" t="str">
        <f t="shared" si="372"/>
        <v>Not Started</v>
      </c>
      <c r="BW148" s="63" t="str">
        <f t="shared" si="373"/>
        <v>Not Started</v>
      </c>
      <c r="BX148" s="63" t="str">
        <f t="shared" si="374"/>
        <v>Not Started</v>
      </c>
      <c r="BY148" s="63" t="str">
        <f t="shared" si="375"/>
        <v>Not Started</v>
      </c>
      <c r="BZ148" s="63" t="str">
        <f t="shared" si="376"/>
        <v>Not Started</v>
      </c>
      <c r="CA148" s="63" t="str">
        <f t="shared" si="377"/>
        <v>Not Started</v>
      </c>
      <c r="CB148" s="63" t="str">
        <f t="shared" si="378"/>
        <v>Not Started</v>
      </c>
      <c r="CC148" s="44">
        <f>(($DY148/100%)*15%)+(($DZ148/100%)*5%)+(($EA148/100%)*5%)+(($EB148/100%)*5%)+(($EC148/100%)*15%)+(($ED148/100%)*35%)+(($EE148/100%)*7.5%)+(($EF148/100%)*7.5%)+(($EG148/100%)*5%)</f>
        <v>0.99999999999999989</v>
      </c>
      <c r="CD148" s="44"/>
      <c r="CE148" s="44"/>
      <c r="CF148" s="44"/>
      <c r="CG148" s="44"/>
      <c r="CH148" s="44"/>
      <c r="CI148" s="44"/>
      <c r="CJ148" s="44"/>
      <c r="CK148" s="44"/>
      <c r="CL148" s="44"/>
      <c r="CM148" s="44"/>
      <c r="CN148" s="44"/>
      <c r="CO148" s="45">
        <f t="shared" si="379"/>
        <v>0.99999999999999989</v>
      </c>
      <c r="CP148" s="45">
        <f t="shared" si="380"/>
        <v>0</v>
      </c>
      <c r="CQ148" s="45">
        <f t="shared" si="381"/>
        <v>0</v>
      </c>
      <c r="CR148" s="45">
        <f t="shared" si="382"/>
        <v>0</v>
      </c>
      <c r="CS148" s="45">
        <f t="shared" si="383"/>
        <v>0</v>
      </c>
      <c r="CT148" s="45">
        <f t="shared" si="384"/>
        <v>0</v>
      </c>
      <c r="CU148" s="45">
        <f t="shared" si="385"/>
        <v>0</v>
      </c>
      <c r="CV148" s="45">
        <f t="shared" si="386"/>
        <v>0</v>
      </c>
      <c r="CW148" s="45">
        <f t="shared" si="387"/>
        <v>0</v>
      </c>
      <c r="CX148" s="45">
        <f t="shared" si="388"/>
        <v>0</v>
      </c>
      <c r="CY148" s="45">
        <f t="shared" si="418"/>
        <v>0</v>
      </c>
      <c r="CZ148" s="45"/>
      <c r="DA148" s="45" t="str">
        <f t="shared" si="389"/>
        <v>DONE</v>
      </c>
      <c r="DB148" s="45" t="str">
        <f t="shared" si="390"/>
        <v>BS</v>
      </c>
      <c r="DC148" s="45" t="str">
        <f t="shared" si="391"/>
        <v>BS</v>
      </c>
      <c r="DD148" s="45" t="str">
        <f t="shared" si="392"/>
        <v>BS</v>
      </c>
      <c r="DE148" s="45" t="str">
        <f t="shared" si="393"/>
        <v>BS</v>
      </c>
      <c r="DF148" s="45" t="str">
        <f t="shared" si="394"/>
        <v>BS</v>
      </c>
      <c r="DG148" s="45" t="str">
        <f t="shared" si="395"/>
        <v>BS</v>
      </c>
      <c r="DH148" s="45" t="str">
        <f t="shared" si="396"/>
        <v>BS</v>
      </c>
      <c r="DI148" s="45" t="str">
        <f t="shared" si="397"/>
        <v>BS</v>
      </c>
      <c r="DJ148" s="45" t="str">
        <f t="shared" si="398"/>
        <v>BS</v>
      </c>
      <c r="DK148" s="45" t="str">
        <f t="shared" si="416"/>
        <v>BS</v>
      </c>
      <c r="DL148" s="45" t="str">
        <f t="shared" si="399"/>
        <v>BS</v>
      </c>
      <c r="DM148" s="45">
        <f t="shared" si="400"/>
        <v>0.99999999999999989</v>
      </c>
      <c r="DN148" s="45">
        <f t="shared" si="401"/>
        <v>0</v>
      </c>
      <c r="DO148" s="45">
        <f t="shared" si="402"/>
        <v>0</v>
      </c>
      <c r="DP148" s="45">
        <f t="shared" si="403"/>
        <v>0</v>
      </c>
      <c r="DQ148" s="45">
        <f t="shared" si="404"/>
        <v>0</v>
      </c>
      <c r="DR148" s="45">
        <f t="shared" si="405"/>
        <v>0</v>
      </c>
      <c r="DS148" s="45">
        <f t="shared" si="406"/>
        <v>0</v>
      </c>
      <c r="DT148" s="45">
        <f t="shared" si="407"/>
        <v>0</v>
      </c>
      <c r="DU148" s="45">
        <f t="shared" si="408"/>
        <v>0</v>
      </c>
      <c r="DV148" s="45">
        <f t="shared" si="409"/>
        <v>0</v>
      </c>
      <c r="DW148" s="45">
        <f t="shared" si="410"/>
        <v>0</v>
      </c>
      <c r="DX148" s="45">
        <f t="shared" si="411"/>
        <v>0</v>
      </c>
      <c r="DY148" s="41">
        <v>1</v>
      </c>
      <c r="DZ148" s="41">
        <v>1</v>
      </c>
      <c r="EA148" s="41">
        <v>1</v>
      </c>
      <c r="EB148" s="41">
        <v>1</v>
      </c>
      <c r="EC148" s="41">
        <v>1</v>
      </c>
      <c r="ED148" s="41">
        <v>1</v>
      </c>
      <c r="EE148" s="41">
        <v>1</v>
      </c>
      <c r="EF148" s="41">
        <v>1</v>
      </c>
      <c r="EG148" s="615">
        <v>1</v>
      </c>
      <c r="EH148" s="405" t="s">
        <v>1011</v>
      </c>
      <c r="EI148" s="59">
        <v>45996</v>
      </c>
      <c r="EJ148" s="59">
        <f t="shared" si="412"/>
        <v>46022</v>
      </c>
      <c r="EK148" s="275"/>
      <c r="EL148" s="59"/>
      <c r="EM148" s="59"/>
      <c r="EN148" s="231" t="s">
        <v>1012</v>
      </c>
      <c r="EO148" s="222" t="s">
        <v>1013</v>
      </c>
      <c r="EP148" s="220"/>
      <c r="EQ148" s="222"/>
      <c r="ER148" s="223"/>
      <c r="ES148" s="220"/>
      <c r="ET148" s="222"/>
      <c r="EU148" s="222"/>
      <c r="EV148" s="220"/>
      <c r="EW148" s="220"/>
      <c r="EX148" s="220"/>
      <c r="EY148" s="220"/>
      <c r="EZ148" s="220"/>
      <c r="FA148" s="222" t="s">
        <v>1014</v>
      </c>
      <c r="FB148" s="220"/>
      <c r="FC148" s="222"/>
      <c r="FD148" s="220"/>
      <c r="FE148" s="220"/>
      <c r="FF148" s="222"/>
      <c r="FG148" s="222"/>
      <c r="FH148" s="220"/>
      <c r="FI148" s="220"/>
      <c r="FJ148" s="220"/>
      <c r="FK148" s="220"/>
      <c r="FL148" s="220"/>
      <c r="FM148" s="172" t="s">
        <v>201</v>
      </c>
      <c r="FN148" s="172" t="s">
        <v>180</v>
      </c>
      <c r="FO148" s="172" t="s">
        <v>181</v>
      </c>
      <c r="FP148" s="172" t="s">
        <v>1015</v>
      </c>
      <c r="FQ148" s="172" t="s">
        <v>290</v>
      </c>
      <c r="FR148" s="213" t="s">
        <v>549</v>
      </c>
      <c r="FS148" s="213" t="s">
        <v>400</v>
      </c>
      <c r="FT148" s="213" t="s">
        <v>1016</v>
      </c>
      <c r="FU148" s="48">
        <v>4</v>
      </c>
    </row>
    <row r="149" spans="1:177" s="401" customFormat="1" ht="96">
      <c r="A149" s="63"/>
      <c r="B149" s="63" t="s">
        <v>468</v>
      </c>
      <c r="C149" s="63" t="s">
        <v>206</v>
      </c>
      <c r="D149" s="225" t="s">
        <v>207</v>
      </c>
      <c r="E149" s="214" t="s">
        <v>1005</v>
      </c>
      <c r="F149" s="63">
        <f>F148+1</f>
        <v>2</v>
      </c>
      <c r="G149" s="222" t="s">
        <v>1006</v>
      </c>
      <c r="H149" s="222" t="s">
        <v>1007</v>
      </c>
      <c r="I149" s="222" t="s">
        <v>1017</v>
      </c>
      <c r="J149" s="63">
        <v>2026</v>
      </c>
      <c r="K149" s="63">
        <v>2026</v>
      </c>
      <c r="L149" s="63" t="s">
        <v>172</v>
      </c>
      <c r="M149" s="63" t="s">
        <v>173</v>
      </c>
      <c r="N149" s="63" t="s">
        <v>174</v>
      </c>
      <c r="O149" s="63" t="s">
        <v>1009</v>
      </c>
      <c r="P149" s="63" t="s">
        <v>458</v>
      </c>
      <c r="Q149" s="42" t="s">
        <v>1010</v>
      </c>
      <c r="R149" s="63" t="s">
        <v>459</v>
      </c>
      <c r="S149" s="63" t="str">
        <f t="shared" si="414"/>
        <v>Not Started</v>
      </c>
      <c r="T149" s="63" t="str">
        <f t="shared" si="413"/>
        <v>Not Started</v>
      </c>
      <c r="U149" s="63" t="str">
        <f t="shared" si="354"/>
        <v>Aldo Fernanda</v>
      </c>
      <c r="V149" s="67">
        <f t="shared" si="415"/>
        <v>0</v>
      </c>
      <c r="W149" s="63" t="s">
        <v>380</v>
      </c>
      <c r="X149" s="59">
        <f t="shared" si="355"/>
        <v>46203</v>
      </c>
      <c r="Y149" s="400"/>
      <c r="Z149" s="48" t="s">
        <v>179</v>
      </c>
      <c r="AA149" s="279"/>
      <c r="AB149" s="279"/>
      <c r="AC149" s="42">
        <v>46023</v>
      </c>
      <c r="AD149" s="42">
        <v>46053</v>
      </c>
      <c r="AE149" s="42">
        <v>46023</v>
      </c>
      <c r="AF149" s="42">
        <v>46053</v>
      </c>
      <c r="AG149" s="279"/>
      <c r="AH149" s="48"/>
      <c r="AI149" s="42">
        <v>46054</v>
      </c>
      <c r="AJ149" s="42">
        <v>46081</v>
      </c>
      <c r="AK149" s="42">
        <v>46082</v>
      </c>
      <c r="AL149" s="42">
        <v>46127</v>
      </c>
      <c r="AM149" s="42">
        <v>46128</v>
      </c>
      <c r="AN149" s="42">
        <v>46142</v>
      </c>
      <c r="AO149" s="42">
        <v>46143</v>
      </c>
      <c r="AP149" s="42">
        <v>46188</v>
      </c>
      <c r="AQ149" s="42">
        <v>46189</v>
      </c>
      <c r="AR149" s="42">
        <v>46203</v>
      </c>
      <c r="AS149" s="63" t="str">
        <f t="shared" si="356"/>
        <v>Selesai Desain</v>
      </c>
      <c r="AT149" s="63" t="str">
        <f t="shared" si="357"/>
        <v>Proses Pengembangan</v>
      </c>
      <c r="AU149" s="63" t="str">
        <f t="shared" si="358"/>
        <v>Proses SIT</v>
      </c>
      <c r="AV149" s="63" t="str">
        <f t="shared" si="359"/>
        <v>Proses UAT</v>
      </c>
      <c r="AW149" s="63" t="str">
        <f t="shared" si="360"/>
        <v>Selesai UAT</v>
      </c>
      <c r="AX149" s="63" t="str">
        <f t="shared" si="361"/>
        <v>Selesai Implementasi</v>
      </c>
      <c r="AY149" s="63" t="str">
        <f t="shared" si="362"/>
        <v>Selesai Implementasi</v>
      </c>
      <c r="AZ149" s="63" t="str">
        <f t="shared" si="363"/>
        <v>Selesai Implementasi</v>
      </c>
      <c r="BA149" s="63" t="str">
        <f t="shared" si="364"/>
        <v>Selesai Implementasi</v>
      </c>
      <c r="BB149" s="63" t="str">
        <f t="shared" si="365"/>
        <v>Selesai Implementasi</v>
      </c>
      <c r="BC149" s="63" t="str">
        <f t="shared" si="417"/>
        <v>Selesai Implementasi</v>
      </c>
      <c r="BD149" s="63" t="str">
        <f t="shared" si="366"/>
        <v>Selesai Implementasi</v>
      </c>
      <c r="BE149" s="351">
        <v>0.45</v>
      </c>
      <c r="BF149" s="351">
        <v>0.67</v>
      </c>
      <c r="BG149" s="351">
        <v>0.87</v>
      </c>
      <c r="BH149" s="351">
        <v>0.9</v>
      </c>
      <c r="BI149" s="351">
        <v>0.95</v>
      </c>
      <c r="BJ149" s="351">
        <v>1</v>
      </c>
      <c r="BK149" s="351">
        <v>1</v>
      </c>
      <c r="BL149" s="351">
        <v>1</v>
      </c>
      <c r="BM149" s="351">
        <v>1</v>
      </c>
      <c r="BN149" s="351">
        <v>1</v>
      </c>
      <c r="BO149" s="351">
        <v>1</v>
      </c>
      <c r="BP149" s="351">
        <v>1</v>
      </c>
      <c r="BQ149" s="63" t="str">
        <f t="shared" si="367"/>
        <v>Not Started</v>
      </c>
      <c r="BR149" s="63" t="str">
        <f t="shared" si="368"/>
        <v>Not Started</v>
      </c>
      <c r="BS149" s="63" t="str">
        <f t="shared" si="369"/>
        <v>Not Started</v>
      </c>
      <c r="BT149" s="63" t="str">
        <f t="shared" si="370"/>
        <v>Not Started</v>
      </c>
      <c r="BU149" s="63" t="str">
        <f t="shared" si="371"/>
        <v>Not Started</v>
      </c>
      <c r="BV149" s="63" t="str">
        <f t="shared" si="372"/>
        <v>Not Started</v>
      </c>
      <c r="BW149" s="63" t="str">
        <f t="shared" si="373"/>
        <v>Not Started</v>
      </c>
      <c r="BX149" s="63" t="str">
        <f t="shared" si="374"/>
        <v>Not Started</v>
      </c>
      <c r="BY149" s="63" t="str">
        <f t="shared" si="375"/>
        <v>Not Started</v>
      </c>
      <c r="BZ149" s="63" t="str">
        <f t="shared" si="376"/>
        <v>Not Started</v>
      </c>
      <c r="CA149" s="63" t="str">
        <f t="shared" si="377"/>
        <v>Not Started</v>
      </c>
      <c r="CB149" s="63" t="str">
        <f t="shared" si="378"/>
        <v>Not Started</v>
      </c>
      <c r="CC149" s="44">
        <f t="shared" ref="CC149:CC157" si="420">(($DY149/100%)*15%)+(($DZ149/100%)*5%)+(($EA149/100%)*5%)+(($EB149/100%)*5%)+(($EC149/100%)*15%)+(($ED149/100%)*35%)+(($EE149/100%)*7.5%)+(($EF149/100%)*7.5%)+(($EG149/100%)*5%)</f>
        <v>0</v>
      </c>
      <c r="CD149" s="63"/>
      <c r="CE149" s="222"/>
      <c r="CF149" s="222"/>
      <c r="CG149" s="222"/>
      <c r="CH149" s="222"/>
      <c r="CI149" s="222"/>
      <c r="CJ149" s="222"/>
      <c r="CK149" s="222"/>
      <c r="CL149" s="44">
        <v>0</v>
      </c>
      <c r="CM149" s="44">
        <f t="shared" si="419"/>
        <v>0</v>
      </c>
      <c r="CN149" s="44">
        <f t="shared" si="419"/>
        <v>0</v>
      </c>
      <c r="CO149" s="45">
        <f t="shared" si="379"/>
        <v>0</v>
      </c>
      <c r="CP149" s="45">
        <f t="shared" si="380"/>
        <v>0</v>
      </c>
      <c r="CQ149" s="45">
        <f t="shared" si="381"/>
        <v>0</v>
      </c>
      <c r="CR149" s="45">
        <f t="shared" si="382"/>
        <v>0</v>
      </c>
      <c r="CS149" s="45">
        <f t="shared" si="383"/>
        <v>0</v>
      </c>
      <c r="CT149" s="45">
        <f t="shared" si="384"/>
        <v>0</v>
      </c>
      <c r="CU149" s="45">
        <f t="shared" si="385"/>
        <v>0</v>
      </c>
      <c r="CV149" s="45">
        <f t="shared" si="386"/>
        <v>0</v>
      </c>
      <c r="CW149" s="45">
        <f t="shared" si="387"/>
        <v>0</v>
      </c>
      <c r="CX149" s="45">
        <f t="shared" si="388"/>
        <v>0</v>
      </c>
      <c r="CY149" s="45">
        <f t="shared" si="418"/>
        <v>0</v>
      </c>
      <c r="CZ149" s="222"/>
      <c r="DA149" s="45" t="str">
        <f t="shared" si="389"/>
        <v>BS</v>
      </c>
      <c r="DB149" s="45" t="str">
        <f t="shared" si="390"/>
        <v>BS</v>
      </c>
      <c r="DC149" s="45" t="str">
        <f t="shared" si="391"/>
        <v>BS</v>
      </c>
      <c r="DD149" s="45" t="str">
        <f t="shared" si="392"/>
        <v>BS</v>
      </c>
      <c r="DE149" s="45" t="str">
        <f t="shared" si="393"/>
        <v>BS</v>
      </c>
      <c r="DF149" s="45" t="str">
        <f t="shared" si="394"/>
        <v>BS</v>
      </c>
      <c r="DG149" s="45" t="str">
        <f t="shared" si="395"/>
        <v>BS</v>
      </c>
      <c r="DH149" s="45" t="str">
        <f t="shared" si="396"/>
        <v>BS</v>
      </c>
      <c r="DI149" s="45" t="str">
        <f t="shared" si="397"/>
        <v>BS</v>
      </c>
      <c r="DJ149" s="45" t="str">
        <f t="shared" si="398"/>
        <v>BS</v>
      </c>
      <c r="DK149" s="45" t="str">
        <f t="shared" si="416"/>
        <v>BS</v>
      </c>
      <c r="DL149" s="45" t="str">
        <f t="shared" si="399"/>
        <v>BS</v>
      </c>
      <c r="DM149" s="45">
        <f t="shared" si="400"/>
        <v>0</v>
      </c>
      <c r="DN149" s="45">
        <f t="shared" si="401"/>
        <v>0</v>
      </c>
      <c r="DO149" s="45">
        <f t="shared" si="402"/>
        <v>0</v>
      </c>
      <c r="DP149" s="45">
        <f t="shared" si="403"/>
        <v>0</v>
      </c>
      <c r="DQ149" s="45">
        <f t="shared" si="404"/>
        <v>0</v>
      </c>
      <c r="DR149" s="45">
        <f t="shared" si="405"/>
        <v>0</v>
      </c>
      <c r="DS149" s="45">
        <f t="shared" si="406"/>
        <v>0</v>
      </c>
      <c r="DT149" s="45">
        <f t="shared" si="407"/>
        <v>0</v>
      </c>
      <c r="DU149" s="45">
        <f t="shared" si="408"/>
        <v>0</v>
      </c>
      <c r="DV149" s="45">
        <f t="shared" si="409"/>
        <v>0</v>
      </c>
      <c r="DW149" s="45">
        <f t="shared" si="410"/>
        <v>0</v>
      </c>
      <c r="DX149" s="45">
        <f t="shared" si="411"/>
        <v>0</v>
      </c>
      <c r="DY149" s="47"/>
      <c r="DZ149" s="47"/>
      <c r="EA149" s="47"/>
      <c r="EB149" s="47"/>
      <c r="EC149" s="47"/>
      <c r="ED149" s="47"/>
      <c r="EE149" s="47"/>
      <c r="EF149" s="404"/>
      <c r="EG149" s="562"/>
      <c r="EH149" s="47" t="s">
        <v>1616</v>
      </c>
      <c r="EI149" s="222"/>
      <c r="EJ149" s="59">
        <f t="shared" si="412"/>
        <v>46203</v>
      </c>
      <c r="EK149" s="63"/>
      <c r="EL149" s="63"/>
      <c r="EM149" s="63"/>
      <c r="EN149" s="222"/>
      <c r="EO149" s="222"/>
      <c r="EP149" s="222"/>
      <c r="EQ149" s="222"/>
      <c r="ER149" s="213"/>
      <c r="ES149" s="222"/>
      <c r="ET149" s="222"/>
      <c r="EU149" s="222"/>
      <c r="EV149" s="222"/>
      <c r="EW149" s="222"/>
      <c r="EX149" s="222"/>
      <c r="EY149" s="222"/>
      <c r="EZ149" s="222"/>
      <c r="FA149" s="222"/>
      <c r="FB149" s="222"/>
      <c r="FC149" s="222"/>
      <c r="FD149" s="222"/>
      <c r="FE149" s="222"/>
      <c r="FF149" s="222"/>
      <c r="FG149" s="222"/>
      <c r="FH149" s="222"/>
      <c r="FI149" s="222"/>
      <c r="FJ149" s="222"/>
      <c r="FK149" s="222"/>
      <c r="FL149" s="222"/>
      <c r="FM149" s="172"/>
      <c r="FN149" s="340" t="s">
        <v>180</v>
      </c>
      <c r="FO149" s="172"/>
      <c r="FP149" s="172"/>
      <c r="FQ149" s="172"/>
      <c r="FR149" s="289" t="s">
        <v>184</v>
      </c>
      <c r="FS149" s="213"/>
      <c r="FT149" s="213"/>
      <c r="FU149" s="63"/>
    </row>
    <row r="150" spans="1:177" s="401" customFormat="1" ht="128">
      <c r="A150" s="63"/>
      <c r="B150" s="463" t="s">
        <v>302</v>
      </c>
      <c r="C150" s="463" t="s">
        <v>206</v>
      </c>
      <c r="D150" s="464" t="s">
        <v>207</v>
      </c>
      <c r="E150" s="37" t="s">
        <v>1018</v>
      </c>
      <c r="F150" s="37">
        <v>1</v>
      </c>
      <c r="G150" s="222" t="s">
        <v>1019</v>
      </c>
      <c r="H150" s="222" t="s">
        <v>1020</v>
      </c>
      <c r="I150" s="222" t="s">
        <v>1021</v>
      </c>
      <c r="J150" s="63">
        <v>2025</v>
      </c>
      <c r="K150" s="63">
        <v>2025</v>
      </c>
      <c r="L150" s="63" t="s">
        <v>288</v>
      </c>
      <c r="M150" s="63" t="s">
        <v>173</v>
      </c>
      <c r="N150" s="63" t="s">
        <v>174</v>
      </c>
      <c r="O150" s="63" t="s">
        <v>1022</v>
      </c>
      <c r="P150" s="63"/>
      <c r="Q150" s="63" t="s">
        <v>297</v>
      </c>
      <c r="R150" s="63" t="s">
        <v>310</v>
      </c>
      <c r="S150" s="63">
        <f t="shared" si="414"/>
        <v>0</v>
      </c>
      <c r="T150" s="63" t="str">
        <f t="shared" si="413"/>
        <v>DONE</v>
      </c>
      <c r="U150" s="63"/>
      <c r="V150" s="67">
        <f t="shared" si="415"/>
        <v>0.99999999999999989</v>
      </c>
      <c r="W150" s="66"/>
      <c r="X150" s="59">
        <f t="shared" si="355"/>
        <v>46022</v>
      </c>
      <c r="Y150" s="400"/>
      <c r="Z150" s="48"/>
      <c r="AA150" s="62">
        <v>45962</v>
      </c>
      <c r="AB150" s="42">
        <v>45979</v>
      </c>
      <c r="AC150" s="42">
        <v>45980</v>
      </c>
      <c r="AD150" s="42">
        <v>45985</v>
      </c>
      <c r="AE150" s="62"/>
      <c r="AF150" s="62"/>
      <c r="AG150" s="62"/>
      <c r="AH150" s="62"/>
      <c r="AI150" s="42">
        <v>45981</v>
      </c>
      <c r="AJ150" s="42">
        <v>45982</v>
      </c>
      <c r="AK150" s="42">
        <v>45985</v>
      </c>
      <c r="AL150" s="42">
        <v>46003</v>
      </c>
      <c r="AM150" s="42">
        <v>46006</v>
      </c>
      <c r="AN150" s="42">
        <v>46009</v>
      </c>
      <c r="AO150" s="42">
        <v>46010</v>
      </c>
      <c r="AP150" s="42">
        <v>46015</v>
      </c>
      <c r="AQ150" s="42">
        <v>46016</v>
      </c>
      <c r="AR150" s="42">
        <v>46022</v>
      </c>
      <c r="AS150" s="63" t="str">
        <f>IF(BE150=0%,"Not Started",IF(BE150&lt;5%,"Proses RBT-RBB",IF(BE150=5%,"Selesai RBT-RBB",IF(BE150&lt;10%,"Proses RBT-RBL",IF(BE150=10%,"Selesai RBT-RBL",IF(BE150&lt;15%,"Proses RBT-RBTD",IF(BE150=15%,"Selesai RBT-RBTD",IF(BE150&lt;20%,"Proses RPP",IF(BE150=20%,"Selesai RPP",IF(BE150&lt;25%,"Proses KAK",IF(BE150=25%,"Selesai KAK",IF(BE150&lt;30%,"Proses Pengadaan",IF(BE150=30%,"Selesai Pengadaan",IF(BE150&lt;45%,"Proses Desain",IF(BE150=45%,"Selesai Desain",IF(BE150&lt;80%,"Proses Pengembangan",IF(BE150=80%,"Selesai Pengembangan",IF(BE150&lt;87.5%,"Proses SIT",IF(BE150=87.5%,"Selesai SIT",IF(BE150&lt;95%,"Proses UAT",IF(BE150=95%,"Selesai UAT",IF(BE150&lt;100%,"Proses Implementasi","Selesai Implementasi"))))))))))))))))))))))</f>
        <v>Selesai Implementasi</v>
      </c>
      <c r="AT150" s="63"/>
      <c r="AU150" s="63"/>
      <c r="AV150" s="63"/>
      <c r="AW150" s="63"/>
      <c r="AX150" s="63"/>
      <c r="AY150" s="63"/>
      <c r="AZ150" s="63"/>
      <c r="BA150" s="63"/>
      <c r="BB150" s="63"/>
      <c r="BC150" s="63" t="str">
        <f t="shared" si="417"/>
        <v>Selesai Implementasi</v>
      </c>
      <c r="BD150" s="63"/>
      <c r="BE150" s="351">
        <v>1</v>
      </c>
      <c r="BF150" s="351">
        <v>1</v>
      </c>
      <c r="BG150" s="351">
        <v>1</v>
      </c>
      <c r="BH150" s="351">
        <v>1</v>
      </c>
      <c r="BI150" s="351">
        <v>1</v>
      </c>
      <c r="BJ150" s="351">
        <v>1</v>
      </c>
      <c r="BK150" s="351">
        <v>1</v>
      </c>
      <c r="BL150" s="351">
        <v>1</v>
      </c>
      <c r="BM150" s="351">
        <v>1</v>
      </c>
      <c r="BN150" s="351">
        <v>1</v>
      </c>
      <c r="BO150" s="351">
        <v>1</v>
      </c>
      <c r="BP150" s="351">
        <v>1</v>
      </c>
      <c r="BQ150" s="63"/>
      <c r="BR150" s="63"/>
      <c r="BS150" s="63"/>
      <c r="BT150" s="63"/>
      <c r="BU150" s="63"/>
      <c r="BV150" s="63"/>
      <c r="BW150" s="63"/>
      <c r="BX150" s="63"/>
      <c r="BY150" s="63"/>
      <c r="BZ150" s="63"/>
      <c r="CA150" s="63"/>
      <c r="CB150" s="63"/>
      <c r="CC150" s="44">
        <f t="shared" si="420"/>
        <v>0.99999999999999989</v>
      </c>
      <c r="CD150" s="63"/>
      <c r="CE150" s="222"/>
      <c r="CF150" s="222"/>
      <c r="CG150" s="222"/>
      <c r="CH150" s="222"/>
      <c r="CI150" s="222"/>
      <c r="CJ150" s="222"/>
      <c r="CK150" s="222"/>
      <c r="CL150" s="44"/>
      <c r="CM150" s="44"/>
      <c r="CN150" s="44"/>
      <c r="CO150" s="45">
        <f>IF(BE150=0%, 100%, (CC150/BE150))</f>
        <v>0.99999999999999989</v>
      </c>
      <c r="CP150" s="45"/>
      <c r="CQ150" s="45"/>
      <c r="CR150" s="45"/>
      <c r="CS150" s="45"/>
      <c r="CT150" s="45"/>
      <c r="CU150" s="45"/>
      <c r="CV150" s="45"/>
      <c r="CW150" s="45"/>
      <c r="CX150" s="45"/>
      <c r="CY150" s="45">
        <f t="shared" si="418"/>
        <v>0</v>
      </c>
      <c r="CZ150" s="222"/>
      <c r="DA150" s="45" t="str">
        <f>IF(BE150=0%,"NS",IF(CC150=100%,"DONE",IF(CO150&gt;100%,"AS",IF(CO150&lt;75%,"BS",IF(CO150&lt;89.9%,"AR","OS")))))</f>
        <v>DONE</v>
      </c>
      <c r="DB150" s="45"/>
      <c r="DC150" s="45"/>
      <c r="DD150" s="45"/>
      <c r="DE150" s="45"/>
      <c r="DF150" s="45"/>
      <c r="DG150" s="45"/>
      <c r="DH150" s="45"/>
      <c r="DI150" s="45"/>
      <c r="DJ150" s="45"/>
      <c r="DK150" s="45" t="str">
        <f t="shared" si="416"/>
        <v>BS</v>
      </c>
      <c r="DL150" s="45"/>
      <c r="DM150" s="45"/>
      <c r="DN150" s="45"/>
      <c r="DO150" s="45"/>
      <c r="DP150" s="45"/>
      <c r="DQ150" s="45"/>
      <c r="DR150" s="45"/>
      <c r="DS150" s="45"/>
      <c r="DT150" s="45"/>
      <c r="DU150" s="45"/>
      <c r="DV150" s="45"/>
      <c r="DW150" s="45"/>
      <c r="DX150" s="45"/>
      <c r="DY150" s="606">
        <v>1</v>
      </c>
      <c r="DZ150" s="606">
        <v>1</v>
      </c>
      <c r="EA150" s="606">
        <v>1</v>
      </c>
      <c r="EB150" s="606">
        <v>1</v>
      </c>
      <c r="EC150" s="606">
        <v>1</v>
      </c>
      <c r="ED150" s="606">
        <v>1</v>
      </c>
      <c r="EE150" s="606">
        <v>1</v>
      </c>
      <c r="EF150" s="573">
        <v>1</v>
      </c>
      <c r="EG150" s="574">
        <v>1</v>
      </c>
      <c r="EH150" s="567" t="s">
        <v>1023</v>
      </c>
      <c r="EI150" s="222"/>
      <c r="EJ150" s="59">
        <f t="shared" si="412"/>
        <v>46022</v>
      </c>
      <c r="EK150" s="63"/>
      <c r="EL150" s="63"/>
      <c r="EM150" s="63"/>
      <c r="EN150" s="222"/>
      <c r="EO150" s="222"/>
      <c r="EP150" s="222"/>
      <c r="EQ150" s="222"/>
      <c r="ER150" s="213"/>
      <c r="ES150" s="222"/>
      <c r="ET150" s="222"/>
      <c r="EU150" s="222"/>
      <c r="EV150" s="222"/>
      <c r="EW150" s="222"/>
      <c r="EX150" s="222"/>
      <c r="EY150" s="222"/>
      <c r="EZ150" s="222"/>
      <c r="FA150" s="222"/>
      <c r="FB150" s="222"/>
      <c r="FC150" s="222"/>
      <c r="FD150" s="222"/>
      <c r="FE150" s="222"/>
      <c r="FF150" s="222"/>
      <c r="FG150" s="222"/>
      <c r="FH150" s="222"/>
      <c r="FI150" s="222"/>
      <c r="FJ150" s="222"/>
      <c r="FK150" s="222"/>
      <c r="FL150" s="222"/>
      <c r="FM150" s="247"/>
      <c r="FN150" s="248" t="s">
        <v>299</v>
      </c>
      <c r="FO150" s="247"/>
      <c r="FP150" s="247"/>
      <c r="FQ150" s="247"/>
      <c r="FR150" s="289" t="s">
        <v>184</v>
      </c>
      <c r="FS150" s="213"/>
      <c r="FT150" s="213"/>
      <c r="FU150" s="63"/>
    </row>
    <row r="151" spans="1:177" s="401" customFormat="1" ht="128">
      <c r="A151" s="63"/>
      <c r="B151" s="463" t="s">
        <v>302</v>
      </c>
      <c r="C151" s="463" t="s">
        <v>206</v>
      </c>
      <c r="D151" s="464" t="s">
        <v>207</v>
      </c>
      <c r="E151" s="37" t="s">
        <v>1018</v>
      </c>
      <c r="F151" s="463">
        <v>1</v>
      </c>
      <c r="G151" s="222" t="s">
        <v>1019</v>
      </c>
      <c r="H151" s="222" t="s">
        <v>1020</v>
      </c>
      <c r="I151" s="222" t="s">
        <v>1024</v>
      </c>
      <c r="J151" s="63">
        <v>2025</v>
      </c>
      <c r="K151" s="63">
        <v>2026</v>
      </c>
      <c r="L151" s="63" t="s">
        <v>288</v>
      </c>
      <c r="M151" s="63" t="s">
        <v>173</v>
      </c>
      <c r="N151" s="63" t="s">
        <v>174</v>
      </c>
      <c r="O151" s="63" t="s">
        <v>1022</v>
      </c>
      <c r="P151" s="63"/>
      <c r="Q151" s="63" t="s">
        <v>297</v>
      </c>
      <c r="R151" s="63" t="s">
        <v>310</v>
      </c>
      <c r="S151" s="63">
        <f t="shared" si="414"/>
        <v>0</v>
      </c>
      <c r="T151" s="63" t="str">
        <f t="shared" si="413"/>
        <v>On Progress</v>
      </c>
      <c r="U151" s="63"/>
      <c r="V151" s="67">
        <f t="shared" si="415"/>
        <v>0.44999999999999996</v>
      </c>
      <c r="W151" s="66" t="s">
        <v>415</v>
      </c>
      <c r="X151" s="59">
        <f t="shared" si="355"/>
        <v>46080</v>
      </c>
      <c r="Y151" s="400"/>
      <c r="Z151" s="48"/>
      <c r="AA151" s="62">
        <v>45962</v>
      </c>
      <c r="AB151" s="42">
        <v>45979</v>
      </c>
      <c r="AC151" s="42">
        <v>45980</v>
      </c>
      <c r="AD151" s="42">
        <v>45985</v>
      </c>
      <c r="AE151" s="62"/>
      <c r="AF151" s="62"/>
      <c r="AG151" s="62"/>
      <c r="AH151" s="62"/>
      <c r="AI151" s="42">
        <v>46024</v>
      </c>
      <c r="AJ151" s="42">
        <v>46027</v>
      </c>
      <c r="AK151" s="42">
        <v>46028</v>
      </c>
      <c r="AL151" s="42">
        <v>46059</v>
      </c>
      <c r="AM151" s="42">
        <v>46062</v>
      </c>
      <c r="AN151" s="42">
        <v>46066</v>
      </c>
      <c r="AO151" s="42">
        <v>46069</v>
      </c>
      <c r="AP151" s="42">
        <v>46073</v>
      </c>
      <c r="AQ151" s="42">
        <v>46076</v>
      </c>
      <c r="AR151" s="42">
        <v>46080</v>
      </c>
      <c r="AS151" s="63" t="str">
        <f>IF(BE151=0%,"Not Started",IF(BE151&lt;5%,"Proses RBT-RBB",IF(BE151=5%,"Selesai RBT-RBB",IF(BE151&lt;10%,"Proses RBT-RBL",IF(BE151=10%,"Selesai RBT-RBL",IF(BE151&lt;15%,"Proses RBT-RBTD",IF(BE151=15%,"Selesai RBT-RBTD",IF(BE151&lt;20%,"Proses RPP",IF(BE151=20%,"Selesai RPP",IF(BE151&lt;25%,"Proses KAK",IF(BE151=25%,"Selesai KAK",IF(BE151&lt;30%,"Proses Pengadaan",IF(BE151=30%,"Selesai Pengadaan",IF(BE151&lt;45%,"Proses Desain",IF(BE151=45%,"Selesai Desain",IF(BE151&lt;80%,"Proses Pengembangan",IF(BE151=80%,"Selesai Pengembangan",IF(BE151&lt;87.5%,"Proses SIT",IF(BE151=87.5%,"Selesai SIT",IF(BE151&lt;95%,"Proses UAT",IF(BE151=95%,"Selesai UAT",IF(BE151&lt;100%,"Proses Implementasi","Selesai Implementasi"))))))))))))))))))))))</f>
        <v>Proses Pengembangan</v>
      </c>
      <c r="AT151" s="63"/>
      <c r="AU151" s="63"/>
      <c r="AV151" s="63"/>
      <c r="AW151" s="63"/>
      <c r="AX151" s="63"/>
      <c r="AY151" s="63"/>
      <c r="AZ151" s="63"/>
      <c r="BA151" s="63"/>
      <c r="BB151" s="63"/>
      <c r="BC151" s="63"/>
      <c r="BD151" s="63"/>
      <c r="BE151" s="351">
        <v>0.7</v>
      </c>
      <c r="BF151" s="351">
        <v>1</v>
      </c>
      <c r="BG151" s="351">
        <v>1</v>
      </c>
      <c r="BH151" s="351">
        <v>1</v>
      </c>
      <c r="BI151" s="351">
        <v>1</v>
      </c>
      <c r="BJ151" s="351">
        <v>1</v>
      </c>
      <c r="BK151" s="351">
        <v>1</v>
      </c>
      <c r="BL151" s="351">
        <v>1</v>
      </c>
      <c r="BM151" s="351">
        <v>1</v>
      </c>
      <c r="BN151" s="351">
        <v>1</v>
      </c>
      <c r="BO151" s="351">
        <v>1</v>
      </c>
      <c r="BP151" s="351">
        <v>1</v>
      </c>
      <c r="BQ151" s="63"/>
      <c r="BR151" s="63"/>
      <c r="BS151" s="63"/>
      <c r="BT151" s="63"/>
      <c r="BU151" s="63"/>
      <c r="BV151" s="63"/>
      <c r="BW151" s="63"/>
      <c r="BX151" s="63"/>
      <c r="BY151" s="63"/>
      <c r="BZ151" s="63"/>
      <c r="CA151" s="63"/>
      <c r="CB151" s="63"/>
      <c r="CC151" s="44">
        <f t="shared" si="420"/>
        <v>0.44999999999999996</v>
      </c>
      <c r="CD151" s="63"/>
      <c r="CE151" s="222"/>
      <c r="CF151" s="222"/>
      <c r="CG151" s="222"/>
      <c r="CH151" s="222"/>
      <c r="CI151" s="222"/>
      <c r="CJ151" s="222"/>
      <c r="CK151" s="222"/>
      <c r="CL151" s="44"/>
      <c r="CM151" s="44"/>
      <c r="CN151" s="44"/>
      <c r="CO151" s="45">
        <f>IF(BE151=0%, 100%, (CC151/BE151))</f>
        <v>0.64285714285714279</v>
      </c>
      <c r="CP151" s="45"/>
      <c r="CQ151" s="45"/>
      <c r="CR151" s="45"/>
      <c r="CS151" s="45"/>
      <c r="CT151" s="45"/>
      <c r="CU151" s="45"/>
      <c r="CV151" s="45"/>
      <c r="CW151" s="45"/>
      <c r="CX151" s="45"/>
      <c r="CY151" s="45">
        <f t="shared" si="418"/>
        <v>0</v>
      </c>
      <c r="CZ151" s="222"/>
      <c r="DA151" s="45" t="str">
        <f>IF(BE151=0%,"NS",IF(CC151=100%,"DONE",IF(CO151&gt;100%,"AS",IF(CO151&lt;75%,"BS",IF(CO151&lt;89.9%,"AR","OS")))))</f>
        <v>BS</v>
      </c>
      <c r="DB151" s="45"/>
      <c r="DC151" s="45"/>
      <c r="DD151" s="45"/>
      <c r="DE151" s="45"/>
      <c r="DF151" s="45"/>
      <c r="DG151" s="45"/>
      <c r="DH151" s="45"/>
      <c r="DI151" s="45"/>
      <c r="DJ151" s="45"/>
      <c r="DK151" s="45" t="str">
        <f t="shared" si="416"/>
        <v>BS</v>
      </c>
      <c r="DL151" s="45"/>
      <c r="DM151" s="45"/>
      <c r="DN151" s="45"/>
      <c r="DO151" s="45"/>
      <c r="DP151" s="45"/>
      <c r="DQ151" s="45"/>
      <c r="DR151" s="45"/>
      <c r="DS151" s="45"/>
      <c r="DT151" s="45"/>
      <c r="DU151" s="45"/>
      <c r="DV151" s="45"/>
      <c r="DW151" s="45"/>
      <c r="DX151" s="45"/>
      <c r="DY151" s="606">
        <v>1</v>
      </c>
      <c r="DZ151" s="606">
        <v>1</v>
      </c>
      <c r="EA151" s="606">
        <v>1</v>
      </c>
      <c r="EB151" s="606">
        <v>1</v>
      </c>
      <c r="EC151" s="606">
        <v>1</v>
      </c>
      <c r="ED151" s="60">
        <v>0</v>
      </c>
      <c r="EE151" s="60">
        <v>0</v>
      </c>
      <c r="EF151" s="60">
        <v>0</v>
      </c>
      <c r="EG151" s="563">
        <v>0</v>
      </c>
      <c r="EH151" s="47" t="s">
        <v>1513</v>
      </c>
      <c r="EI151" s="222">
        <f ca="1">EI151</f>
        <v>0</v>
      </c>
      <c r="EJ151" s="59">
        <f t="shared" si="412"/>
        <v>46080</v>
      </c>
      <c r="EK151" s="63"/>
      <c r="EL151" s="63"/>
      <c r="EM151" s="63"/>
      <c r="EN151" s="222"/>
      <c r="EO151" s="222"/>
      <c r="EP151" s="222"/>
      <c r="EQ151" s="222"/>
      <c r="ER151" s="213"/>
      <c r="ES151" s="222"/>
      <c r="ET151" s="222"/>
      <c r="EU151" s="222"/>
      <c r="EV151" s="222"/>
      <c r="EW151" s="222"/>
      <c r="EX151" s="222"/>
      <c r="EY151" s="222"/>
      <c r="EZ151" s="222"/>
      <c r="FA151" s="222"/>
      <c r="FB151" s="222"/>
      <c r="FC151" s="222"/>
      <c r="FD151" s="222"/>
      <c r="FE151" s="222"/>
      <c r="FF151" s="222"/>
      <c r="FG151" s="222"/>
      <c r="FH151" s="222"/>
      <c r="FI151" s="222"/>
      <c r="FJ151" s="222"/>
      <c r="FK151" s="222"/>
      <c r="FL151" s="222"/>
      <c r="FM151" s="247"/>
      <c r="FN151" s="248" t="s">
        <v>299</v>
      </c>
      <c r="FO151" s="247"/>
      <c r="FP151" s="247"/>
      <c r="FQ151" s="247"/>
      <c r="FR151" s="289" t="s">
        <v>184</v>
      </c>
      <c r="FS151" s="213"/>
      <c r="FT151" s="213"/>
      <c r="FU151" s="63"/>
    </row>
    <row r="152" spans="1:177" s="401" customFormat="1" ht="176">
      <c r="A152" s="63"/>
      <c r="B152" s="63" t="s">
        <v>302</v>
      </c>
      <c r="C152" s="63" t="s">
        <v>206</v>
      </c>
      <c r="D152" s="225" t="s">
        <v>207</v>
      </c>
      <c r="E152" s="63" t="s">
        <v>1018</v>
      </c>
      <c r="F152" s="63">
        <v>1</v>
      </c>
      <c r="G152" s="222" t="s">
        <v>1019</v>
      </c>
      <c r="H152" s="222" t="s">
        <v>1020</v>
      </c>
      <c r="I152" s="222" t="s">
        <v>1025</v>
      </c>
      <c r="J152" s="63">
        <v>2025</v>
      </c>
      <c r="K152" s="63">
        <v>2026</v>
      </c>
      <c r="L152" s="63" t="s">
        <v>288</v>
      </c>
      <c r="M152" s="63" t="s">
        <v>173</v>
      </c>
      <c r="N152" s="63" t="s">
        <v>174</v>
      </c>
      <c r="O152" s="63" t="s">
        <v>1022</v>
      </c>
      <c r="P152" s="63" t="s">
        <v>212</v>
      </c>
      <c r="Q152" s="63" t="s">
        <v>297</v>
      </c>
      <c r="R152" s="63" t="s">
        <v>1026</v>
      </c>
      <c r="S152" s="63" t="str">
        <f t="shared" si="414"/>
        <v>Selesai RBT-RBTD</v>
      </c>
      <c r="T152" s="63" t="str">
        <f t="shared" si="413"/>
        <v>On Progress</v>
      </c>
      <c r="U152" s="63" t="str">
        <f t="shared" ref="U152:U157" si="421">FN152</f>
        <v>Pahman Hasibuan</v>
      </c>
      <c r="V152" s="67">
        <f t="shared" si="415"/>
        <v>0.15</v>
      </c>
      <c r="W152" s="66" t="s">
        <v>260</v>
      </c>
      <c r="X152" s="59">
        <f t="shared" si="355"/>
        <v>46387</v>
      </c>
      <c r="Y152" s="400"/>
      <c r="Z152" s="48" t="s">
        <v>179</v>
      </c>
      <c r="AA152" s="560">
        <v>45931</v>
      </c>
      <c r="AB152" s="560">
        <v>46053</v>
      </c>
      <c r="AC152" s="560">
        <v>45689</v>
      </c>
      <c r="AD152" s="560">
        <v>46111</v>
      </c>
      <c r="AE152" s="560">
        <v>46082</v>
      </c>
      <c r="AF152" s="560">
        <v>46111</v>
      </c>
      <c r="AG152" s="560">
        <v>46113</v>
      </c>
      <c r="AH152" s="560">
        <v>46233</v>
      </c>
      <c r="AI152" s="560">
        <v>46235</v>
      </c>
      <c r="AJ152" s="560">
        <v>46264</v>
      </c>
      <c r="AK152" s="560">
        <v>46266</v>
      </c>
      <c r="AL152" s="560">
        <v>46310</v>
      </c>
      <c r="AM152" s="560">
        <v>46311</v>
      </c>
      <c r="AN152" s="560">
        <v>46341</v>
      </c>
      <c r="AO152" s="560">
        <v>46342</v>
      </c>
      <c r="AP152" s="560">
        <v>46371</v>
      </c>
      <c r="AQ152" s="560">
        <v>46372</v>
      </c>
      <c r="AR152" s="560">
        <v>46387</v>
      </c>
      <c r="AS152" s="63" t="str">
        <f t="shared" ref="AS152:BD157" si="422">IF(BE152=0%,"Not Started",IF(BE152&lt;5%,"Proses RBT-RBB",IF(BE152=5%,"Selesai RBT-RBB",IF(BE152&lt;10%,"Proses RBT-RBL",IF(BE152=10%,"Selesai RBT-RBL",IF(BE152&lt;15%,"Proses RBT-RBTD",IF(BE152=15%,"Selesai RBT-RBTD",IF(BE152&lt;20%,"Proses RPP",IF(BE152=20%,"Selesai RPP",IF(BE152&lt;25%,"Proses KAK",IF(BE152=25%,"Selesai KAK",IF(BE152&lt;30%,"Proses Pengadaan",IF(BE152=30%,"Selesai Pengadaan",IF(BE152&lt;45%,"Proses Desain",IF(BE152=45%,"Selesai Desain",IF(BE152&lt;80%,"Proses Pengembangan",IF(BE152=80%,"Selesai Pengembangan",IF(BE152&lt;87.5%,"Proses SIT",IF(BE152=87.5%,"Selesai SIT",IF(BE152&lt;95%,"Proses UAT",IF(BE152=95%,"Selesai UAT",IF(BE152&lt;100%,"Proses Implementasi","Selesai Implementasi"))))))))))))))))))))))</f>
        <v>Selesai RBT-RBTD</v>
      </c>
      <c r="AT152" s="63" t="str">
        <f t="shared" si="422"/>
        <v>Proses RPP</v>
      </c>
      <c r="AU152" s="63" t="str">
        <f t="shared" si="422"/>
        <v>Selesai KAK</v>
      </c>
      <c r="AV152" s="63" t="str">
        <f t="shared" si="422"/>
        <v>Proses Pengadaan</v>
      </c>
      <c r="AW152" s="63" t="str">
        <f t="shared" si="422"/>
        <v>Proses Pengadaan</v>
      </c>
      <c r="AX152" s="63" t="str">
        <f t="shared" si="422"/>
        <v>Proses Pengadaan</v>
      </c>
      <c r="AY152" s="63" t="str">
        <f t="shared" si="422"/>
        <v>Selesai Pengadaan</v>
      </c>
      <c r="AZ152" s="63" t="str">
        <f t="shared" si="422"/>
        <v>Selesai Desain</v>
      </c>
      <c r="BA152" s="63" t="str">
        <f t="shared" si="422"/>
        <v>Proses Pengembangan</v>
      </c>
      <c r="BB152" s="63" t="str">
        <f t="shared" si="422"/>
        <v>Selesai Pengembangan</v>
      </c>
      <c r="BC152" s="63" t="str">
        <f t="shared" si="422"/>
        <v>Proses UAT</v>
      </c>
      <c r="BD152" s="63" t="str">
        <f t="shared" si="422"/>
        <v>Selesai Implementasi</v>
      </c>
      <c r="BE152" s="351">
        <v>0.15</v>
      </c>
      <c r="BF152" s="351">
        <v>0.17</v>
      </c>
      <c r="BG152" s="351">
        <v>0.25</v>
      </c>
      <c r="BH152" s="351">
        <v>0.26</v>
      </c>
      <c r="BI152" s="351">
        <v>0.27</v>
      </c>
      <c r="BJ152" s="351">
        <v>0.28000000000000003</v>
      </c>
      <c r="BK152" s="351">
        <v>0.3</v>
      </c>
      <c r="BL152" s="351">
        <v>0.45</v>
      </c>
      <c r="BM152" s="351">
        <v>0.67</v>
      </c>
      <c r="BN152" s="351">
        <v>0.8</v>
      </c>
      <c r="BO152" s="351">
        <v>0.9</v>
      </c>
      <c r="BP152" s="351">
        <v>1</v>
      </c>
      <c r="BQ152" s="63" t="str">
        <f t="shared" ref="BQ152:CB157" si="423">IF(CC152=0%,"Not Started",IF(CC152&lt;5%,"Proses RBT-RBB",IF(CC152=5%,"Selesai RBT-RBB",IF(CC152&lt;10%,"Proses RBT-RBL",IF(CC152=10%,"Selesai RBT-RBL",IF(CC152&lt;15%,"Proses RBT-RBTD",IF(CC152=15%,"Selesai RBT-RBTD",IF(CC152&lt;20%,"Proses RPP",IF(CC152=20%,"Selesai RPP",IF(CC152&lt;25%,"Proses KAK",IF(CC152=25%,"Selesai KAK",IF(CC152&lt;30%,"Proses Pengadaan",IF(CC152=30%,"Selesai Pengadaan",IF(CC152&lt;45%,"Proses Desain",IF(CC152=45%,"Selesai Desain",IF(CC152&lt;80%,"Proses Pengembangan",IF(CC152=80%,"Selesai Pengembangan",IF(CC152&lt;87.5%,"Proses SIT",IF(CC152=87.5%,"Selesai SIT",IF(CC152&lt;95%,"Proses UAT",IF(CC152=95%,"Selesai UAT",IF(CC152&lt;100%,"Proses Implementasi","Selesai Implementasi"))))))))))))))))))))))</f>
        <v>Selesai RBT-RBTD</v>
      </c>
      <c r="BR152" s="63" t="str">
        <f t="shared" si="423"/>
        <v>Not Started</v>
      </c>
      <c r="BS152" s="63" t="str">
        <f t="shared" si="423"/>
        <v>Not Started</v>
      </c>
      <c r="BT152" s="63" t="str">
        <f t="shared" si="423"/>
        <v>Not Started</v>
      </c>
      <c r="BU152" s="63" t="str">
        <f t="shared" si="423"/>
        <v>Not Started</v>
      </c>
      <c r="BV152" s="63" t="str">
        <f t="shared" si="423"/>
        <v>Not Started</v>
      </c>
      <c r="BW152" s="63" t="str">
        <f t="shared" si="423"/>
        <v>Not Started</v>
      </c>
      <c r="BX152" s="63" t="str">
        <f t="shared" si="423"/>
        <v>Not Started</v>
      </c>
      <c r="BY152" s="63" t="str">
        <f t="shared" si="423"/>
        <v>Not Started</v>
      </c>
      <c r="BZ152" s="63" t="str">
        <f t="shared" si="423"/>
        <v>Proses RBT-RBL</v>
      </c>
      <c r="CA152" s="63" t="str">
        <f t="shared" si="423"/>
        <v>Selesai RBT-RBTD</v>
      </c>
      <c r="CB152" s="63" t="str">
        <f t="shared" si="423"/>
        <v>Selesai RBT-RBTD</v>
      </c>
      <c r="CC152" s="44">
        <f t="shared" si="420"/>
        <v>0.15</v>
      </c>
      <c r="CD152" s="63"/>
      <c r="CE152" s="222"/>
      <c r="CF152" s="222"/>
      <c r="CG152" s="222"/>
      <c r="CH152" s="222"/>
      <c r="CI152" s="222"/>
      <c r="CJ152" s="222"/>
      <c r="CK152" s="222"/>
      <c r="CL152" s="44">
        <v>7.4999999999999997E-2</v>
      </c>
      <c r="CM152" s="44">
        <f t="shared" ref="CM152:CN157" si="424">(($DY152/100%)*15%)+(($DZ152/100%)*5%)+(($EA152/100%)*5%)+(($EB152/100%)*5%)+(($EC152/100%)*15%)+(($ED152/100%)*35%)+(($EE152/100%)*7.5%)+(($EF152/100%)*7.5%)+(($EG152/100%)*5%)</f>
        <v>0.15</v>
      </c>
      <c r="CN152" s="44">
        <f t="shared" si="424"/>
        <v>0.15</v>
      </c>
      <c r="CO152" s="45">
        <f t="shared" ref="CO152:CX157" si="425">IF(BE152=0%, 100%, (CC152/BE152))</f>
        <v>1</v>
      </c>
      <c r="CP152" s="45">
        <f t="shared" si="425"/>
        <v>0</v>
      </c>
      <c r="CQ152" s="45">
        <f t="shared" si="425"/>
        <v>0</v>
      </c>
      <c r="CR152" s="45">
        <f t="shared" si="425"/>
        <v>0</v>
      </c>
      <c r="CS152" s="45">
        <f t="shared" si="425"/>
        <v>0</v>
      </c>
      <c r="CT152" s="45">
        <f t="shared" si="425"/>
        <v>0</v>
      </c>
      <c r="CU152" s="45">
        <f t="shared" si="425"/>
        <v>0</v>
      </c>
      <c r="CV152" s="45">
        <f t="shared" si="425"/>
        <v>0</v>
      </c>
      <c r="CW152" s="45">
        <f t="shared" si="425"/>
        <v>0</v>
      </c>
      <c r="CX152" s="45">
        <f t="shared" si="425"/>
        <v>9.3749999999999986E-2</v>
      </c>
      <c r="CY152" s="45">
        <f t="shared" si="418"/>
        <v>0.16666666666666666</v>
      </c>
      <c r="CZ152" s="222"/>
      <c r="DA152" s="45" t="str">
        <f t="shared" ref="DA152:DJ157" si="426">IF(BE152=0%,"NS",IF(CC152=100%,"DONE",IF(CO152&gt;100%,"AS",IF(CO152&lt;75%,"BS",IF(CO152&lt;89.9%,"AR","OS")))))</f>
        <v>OS</v>
      </c>
      <c r="DB152" s="45" t="str">
        <f t="shared" si="426"/>
        <v>BS</v>
      </c>
      <c r="DC152" s="45" t="str">
        <f t="shared" si="426"/>
        <v>BS</v>
      </c>
      <c r="DD152" s="45" t="str">
        <f t="shared" si="426"/>
        <v>BS</v>
      </c>
      <c r="DE152" s="45" t="str">
        <f t="shared" si="426"/>
        <v>BS</v>
      </c>
      <c r="DF152" s="45" t="str">
        <f t="shared" si="426"/>
        <v>BS</v>
      </c>
      <c r="DG152" s="45" t="str">
        <f t="shared" si="426"/>
        <v>BS</v>
      </c>
      <c r="DH152" s="45" t="str">
        <f t="shared" si="426"/>
        <v>BS</v>
      </c>
      <c r="DI152" s="45" t="str">
        <f t="shared" si="426"/>
        <v>BS</v>
      </c>
      <c r="DJ152" s="45" t="str">
        <f t="shared" si="426"/>
        <v>BS</v>
      </c>
      <c r="DK152" s="45" t="str">
        <f t="shared" si="416"/>
        <v>BS</v>
      </c>
      <c r="DL152" s="45" t="str">
        <f t="shared" ref="DL152:DL157" si="427">IF(BP152=0%,"NS",IF(CN152=100%,"DONE",IF(CZ152&gt;100%,"AS",IF(CZ152&lt;75%,"BS",IF(CZ152&lt;89.9%,"AR","OS")))))</f>
        <v>BS</v>
      </c>
      <c r="DM152" s="45">
        <f t="shared" ref="DM152:DX157" si="428">CC152/$BP152</f>
        <v>0.15</v>
      </c>
      <c r="DN152" s="45">
        <f t="shared" si="428"/>
        <v>0</v>
      </c>
      <c r="DO152" s="45">
        <f t="shared" si="428"/>
        <v>0</v>
      </c>
      <c r="DP152" s="45">
        <f t="shared" si="428"/>
        <v>0</v>
      </c>
      <c r="DQ152" s="45">
        <f t="shared" si="428"/>
        <v>0</v>
      </c>
      <c r="DR152" s="45">
        <f t="shared" si="428"/>
        <v>0</v>
      </c>
      <c r="DS152" s="45">
        <f t="shared" si="428"/>
        <v>0</v>
      </c>
      <c r="DT152" s="45">
        <f t="shared" si="428"/>
        <v>0</v>
      </c>
      <c r="DU152" s="45">
        <f t="shared" si="428"/>
        <v>0</v>
      </c>
      <c r="DV152" s="45">
        <f t="shared" si="428"/>
        <v>7.4999999999999997E-2</v>
      </c>
      <c r="DW152" s="45">
        <f t="shared" si="428"/>
        <v>0.15</v>
      </c>
      <c r="DX152" s="45">
        <f t="shared" si="428"/>
        <v>0.15</v>
      </c>
      <c r="DY152" s="606">
        <v>1</v>
      </c>
      <c r="DZ152" s="563">
        <v>0</v>
      </c>
      <c r="EA152" s="563">
        <v>0</v>
      </c>
      <c r="EB152" s="563">
        <v>0</v>
      </c>
      <c r="EC152" s="563">
        <v>0</v>
      </c>
      <c r="ED152" s="563">
        <v>0</v>
      </c>
      <c r="EE152" s="563">
        <v>0</v>
      </c>
      <c r="EF152" s="563">
        <v>0</v>
      </c>
      <c r="EG152" s="563">
        <v>0</v>
      </c>
      <c r="EH152" s="47" t="s">
        <v>1514</v>
      </c>
      <c r="EI152" s="222"/>
      <c r="EJ152" s="59">
        <f t="shared" si="412"/>
        <v>46387</v>
      </c>
      <c r="EK152" s="63"/>
      <c r="EL152" s="63"/>
      <c r="EM152" s="63"/>
      <c r="EN152" s="222"/>
      <c r="EO152" s="222"/>
      <c r="EP152" s="222"/>
      <c r="EQ152" s="222"/>
      <c r="ER152" s="213"/>
      <c r="ES152" s="222"/>
      <c r="ET152" s="222"/>
      <c r="EU152" s="222"/>
      <c r="EV152" s="222"/>
      <c r="EW152" s="222"/>
      <c r="EX152" s="222"/>
      <c r="EY152" s="222"/>
      <c r="EZ152" s="222"/>
      <c r="FA152" s="222"/>
      <c r="FB152" s="222"/>
      <c r="FC152" s="222"/>
      <c r="FD152" s="222"/>
      <c r="FE152" s="222"/>
      <c r="FF152" s="222"/>
      <c r="FG152" s="222"/>
      <c r="FH152" s="222"/>
      <c r="FI152" s="222"/>
      <c r="FJ152" s="222"/>
      <c r="FK152" s="222"/>
      <c r="FL152" s="222"/>
      <c r="FM152" s="247"/>
      <c r="FN152" s="248" t="s">
        <v>299</v>
      </c>
      <c r="FO152" s="247"/>
      <c r="FP152" s="247"/>
      <c r="FQ152" s="247"/>
      <c r="FR152" s="289" t="s">
        <v>184</v>
      </c>
      <c r="FS152" s="213"/>
      <c r="FT152" s="213"/>
      <c r="FU152" s="63"/>
    </row>
    <row r="153" spans="1:177" s="401" customFormat="1" ht="96">
      <c r="A153" s="63"/>
      <c r="B153" s="340" t="s">
        <v>468</v>
      </c>
      <c r="C153" s="63" t="s">
        <v>206</v>
      </c>
      <c r="D153" s="225" t="s">
        <v>207</v>
      </c>
      <c r="E153" s="63" t="s">
        <v>1027</v>
      </c>
      <c r="F153" s="63">
        <v>1</v>
      </c>
      <c r="G153" s="222" t="s">
        <v>1028</v>
      </c>
      <c r="H153" s="222" t="s">
        <v>1029</v>
      </c>
      <c r="I153" s="222" t="s">
        <v>1030</v>
      </c>
      <c r="J153" s="63">
        <v>2026</v>
      </c>
      <c r="K153" s="63">
        <v>2026</v>
      </c>
      <c r="L153" s="63" t="s">
        <v>352</v>
      </c>
      <c r="M153" s="63" t="s">
        <v>173</v>
      </c>
      <c r="N153" s="63" t="s">
        <v>174</v>
      </c>
      <c r="O153" s="66" t="s">
        <v>542</v>
      </c>
      <c r="P153" s="63" t="s">
        <v>458</v>
      </c>
      <c r="Q153" s="63" t="s">
        <v>189</v>
      </c>
      <c r="R153" s="63" t="s">
        <v>1028</v>
      </c>
      <c r="S153" s="63" t="str">
        <f t="shared" si="414"/>
        <v>Not Started</v>
      </c>
      <c r="T153" s="63" t="str">
        <f t="shared" si="413"/>
        <v>Not Started</v>
      </c>
      <c r="U153" s="63" t="str">
        <f t="shared" si="421"/>
        <v>Aldo Fernanda</v>
      </c>
      <c r="V153" s="67">
        <f t="shared" si="415"/>
        <v>0</v>
      </c>
      <c r="W153" s="66" t="s">
        <v>178</v>
      </c>
      <c r="X153" s="59">
        <f t="shared" si="355"/>
        <v>46387</v>
      </c>
      <c r="Y153" s="400"/>
      <c r="Z153" s="48" t="s">
        <v>179</v>
      </c>
      <c r="AA153" s="62">
        <v>46113</v>
      </c>
      <c r="AB153" s="42">
        <v>46203</v>
      </c>
      <c r="AC153" s="42">
        <v>46204</v>
      </c>
      <c r="AD153" s="42">
        <v>46234</v>
      </c>
      <c r="AE153" s="279"/>
      <c r="AF153" s="279"/>
      <c r="AG153" s="279"/>
      <c r="AH153" s="279"/>
      <c r="AI153" s="42">
        <v>46235</v>
      </c>
      <c r="AJ153" s="42">
        <v>46265</v>
      </c>
      <c r="AK153" s="42">
        <v>46266</v>
      </c>
      <c r="AL153" s="42">
        <v>46326</v>
      </c>
      <c r="AM153" s="42">
        <v>46327</v>
      </c>
      <c r="AN153" s="42">
        <v>46341</v>
      </c>
      <c r="AO153" s="42">
        <v>46342</v>
      </c>
      <c r="AP153" s="42">
        <v>46356</v>
      </c>
      <c r="AQ153" s="42">
        <v>46357</v>
      </c>
      <c r="AR153" s="42">
        <v>46387</v>
      </c>
      <c r="AS153" s="63" t="str">
        <f t="shared" si="422"/>
        <v>Not Started</v>
      </c>
      <c r="AT153" s="63" t="str">
        <f t="shared" si="422"/>
        <v>Not Started</v>
      </c>
      <c r="AU153" s="63" t="str">
        <f t="shared" si="422"/>
        <v>Not Started</v>
      </c>
      <c r="AV153" s="63" t="str">
        <f t="shared" si="422"/>
        <v>Selesai RBT-RBB</v>
      </c>
      <c r="AW153" s="63" t="str">
        <f t="shared" si="422"/>
        <v>Selesai RBT-RBL</v>
      </c>
      <c r="AX153" s="63" t="str">
        <f t="shared" si="422"/>
        <v>Selesai RBT-RBTD</v>
      </c>
      <c r="AY153" s="63" t="str">
        <f t="shared" si="422"/>
        <v>Selesai RPP</v>
      </c>
      <c r="AZ153" s="63" t="str">
        <f t="shared" si="422"/>
        <v>Selesai Desain</v>
      </c>
      <c r="BA153" s="63" t="str">
        <f t="shared" si="422"/>
        <v>Proses Pengembangan</v>
      </c>
      <c r="BB153" s="63" t="str">
        <f t="shared" si="422"/>
        <v>Selesai Pengembangan</v>
      </c>
      <c r="BC153" s="63" t="str">
        <f t="shared" si="422"/>
        <v>Selesai UAT</v>
      </c>
      <c r="BD153" s="63" t="str">
        <f t="shared" si="422"/>
        <v>Selesai Implementasi</v>
      </c>
      <c r="BE153" s="351">
        <v>0</v>
      </c>
      <c r="BF153" s="351">
        <v>0</v>
      </c>
      <c r="BG153" s="351">
        <v>0</v>
      </c>
      <c r="BH153" s="351">
        <v>0.05</v>
      </c>
      <c r="BI153" s="351">
        <v>0.1</v>
      </c>
      <c r="BJ153" s="351">
        <v>0.15</v>
      </c>
      <c r="BK153" s="351">
        <v>0.2</v>
      </c>
      <c r="BL153" s="351">
        <v>0.45</v>
      </c>
      <c r="BM153" s="351">
        <v>0.67</v>
      </c>
      <c r="BN153" s="351">
        <v>0.8</v>
      </c>
      <c r="BO153" s="351">
        <v>0.95</v>
      </c>
      <c r="BP153" s="351">
        <v>1</v>
      </c>
      <c r="BQ153" s="63" t="str">
        <f t="shared" si="423"/>
        <v>Not Started</v>
      </c>
      <c r="BR153" s="63" t="str">
        <f t="shared" si="423"/>
        <v>Not Started</v>
      </c>
      <c r="BS153" s="63" t="str">
        <f t="shared" si="423"/>
        <v>Not Started</v>
      </c>
      <c r="BT153" s="63" t="str">
        <f t="shared" si="423"/>
        <v>Not Started</v>
      </c>
      <c r="BU153" s="63" t="str">
        <f t="shared" si="423"/>
        <v>Not Started</v>
      </c>
      <c r="BV153" s="63" t="str">
        <f t="shared" si="423"/>
        <v>Not Started</v>
      </c>
      <c r="BW153" s="63" t="str">
        <f t="shared" si="423"/>
        <v>Not Started</v>
      </c>
      <c r="BX153" s="63" t="str">
        <f t="shared" si="423"/>
        <v>Not Started</v>
      </c>
      <c r="BY153" s="63" t="str">
        <f t="shared" si="423"/>
        <v>Not Started</v>
      </c>
      <c r="BZ153" s="63" t="str">
        <f t="shared" si="423"/>
        <v>Not Started</v>
      </c>
      <c r="CA153" s="63" t="str">
        <f t="shared" si="423"/>
        <v>Not Started</v>
      </c>
      <c r="CB153" s="63" t="str">
        <f t="shared" si="423"/>
        <v>Not Started</v>
      </c>
      <c r="CC153" s="44">
        <f t="shared" si="420"/>
        <v>0</v>
      </c>
      <c r="CD153" s="63"/>
      <c r="CE153" s="222"/>
      <c r="CF153" s="222"/>
      <c r="CG153" s="222"/>
      <c r="CH153" s="222"/>
      <c r="CI153" s="222"/>
      <c r="CJ153" s="222"/>
      <c r="CK153" s="222"/>
      <c r="CL153" s="44">
        <v>0</v>
      </c>
      <c r="CM153" s="44">
        <f t="shared" si="424"/>
        <v>0</v>
      </c>
      <c r="CN153" s="44">
        <f t="shared" si="424"/>
        <v>0</v>
      </c>
      <c r="CO153" s="45">
        <f t="shared" si="425"/>
        <v>1</v>
      </c>
      <c r="CP153" s="45">
        <f t="shared" si="425"/>
        <v>1</v>
      </c>
      <c r="CQ153" s="45">
        <f t="shared" si="425"/>
        <v>1</v>
      </c>
      <c r="CR153" s="45">
        <f t="shared" si="425"/>
        <v>0</v>
      </c>
      <c r="CS153" s="45">
        <f t="shared" si="425"/>
        <v>0</v>
      </c>
      <c r="CT153" s="45">
        <f t="shared" si="425"/>
        <v>0</v>
      </c>
      <c r="CU153" s="45">
        <f t="shared" si="425"/>
        <v>0</v>
      </c>
      <c r="CV153" s="45">
        <f t="shared" si="425"/>
        <v>0</v>
      </c>
      <c r="CW153" s="45">
        <f t="shared" si="425"/>
        <v>0</v>
      </c>
      <c r="CX153" s="45">
        <f t="shared" si="425"/>
        <v>0</v>
      </c>
      <c r="CY153" s="45">
        <f t="shared" si="418"/>
        <v>0</v>
      </c>
      <c r="CZ153" s="222"/>
      <c r="DA153" s="45" t="str">
        <f t="shared" si="426"/>
        <v>NS</v>
      </c>
      <c r="DB153" s="45" t="str">
        <f t="shared" si="426"/>
        <v>NS</v>
      </c>
      <c r="DC153" s="45" t="str">
        <f t="shared" si="426"/>
        <v>NS</v>
      </c>
      <c r="DD153" s="45" t="str">
        <f t="shared" si="426"/>
        <v>BS</v>
      </c>
      <c r="DE153" s="45" t="str">
        <f t="shared" si="426"/>
        <v>BS</v>
      </c>
      <c r="DF153" s="45" t="str">
        <f t="shared" si="426"/>
        <v>BS</v>
      </c>
      <c r="DG153" s="45" t="str">
        <f t="shared" si="426"/>
        <v>BS</v>
      </c>
      <c r="DH153" s="45" t="str">
        <f t="shared" si="426"/>
        <v>BS</v>
      </c>
      <c r="DI153" s="45" t="str">
        <f t="shared" si="426"/>
        <v>BS</v>
      </c>
      <c r="DJ153" s="45" t="str">
        <f t="shared" si="426"/>
        <v>BS</v>
      </c>
      <c r="DK153" s="45" t="str">
        <f t="shared" si="416"/>
        <v>BS</v>
      </c>
      <c r="DL153" s="45" t="str">
        <f t="shared" si="427"/>
        <v>BS</v>
      </c>
      <c r="DM153" s="45">
        <f t="shared" si="428"/>
        <v>0</v>
      </c>
      <c r="DN153" s="45">
        <f t="shared" si="428"/>
        <v>0</v>
      </c>
      <c r="DO153" s="45">
        <f t="shared" si="428"/>
        <v>0</v>
      </c>
      <c r="DP153" s="45">
        <f t="shared" si="428"/>
        <v>0</v>
      </c>
      <c r="DQ153" s="45">
        <f t="shared" si="428"/>
        <v>0</v>
      </c>
      <c r="DR153" s="45">
        <f t="shared" si="428"/>
        <v>0</v>
      </c>
      <c r="DS153" s="45">
        <f t="shared" si="428"/>
        <v>0</v>
      </c>
      <c r="DT153" s="45">
        <f t="shared" si="428"/>
        <v>0</v>
      </c>
      <c r="DU153" s="45">
        <f t="shared" si="428"/>
        <v>0</v>
      </c>
      <c r="DV153" s="45">
        <f t="shared" si="428"/>
        <v>0</v>
      </c>
      <c r="DW153" s="45">
        <f t="shared" si="428"/>
        <v>0</v>
      </c>
      <c r="DX153" s="45">
        <f t="shared" si="428"/>
        <v>0</v>
      </c>
      <c r="DY153" s="47"/>
      <c r="DZ153" s="47"/>
      <c r="EA153" s="47"/>
      <c r="EB153" s="47"/>
      <c r="EC153" s="47"/>
      <c r="ED153" s="47"/>
      <c r="EE153" s="47"/>
      <c r="EF153" s="404"/>
      <c r="EG153" s="404"/>
      <c r="EH153" s="47"/>
      <c r="EI153" s="222"/>
      <c r="EJ153" s="59">
        <f t="shared" si="412"/>
        <v>46387</v>
      </c>
      <c r="EK153" s="63"/>
      <c r="EL153" s="63"/>
      <c r="EM153" s="63"/>
      <c r="EN153" s="222"/>
      <c r="EO153" s="222"/>
      <c r="EP153" s="222"/>
      <c r="EQ153" s="222"/>
      <c r="ER153" s="213"/>
      <c r="ES153" s="222"/>
      <c r="ET153" s="222"/>
      <c r="EU153" s="222"/>
      <c r="EV153" s="222"/>
      <c r="EW153" s="222"/>
      <c r="EX153" s="222"/>
      <c r="EY153" s="222"/>
      <c r="EZ153" s="222"/>
      <c r="FA153" s="222"/>
      <c r="FB153" s="222"/>
      <c r="FC153" s="222"/>
      <c r="FD153" s="222"/>
      <c r="FE153" s="222"/>
      <c r="FF153" s="222"/>
      <c r="FG153" s="222"/>
      <c r="FH153" s="222"/>
      <c r="FI153" s="222"/>
      <c r="FJ153" s="222"/>
      <c r="FK153" s="222"/>
      <c r="FL153" s="222"/>
      <c r="FM153" s="172" t="s">
        <v>562</v>
      </c>
      <c r="FN153" s="172" t="s">
        <v>180</v>
      </c>
      <c r="FO153" s="172" t="s">
        <v>181</v>
      </c>
      <c r="FP153" s="172" t="s">
        <v>1032</v>
      </c>
      <c r="FQ153" s="172" t="s">
        <v>399</v>
      </c>
      <c r="FR153" s="213" t="s">
        <v>224</v>
      </c>
      <c r="FS153" s="213"/>
      <c r="FT153" s="213"/>
      <c r="FU153" s="63"/>
    </row>
    <row r="154" spans="1:177" s="401" customFormat="1" ht="160">
      <c r="A154" s="63"/>
      <c r="B154" s="340" t="s">
        <v>1033</v>
      </c>
      <c r="C154" s="63" t="s">
        <v>206</v>
      </c>
      <c r="D154" s="225" t="s">
        <v>207</v>
      </c>
      <c r="E154" s="489" t="s">
        <v>1034</v>
      </c>
      <c r="F154" s="63">
        <v>1</v>
      </c>
      <c r="G154" s="222" t="s">
        <v>1035</v>
      </c>
      <c r="H154" s="222" t="s">
        <v>1036</v>
      </c>
      <c r="I154" s="222" t="s">
        <v>1037</v>
      </c>
      <c r="J154" s="63">
        <v>2025</v>
      </c>
      <c r="K154" s="63">
        <v>2025</v>
      </c>
      <c r="L154" s="63" t="s">
        <v>172</v>
      </c>
      <c r="M154" s="63" t="s">
        <v>173</v>
      </c>
      <c r="N154" s="63" t="s">
        <v>174</v>
      </c>
      <c r="O154" s="63" t="s">
        <v>1038</v>
      </c>
      <c r="P154" s="63" t="s">
        <v>458</v>
      </c>
      <c r="Q154" s="214" t="s">
        <v>199</v>
      </c>
      <c r="R154" s="63" t="s">
        <v>605</v>
      </c>
      <c r="S154" s="63" t="str">
        <f t="shared" si="414"/>
        <v>Selesai Implementasi</v>
      </c>
      <c r="T154" s="63" t="str">
        <f t="shared" si="413"/>
        <v>DONE</v>
      </c>
      <c r="U154" s="63" t="str">
        <f t="shared" si="421"/>
        <v>M. Fahmi Ridwan</v>
      </c>
      <c r="V154" s="67">
        <f t="shared" si="415"/>
        <v>0.99999999999999989</v>
      </c>
      <c r="W154" s="66" t="s">
        <v>448</v>
      </c>
      <c r="X154" s="59">
        <f t="shared" si="355"/>
        <v>46010</v>
      </c>
      <c r="Y154" s="400"/>
      <c r="Z154" s="48" t="s">
        <v>179</v>
      </c>
      <c r="AA154" s="62">
        <v>45901</v>
      </c>
      <c r="AB154" s="42">
        <v>45915</v>
      </c>
      <c r="AC154" s="42">
        <v>45916</v>
      </c>
      <c r="AD154" s="42">
        <v>45925</v>
      </c>
      <c r="AE154" s="279"/>
      <c r="AF154" s="279"/>
      <c r="AG154" s="279"/>
      <c r="AH154" s="279"/>
      <c r="AI154" s="42">
        <v>45926</v>
      </c>
      <c r="AJ154" s="42">
        <v>45930</v>
      </c>
      <c r="AK154" s="42">
        <v>45931</v>
      </c>
      <c r="AL154" s="42">
        <v>45961</v>
      </c>
      <c r="AM154" s="42">
        <v>45962</v>
      </c>
      <c r="AN154" s="42">
        <v>45976</v>
      </c>
      <c r="AO154" s="42">
        <v>45977</v>
      </c>
      <c r="AP154" s="42">
        <v>45991</v>
      </c>
      <c r="AQ154" s="42">
        <v>45992</v>
      </c>
      <c r="AR154" s="42">
        <v>46010</v>
      </c>
      <c r="AS154" s="63" t="str">
        <f t="shared" si="422"/>
        <v>Selesai Implementasi</v>
      </c>
      <c r="AT154" s="63" t="str">
        <f t="shared" si="422"/>
        <v>Selesai Implementasi</v>
      </c>
      <c r="AU154" s="63" t="str">
        <f t="shared" si="422"/>
        <v>Selesai Implementasi</v>
      </c>
      <c r="AV154" s="63" t="str">
        <f t="shared" si="422"/>
        <v>Selesai Implementasi</v>
      </c>
      <c r="AW154" s="63" t="str">
        <f t="shared" si="422"/>
        <v>Selesai Implementasi</v>
      </c>
      <c r="AX154" s="63" t="str">
        <f t="shared" si="422"/>
        <v>Selesai Implementasi</v>
      </c>
      <c r="AY154" s="63" t="str">
        <f t="shared" si="422"/>
        <v>Selesai Implementasi</v>
      </c>
      <c r="AZ154" s="63" t="str">
        <f t="shared" si="422"/>
        <v>Selesai Implementasi</v>
      </c>
      <c r="BA154" s="63" t="str">
        <f t="shared" si="422"/>
        <v>Selesai Implementasi</v>
      </c>
      <c r="BB154" s="63" t="str">
        <f t="shared" si="422"/>
        <v>Selesai Implementasi</v>
      </c>
      <c r="BC154" s="63" t="str">
        <f t="shared" si="422"/>
        <v>Selesai Implementasi</v>
      </c>
      <c r="BD154" s="63" t="str">
        <f t="shared" si="422"/>
        <v>Selesai Implementasi</v>
      </c>
      <c r="BE154" s="351">
        <v>1</v>
      </c>
      <c r="BF154" s="351">
        <v>1</v>
      </c>
      <c r="BG154" s="351">
        <v>1</v>
      </c>
      <c r="BH154" s="351">
        <v>1</v>
      </c>
      <c r="BI154" s="351">
        <v>1</v>
      </c>
      <c r="BJ154" s="351">
        <v>1</v>
      </c>
      <c r="BK154" s="351">
        <v>1</v>
      </c>
      <c r="BL154" s="351">
        <v>1</v>
      </c>
      <c r="BM154" s="351">
        <v>1</v>
      </c>
      <c r="BN154" s="351">
        <v>1</v>
      </c>
      <c r="BO154" s="351">
        <v>1</v>
      </c>
      <c r="BP154" s="351">
        <v>1</v>
      </c>
      <c r="BQ154" s="63" t="str">
        <f t="shared" si="423"/>
        <v>Selesai Implementasi</v>
      </c>
      <c r="BR154" s="63" t="str">
        <f t="shared" si="423"/>
        <v>Not Started</v>
      </c>
      <c r="BS154" s="63" t="str">
        <f t="shared" si="423"/>
        <v>Not Started</v>
      </c>
      <c r="BT154" s="63" t="str">
        <f t="shared" si="423"/>
        <v>Not Started</v>
      </c>
      <c r="BU154" s="63" t="str">
        <f t="shared" si="423"/>
        <v>Not Started</v>
      </c>
      <c r="BV154" s="63" t="str">
        <f t="shared" si="423"/>
        <v>Not Started</v>
      </c>
      <c r="BW154" s="63" t="str">
        <f t="shared" si="423"/>
        <v>Not Started</v>
      </c>
      <c r="BX154" s="63" t="str">
        <f t="shared" si="423"/>
        <v>Not Started</v>
      </c>
      <c r="BY154" s="63" t="str">
        <f t="shared" si="423"/>
        <v>Not Started</v>
      </c>
      <c r="BZ154" s="63" t="str">
        <f t="shared" si="423"/>
        <v>Proses UAT</v>
      </c>
      <c r="CA154" s="63" t="str">
        <f t="shared" si="423"/>
        <v>Selesai Implementasi</v>
      </c>
      <c r="CB154" s="63" t="str">
        <f t="shared" si="423"/>
        <v>Selesai Implementasi</v>
      </c>
      <c r="CC154" s="44">
        <f t="shared" si="420"/>
        <v>0.99999999999999989</v>
      </c>
      <c r="CD154" s="63"/>
      <c r="CE154" s="222"/>
      <c r="CF154" s="222"/>
      <c r="CG154" s="222"/>
      <c r="CH154" s="222"/>
      <c r="CI154" s="222"/>
      <c r="CJ154" s="222"/>
      <c r="CK154" s="222"/>
      <c r="CL154" s="44">
        <v>0.88249999999999984</v>
      </c>
      <c r="CM154" s="44">
        <f t="shared" si="424"/>
        <v>0.99999999999999989</v>
      </c>
      <c r="CN154" s="44">
        <f t="shared" si="424"/>
        <v>0.99999999999999989</v>
      </c>
      <c r="CO154" s="45">
        <f t="shared" si="425"/>
        <v>0.99999999999999989</v>
      </c>
      <c r="CP154" s="45">
        <f t="shared" si="425"/>
        <v>0</v>
      </c>
      <c r="CQ154" s="45">
        <f t="shared" si="425"/>
        <v>0</v>
      </c>
      <c r="CR154" s="45">
        <f t="shared" si="425"/>
        <v>0</v>
      </c>
      <c r="CS154" s="45">
        <f t="shared" si="425"/>
        <v>0</v>
      </c>
      <c r="CT154" s="45">
        <f t="shared" si="425"/>
        <v>0</v>
      </c>
      <c r="CU154" s="45">
        <f t="shared" si="425"/>
        <v>0</v>
      </c>
      <c r="CV154" s="45">
        <f t="shared" si="425"/>
        <v>0</v>
      </c>
      <c r="CW154" s="45">
        <f t="shared" si="425"/>
        <v>0</v>
      </c>
      <c r="CX154" s="45">
        <f t="shared" si="425"/>
        <v>0.88249999999999984</v>
      </c>
      <c r="CY154" s="45">
        <f t="shared" si="418"/>
        <v>0.99999999999999989</v>
      </c>
      <c r="CZ154" s="222"/>
      <c r="DA154" s="45" t="str">
        <f t="shared" si="426"/>
        <v>DONE</v>
      </c>
      <c r="DB154" s="45" t="str">
        <f t="shared" si="426"/>
        <v>BS</v>
      </c>
      <c r="DC154" s="45" t="str">
        <f t="shared" si="426"/>
        <v>BS</v>
      </c>
      <c r="DD154" s="45" t="str">
        <f t="shared" si="426"/>
        <v>BS</v>
      </c>
      <c r="DE154" s="45" t="str">
        <f t="shared" si="426"/>
        <v>BS</v>
      </c>
      <c r="DF154" s="45" t="str">
        <f t="shared" si="426"/>
        <v>BS</v>
      </c>
      <c r="DG154" s="45" t="str">
        <f t="shared" si="426"/>
        <v>BS</v>
      </c>
      <c r="DH154" s="45" t="str">
        <f t="shared" si="426"/>
        <v>BS</v>
      </c>
      <c r="DI154" s="45" t="str">
        <f t="shared" si="426"/>
        <v>BS</v>
      </c>
      <c r="DJ154" s="45" t="str">
        <f t="shared" si="426"/>
        <v>AR</v>
      </c>
      <c r="DK154" s="45" t="str">
        <f t="shared" si="416"/>
        <v>DONE</v>
      </c>
      <c r="DL154" s="45" t="str">
        <f t="shared" si="427"/>
        <v>DONE</v>
      </c>
      <c r="DM154" s="45">
        <f t="shared" si="428"/>
        <v>0.99999999999999989</v>
      </c>
      <c r="DN154" s="45">
        <f t="shared" si="428"/>
        <v>0</v>
      </c>
      <c r="DO154" s="45">
        <f t="shared" si="428"/>
        <v>0</v>
      </c>
      <c r="DP154" s="45">
        <f t="shared" si="428"/>
        <v>0</v>
      </c>
      <c r="DQ154" s="45">
        <f t="shared" si="428"/>
        <v>0</v>
      </c>
      <c r="DR154" s="45">
        <f t="shared" si="428"/>
        <v>0</v>
      </c>
      <c r="DS154" s="45">
        <f t="shared" si="428"/>
        <v>0</v>
      </c>
      <c r="DT154" s="45">
        <f t="shared" si="428"/>
        <v>0</v>
      </c>
      <c r="DU154" s="45">
        <f t="shared" si="428"/>
        <v>0</v>
      </c>
      <c r="DV154" s="45">
        <f t="shared" si="428"/>
        <v>0.88249999999999984</v>
      </c>
      <c r="DW154" s="45">
        <f t="shared" si="428"/>
        <v>0.99999999999999989</v>
      </c>
      <c r="DX154" s="45">
        <f t="shared" si="428"/>
        <v>0.99999999999999989</v>
      </c>
      <c r="DY154" s="41">
        <v>1</v>
      </c>
      <c r="DZ154" s="41">
        <v>1</v>
      </c>
      <c r="EA154" s="41">
        <v>1</v>
      </c>
      <c r="EB154" s="41">
        <v>1</v>
      </c>
      <c r="EC154" s="41">
        <v>1</v>
      </c>
      <c r="ED154" s="41">
        <v>1</v>
      </c>
      <c r="EE154" s="41">
        <v>1</v>
      </c>
      <c r="EF154" s="60">
        <v>1</v>
      </c>
      <c r="EG154" s="60">
        <v>1</v>
      </c>
      <c r="EH154" s="188" t="s">
        <v>646</v>
      </c>
      <c r="EI154" s="59">
        <f>AQ154</f>
        <v>45992</v>
      </c>
      <c r="EJ154" s="59">
        <f t="shared" si="412"/>
        <v>46010</v>
      </c>
      <c r="EK154" s="63"/>
      <c r="EL154" s="63"/>
      <c r="EM154" s="63"/>
      <c r="EN154" s="222"/>
      <c r="EO154" s="222"/>
      <c r="EP154" s="222"/>
      <c r="EQ154" s="222"/>
      <c r="ER154" s="213"/>
      <c r="ES154" s="222"/>
      <c r="ET154" s="222"/>
      <c r="EU154" s="222"/>
      <c r="EV154" s="222"/>
      <c r="EW154" s="222"/>
      <c r="EX154" s="222"/>
      <c r="EY154" s="222"/>
      <c r="EZ154" s="222"/>
      <c r="FA154" s="222"/>
      <c r="FB154" s="222"/>
      <c r="FC154" s="222"/>
      <c r="FD154" s="222"/>
      <c r="FE154" s="222"/>
      <c r="FF154" s="222"/>
      <c r="FG154" s="222"/>
      <c r="FH154" s="222"/>
      <c r="FI154" s="222"/>
      <c r="FJ154" s="222"/>
      <c r="FK154" s="222"/>
      <c r="FL154" s="222"/>
      <c r="FM154" s="172" t="s">
        <v>373</v>
      </c>
      <c r="FN154" s="248" t="s">
        <v>610</v>
      </c>
      <c r="FO154" s="319" t="s">
        <v>231</v>
      </c>
      <c r="FP154" s="172" t="s">
        <v>1039</v>
      </c>
      <c r="FQ154" s="172" t="s">
        <v>649</v>
      </c>
      <c r="FR154" s="213" t="s">
        <v>224</v>
      </c>
      <c r="FS154" s="213"/>
      <c r="FT154" s="213"/>
      <c r="FU154" s="63"/>
    </row>
    <row r="155" spans="1:177" s="401" customFormat="1" ht="128">
      <c r="A155" s="63"/>
      <c r="B155" s="340" t="s">
        <v>468</v>
      </c>
      <c r="C155" s="63" t="s">
        <v>206</v>
      </c>
      <c r="D155" s="225" t="s">
        <v>207</v>
      </c>
      <c r="E155" s="63" t="s">
        <v>1040</v>
      </c>
      <c r="F155" s="63">
        <v>1</v>
      </c>
      <c r="G155" s="222" t="s">
        <v>1041</v>
      </c>
      <c r="H155" s="222" t="s">
        <v>1042</v>
      </c>
      <c r="I155" s="222" t="s">
        <v>1043</v>
      </c>
      <c r="J155" s="63">
        <v>2026</v>
      </c>
      <c r="K155" s="63">
        <v>2026</v>
      </c>
      <c r="L155" s="63" t="s">
        <v>172</v>
      </c>
      <c r="M155" s="63" t="s">
        <v>173</v>
      </c>
      <c r="N155" s="63" t="s">
        <v>174</v>
      </c>
      <c r="O155" s="63" t="s">
        <v>1044</v>
      </c>
      <c r="P155" s="63" t="s">
        <v>458</v>
      </c>
      <c r="Q155" s="63" t="s">
        <v>199</v>
      </c>
      <c r="R155" s="63" t="s">
        <v>605</v>
      </c>
      <c r="S155" s="63" t="str">
        <f t="shared" si="414"/>
        <v>Not Started</v>
      </c>
      <c r="T155" s="63" t="str">
        <f t="shared" si="413"/>
        <v>Not Started</v>
      </c>
      <c r="U155" s="63" t="str">
        <f t="shared" si="421"/>
        <v>M. Fahmi Ridwan</v>
      </c>
      <c r="V155" s="67">
        <f t="shared" si="415"/>
        <v>0</v>
      </c>
      <c r="W155" s="66" t="s">
        <v>178</v>
      </c>
      <c r="X155" s="59">
        <f t="shared" si="355"/>
        <v>46295</v>
      </c>
      <c r="Y155" s="400"/>
      <c r="Z155" s="48" t="s">
        <v>179</v>
      </c>
      <c r="AA155" s="62">
        <v>46082</v>
      </c>
      <c r="AB155" s="42">
        <v>46173</v>
      </c>
      <c r="AC155" s="42">
        <v>46174</v>
      </c>
      <c r="AD155" s="42">
        <v>46188</v>
      </c>
      <c r="AE155" s="279"/>
      <c r="AF155" s="279"/>
      <c r="AG155" s="279"/>
      <c r="AH155" s="279"/>
      <c r="AI155" s="42">
        <v>46189</v>
      </c>
      <c r="AJ155" s="42">
        <v>46203</v>
      </c>
      <c r="AK155" s="42">
        <v>46204</v>
      </c>
      <c r="AL155" s="42">
        <v>46249</v>
      </c>
      <c r="AM155" s="42">
        <v>46250</v>
      </c>
      <c r="AN155" s="42">
        <v>46265</v>
      </c>
      <c r="AO155" s="42">
        <v>46266</v>
      </c>
      <c r="AP155" s="42">
        <v>46280</v>
      </c>
      <c r="AQ155" s="42">
        <v>46281</v>
      </c>
      <c r="AR155" s="42">
        <v>46295</v>
      </c>
      <c r="AS155" s="63" t="str">
        <f t="shared" si="422"/>
        <v>Not Started</v>
      </c>
      <c r="AT155" s="63" t="str">
        <f t="shared" si="422"/>
        <v>Not Started</v>
      </c>
      <c r="AU155" s="63" t="str">
        <f t="shared" si="422"/>
        <v>Selesai RBT-RBB</v>
      </c>
      <c r="AV155" s="63" t="str">
        <f t="shared" si="422"/>
        <v>Selesai RBT-RBL</v>
      </c>
      <c r="AW155" s="63" t="str">
        <f t="shared" si="422"/>
        <v>Selesai RBT-RBTD</v>
      </c>
      <c r="AX155" s="63" t="str">
        <f t="shared" si="422"/>
        <v>Selesai Desain</v>
      </c>
      <c r="AY155" s="63" t="str">
        <f t="shared" si="422"/>
        <v>Proses Pengembangan</v>
      </c>
      <c r="AZ155" s="63" t="str">
        <f t="shared" si="422"/>
        <v>Selesai Pengembangan</v>
      </c>
      <c r="BA155" s="63" t="str">
        <f t="shared" si="422"/>
        <v>Selesai Implementasi</v>
      </c>
      <c r="BB155" s="63" t="str">
        <f t="shared" si="422"/>
        <v>Selesai Implementasi</v>
      </c>
      <c r="BC155" s="63" t="str">
        <f t="shared" si="422"/>
        <v>Selesai Implementasi</v>
      </c>
      <c r="BD155" s="63" t="str">
        <f t="shared" si="422"/>
        <v>Selesai Implementasi</v>
      </c>
      <c r="BE155" s="351">
        <v>0</v>
      </c>
      <c r="BF155" s="351">
        <v>0</v>
      </c>
      <c r="BG155" s="351">
        <v>0.05</v>
      </c>
      <c r="BH155" s="351">
        <v>0.1</v>
      </c>
      <c r="BI155" s="351">
        <v>0.15</v>
      </c>
      <c r="BJ155" s="351">
        <v>0.45</v>
      </c>
      <c r="BK155" s="351">
        <v>0.67</v>
      </c>
      <c r="BL155" s="351">
        <v>0.8</v>
      </c>
      <c r="BM155" s="351">
        <v>1</v>
      </c>
      <c r="BN155" s="351">
        <v>1</v>
      </c>
      <c r="BO155" s="351">
        <v>1</v>
      </c>
      <c r="BP155" s="351">
        <v>1</v>
      </c>
      <c r="BQ155" s="63" t="str">
        <f t="shared" si="423"/>
        <v>Not Started</v>
      </c>
      <c r="BR155" s="63" t="str">
        <f t="shared" si="423"/>
        <v>Not Started</v>
      </c>
      <c r="BS155" s="63" t="str">
        <f t="shared" si="423"/>
        <v>Not Started</v>
      </c>
      <c r="BT155" s="63" t="str">
        <f t="shared" si="423"/>
        <v>Not Started</v>
      </c>
      <c r="BU155" s="63" t="str">
        <f t="shared" si="423"/>
        <v>Not Started</v>
      </c>
      <c r="BV155" s="63" t="str">
        <f t="shared" si="423"/>
        <v>Not Started</v>
      </c>
      <c r="BW155" s="63" t="str">
        <f t="shared" si="423"/>
        <v>Not Started</v>
      </c>
      <c r="BX155" s="63" t="str">
        <f t="shared" si="423"/>
        <v>Not Started</v>
      </c>
      <c r="BY155" s="63" t="str">
        <f t="shared" si="423"/>
        <v>Not Started</v>
      </c>
      <c r="BZ155" s="63" t="str">
        <f t="shared" si="423"/>
        <v>Not Started</v>
      </c>
      <c r="CA155" s="63" t="str">
        <f t="shared" si="423"/>
        <v>Not Started</v>
      </c>
      <c r="CB155" s="63" t="str">
        <f t="shared" si="423"/>
        <v>Not Started</v>
      </c>
      <c r="CC155" s="44">
        <f t="shared" si="420"/>
        <v>0</v>
      </c>
      <c r="CD155" s="63"/>
      <c r="CE155" s="222"/>
      <c r="CF155" s="222"/>
      <c r="CG155" s="222"/>
      <c r="CH155" s="222"/>
      <c r="CI155" s="222"/>
      <c r="CJ155" s="222"/>
      <c r="CK155" s="222"/>
      <c r="CL155" s="44">
        <v>0</v>
      </c>
      <c r="CM155" s="44">
        <f t="shared" si="424"/>
        <v>0</v>
      </c>
      <c r="CN155" s="44">
        <f t="shared" si="424"/>
        <v>0</v>
      </c>
      <c r="CO155" s="45">
        <f t="shared" si="425"/>
        <v>1</v>
      </c>
      <c r="CP155" s="45">
        <f t="shared" si="425"/>
        <v>1</v>
      </c>
      <c r="CQ155" s="45">
        <f t="shared" si="425"/>
        <v>0</v>
      </c>
      <c r="CR155" s="45">
        <f t="shared" si="425"/>
        <v>0</v>
      </c>
      <c r="CS155" s="45">
        <f t="shared" si="425"/>
        <v>0</v>
      </c>
      <c r="CT155" s="45">
        <f t="shared" si="425"/>
        <v>0</v>
      </c>
      <c r="CU155" s="45">
        <f t="shared" si="425"/>
        <v>0</v>
      </c>
      <c r="CV155" s="45">
        <f t="shared" si="425"/>
        <v>0</v>
      </c>
      <c r="CW155" s="45">
        <f t="shared" si="425"/>
        <v>0</v>
      </c>
      <c r="CX155" s="45">
        <f t="shared" si="425"/>
        <v>0</v>
      </c>
      <c r="CY155" s="45">
        <f t="shared" si="418"/>
        <v>0</v>
      </c>
      <c r="CZ155" s="222"/>
      <c r="DA155" s="45" t="str">
        <f t="shared" si="426"/>
        <v>NS</v>
      </c>
      <c r="DB155" s="45" t="str">
        <f t="shared" si="426"/>
        <v>NS</v>
      </c>
      <c r="DC155" s="45" t="str">
        <f t="shared" si="426"/>
        <v>BS</v>
      </c>
      <c r="DD155" s="45" t="str">
        <f t="shared" si="426"/>
        <v>BS</v>
      </c>
      <c r="DE155" s="45" t="str">
        <f t="shared" si="426"/>
        <v>BS</v>
      </c>
      <c r="DF155" s="45" t="str">
        <f t="shared" si="426"/>
        <v>BS</v>
      </c>
      <c r="DG155" s="45" t="str">
        <f t="shared" si="426"/>
        <v>BS</v>
      </c>
      <c r="DH155" s="45" t="str">
        <f t="shared" si="426"/>
        <v>BS</v>
      </c>
      <c r="DI155" s="45" t="str">
        <f t="shared" si="426"/>
        <v>BS</v>
      </c>
      <c r="DJ155" s="45" t="str">
        <f t="shared" si="426"/>
        <v>BS</v>
      </c>
      <c r="DK155" s="45" t="str">
        <f t="shared" si="416"/>
        <v>BS</v>
      </c>
      <c r="DL155" s="45" t="str">
        <f t="shared" si="427"/>
        <v>BS</v>
      </c>
      <c r="DM155" s="45">
        <f t="shared" si="428"/>
        <v>0</v>
      </c>
      <c r="DN155" s="45">
        <f t="shared" si="428"/>
        <v>0</v>
      </c>
      <c r="DO155" s="45">
        <f t="shared" si="428"/>
        <v>0</v>
      </c>
      <c r="DP155" s="45">
        <f t="shared" si="428"/>
        <v>0</v>
      </c>
      <c r="DQ155" s="45">
        <f t="shared" si="428"/>
        <v>0</v>
      </c>
      <c r="DR155" s="45">
        <f t="shared" si="428"/>
        <v>0</v>
      </c>
      <c r="DS155" s="45">
        <f t="shared" si="428"/>
        <v>0</v>
      </c>
      <c r="DT155" s="45">
        <f t="shared" si="428"/>
        <v>0</v>
      </c>
      <c r="DU155" s="45">
        <f t="shared" si="428"/>
        <v>0</v>
      </c>
      <c r="DV155" s="45">
        <f t="shared" si="428"/>
        <v>0</v>
      </c>
      <c r="DW155" s="45">
        <f t="shared" si="428"/>
        <v>0</v>
      </c>
      <c r="DX155" s="45">
        <f t="shared" si="428"/>
        <v>0</v>
      </c>
      <c r="DY155" s="47"/>
      <c r="DZ155" s="47"/>
      <c r="EA155" s="47"/>
      <c r="EB155" s="47"/>
      <c r="EC155" s="47"/>
      <c r="ED155" s="47"/>
      <c r="EE155" s="47"/>
      <c r="EF155" s="404"/>
      <c r="EG155" s="404"/>
      <c r="EH155" s="47" t="s">
        <v>1517</v>
      </c>
      <c r="EI155" s="222"/>
      <c r="EJ155" s="59">
        <f t="shared" si="412"/>
        <v>46295</v>
      </c>
      <c r="EK155" s="63"/>
      <c r="EL155" s="63"/>
      <c r="EM155" s="63"/>
      <c r="EN155" s="222"/>
      <c r="EO155" s="222"/>
      <c r="EP155" s="222"/>
      <c r="EQ155" s="222"/>
      <c r="ER155" s="213"/>
      <c r="ES155" s="222"/>
      <c r="ET155" s="222"/>
      <c r="EU155" s="222"/>
      <c r="EV155" s="222"/>
      <c r="EW155" s="222"/>
      <c r="EX155" s="222"/>
      <c r="EY155" s="222"/>
      <c r="EZ155" s="222"/>
      <c r="FA155" s="222"/>
      <c r="FB155" s="222"/>
      <c r="FC155" s="222"/>
      <c r="FD155" s="222"/>
      <c r="FE155" s="222"/>
      <c r="FF155" s="222"/>
      <c r="FG155" s="222"/>
      <c r="FH155" s="222"/>
      <c r="FI155" s="222"/>
      <c r="FJ155" s="222"/>
      <c r="FK155" s="222"/>
      <c r="FL155" s="222"/>
      <c r="FM155" s="247"/>
      <c r="FN155" s="248" t="s">
        <v>610</v>
      </c>
      <c r="FO155" s="247"/>
      <c r="FP155" s="247"/>
      <c r="FQ155" s="247"/>
      <c r="FR155" s="289" t="s">
        <v>224</v>
      </c>
      <c r="FS155" s="213"/>
      <c r="FT155" s="213"/>
      <c r="FU155" s="63"/>
    </row>
    <row r="156" spans="1:177" s="401" customFormat="1" ht="80">
      <c r="A156" s="63"/>
      <c r="B156" s="340" t="s">
        <v>468</v>
      </c>
      <c r="C156" s="63" t="s">
        <v>206</v>
      </c>
      <c r="D156" s="225" t="s">
        <v>207</v>
      </c>
      <c r="E156" s="42" t="s">
        <v>1045</v>
      </c>
      <c r="F156" s="63">
        <v>1</v>
      </c>
      <c r="G156" s="222" t="s">
        <v>1046</v>
      </c>
      <c r="H156" s="222" t="s">
        <v>1047</v>
      </c>
      <c r="I156" s="222" t="s">
        <v>1047</v>
      </c>
      <c r="J156" s="214">
        <v>2026</v>
      </c>
      <c r="K156" s="63">
        <v>2028</v>
      </c>
      <c r="L156" s="63" t="s">
        <v>172</v>
      </c>
      <c r="M156" s="63" t="s">
        <v>173</v>
      </c>
      <c r="N156" s="63" t="s">
        <v>174</v>
      </c>
      <c r="O156" s="63" t="s">
        <v>1048</v>
      </c>
      <c r="P156" s="63" t="s">
        <v>458</v>
      </c>
      <c r="Q156" s="63" t="s">
        <v>189</v>
      </c>
      <c r="R156" s="63" t="s">
        <v>1046</v>
      </c>
      <c r="S156" s="63" t="str">
        <f t="shared" si="414"/>
        <v>Not Started</v>
      </c>
      <c r="T156" s="63" t="str">
        <f t="shared" si="413"/>
        <v>Not Started</v>
      </c>
      <c r="U156" s="63" t="str">
        <f t="shared" si="421"/>
        <v>Aldo Fernanda</v>
      </c>
      <c r="V156" s="67">
        <f t="shared" si="415"/>
        <v>0</v>
      </c>
      <c r="W156" s="66" t="s">
        <v>178</v>
      </c>
      <c r="X156" s="59">
        <f t="shared" si="355"/>
        <v>46752</v>
      </c>
      <c r="Y156" s="400"/>
      <c r="Z156" s="48" t="s">
        <v>179</v>
      </c>
      <c r="AA156" s="62">
        <v>46113</v>
      </c>
      <c r="AB156" s="42">
        <v>46203</v>
      </c>
      <c r="AC156" s="42">
        <v>46204</v>
      </c>
      <c r="AD156" s="42">
        <v>46234</v>
      </c>
      <c r="AE156" s="42">
        <v>46204</v>
      </c>
      <c r="AF156" s="42">
        <v>46234</v>
      </c>
      <c r="AG156" s="42">
        <v>46235</v>
      </c>
      <c r="AH156" s="42">
        <v>46387</v>
      </c>
      <c r="AI156" s="42">
        <v>46388</v>
      </c>
      <c r="AJ156" s="42">
        <v>46418</v>
      </c>
      <c r="AK156" s="42">
        <v>46419</v>
      </c>
      <c r="AL156" s="42">
        <v>46660</v>
      </c>
      <c r="AM156" s="42">
        <v>46661</v>
      </c>
      <c r="AN156" s="42">
        <v>46691</v>
      </c>
      <c r="AO156" s="42">
        <v>46692</v>
      </c>
      <c r="AP156" s="42">
        <v>46721</v>
      </c>
      <c r="AQ156" s="42">
        <v>46722</v>
      </c>
      <c r="AR156" s="42">
        <v>46752</v>
      </c>
      <c r="AS156" s="63" t="str">
        <f t="shared" si="422"/>
        <v>Not Started</v>
      </c>
      <c r="AT156" s="63" t="str">
        <f t="shared" si="422"/>
        <v>Not Started</v>
      </c>
      <c r="AU156" s="63" t="str">
        <f t="shared" si="422"/>
        <v>Not Started</v>
      </c>
      <c r="AV156" s="63" t="str">
        <f t="shared" si="422"/>
        <v>Selesai RBT-RBB</v>
      </c>
      <c r="AW156" s="63" t="str">
        <f t="shared" si="422"/>
        <v>Selesai RBT-RBL</v>
      </c>
      <c r="AX156" s="63" t="str">
        <f t="shared" si="422"/>
        <v>Selesai RBT-RBTD</v>
      </c>
      <c r="AY156" s="63" t="str">
        <f t="shared" si="422"/>
        <v>Selesai KAK</v>
      </c>
      <c r="AZ156" s="63" t="str">
        <f t="shared" si="422"/>
        <v>Proses Pengadaan</v>
      </c>
      <c r="BA156" s="63" t="str">
        <f t="shared" si="422"/>
        <v>Proses Pengadaan</v>
      </c>
      <c r="BB156" s="63" t="str">
        <f t="shared" si="422"/>
        <v>Proses Pengadaan</v>
      </c>
      <c r="BC156" s="63" t="str">
        <f t="shared" si="422"/>
        <v>Proses Pengadaan</v>
      </c>
      <c r="BD156" s="63" t="str">
        <f t="shared" si="422"/>
        <v>Selesai Pengadaan</v>
      </c>
      <c r="BE156" s="351">
        <v>0</v>
      </c>
      <c r="BF156" s="351">
        <v>0</v>
      </c>
      <c r="BG156" s="351">
        <v>0</v>
      </c>
      <c r="BH156" s="351">
        <v>0.05</v>
      </c>
      <c r="BI156" s="351">
        <v>0.1</v>
      </c>
      <c r="BJ156" s="351">
        <v>0.15</v>
      </c>
      <c r="BK156" s="351">
        <v>0.25</v>
      </c>
      <c r="BL156" s="351">
        <v>0.26</v>
      </c>
      <c r="BM156" s="351">
        <v>0.27</v>
      </c>
      <c r="BN156" s="351">
        <v>0.28000000000000003</v>
      </c>
      <c r="BO156" s="351">
        <v>0.28999999999999998</v>
      </c>
      <c r="BP156" s="351">
        <v>0.3</v>
      </c>
      <c r="BQ156" s="63" t="str">
        <f t="shared" si="423"/>
        <v>Not Started</v>
      </c>
      <c r="BR156" s="63" t="str">
        <f t="shared" si="423"/>
        <v>Not Started</v>
      </c>
      <c r="BS156" s="63" t="str">
        <f t="shared" si="423"/>
        <v>Not Started</v>
      </c>
      <c r="BT156" s="63" t="str">
        <f t="shared" si="423"/>
        <v>Not Started</v>
      </c>
      <c r="BU156" s="63" t="str">
        <f t="shared" si="423"/>
        <v>Not Started</v>
      </c>
      <c r="BV156" s="63" t="str">
        <f t="shared" si="423"/>
        <v>Not Started</v>
      </c>
      <c r="BW156" s="63" t="str">
        <f t="shared" si="423"/>
        <v>Not Started</v>
      </c>
      <c r="BX156" s="63" t="str">
        <f t="shared" si="423"/>
        <v>Not Started</v>
      </c>
      <c r="BY156" s="63" t="str">
        <f t="shared" si="423"/>
        <v>Not Started</v>
      </c>
      <c r="BZ156" s="63" t="str">
        <f t="shared" si="423"/>
        <v>Not Started</v>
      </c>
      <c r="CA156" s="63" t="str">
        <f t="shared" si="423"/>
        <v>Not Started</v>
      </c>
      <c r="CB156" s="63" t="str">
        <f t="shared" si="423"/>
        <v>Not Started</v>
      </c>
      <c r="CC156" s="44">
        <f t="shared" si="420"/>
        <v>0</v>
      </c>
      <c r="CD156" s="63"/>
      <c r="CE156" s="222"/>
      <c r="CF156" s="222"/>
      <c r="CG156" s="222"/>
      <c r="CH156" s="222"/>
      <c r="CI156" s="222"/>
      <c r="CJ156" s="222"/>
      <c r="CK156" s="222"/>
      <c r="CL156" s="44">
        <v>0</v>
      </c>
      <c r="CM156" s="44">
        <f t="shared" si="424"/>
        <v>0</v>
      </c>
      <c r="CN156" s="44">
        <f t="shared" si="424"/>
        <v>0</v>
      </c>
      <c r="CO156" s="45">
        <f t="shared" si="425"/>
        <v>1</v>
      </c>
      <c r="CP156" s="45">
        <f t="shared" si="425"/>
        <v>1</v>
      </c>
      <c r="CQ156" s="45">
        <f t="shared" si="425"/>
        <v>1</v>
      </c>
      <c r="CR156" s="45">
        <f t="shared" si="425"/>
        <v>0</v>
      </c>
      <c r="CS156" s="45">
        <f t="shared" si="425"/>
        <v>0</v>
      </c>
      <c r="CT156" s="45">
        <f t="shared" si="425"/>
        <v>0</v>
      </c>
      <c r="CU156" s="45">
        <f t="shared" si="425"/>
        <v>0</v>
      </c>
      <c r="CV156" s="45">
        <f t="shared" si="425"/>
        <v>0</v>
      </c>
      <c r="CW156" s="45">
        <f t="shared" si="425"/>
        <v>0</v>
      </c>
      <c r="CX156" s="45">
        <f t="shared" si="425"/>
        <v>0</v>
      </c>
      <c r="CY156" s="45">
        <f t="shared" si="418"/>
        <v>0</v>
      </c>
      <c r="CZ156" s="222"/>
      <c r="DA156" s="45" t="str">
        <f t="shared" si="426"/>
        <v>NS</v>
      </c>
      <c r="DB156" s="45" t="str">
        <f t="shared" si="426"/>
        <v>NS</v>
      </c>
      <c r="DC156" s="45" t="str">
        <f t="shared" si="426"/>
        <v>NS</v>
      </c>
      <c r="DD156" s="45" t="str">
        <f t="shared" si="426"/>
        <v>BS</v>
      </c>
      <c r="DE156" s="45" t="str">
        <f t="shared" si="426"/>
        <v>BS</v>
      </c>
      <c r="DF156" s="45" t="str">
        <f t="shared" si="426"/>
        <v>BS</v>
      </c>
      <c r="DG156" s="45" t="str">
        <f t="shared" si="426"/>
        <v>BS</v>
      </c>
      <c r="DH156" s="45" t="str">
        <f t="shared" si="426"/>
        <v>BS</v>
      </c>
      <c r="DI156" s="45" t="str">
        <f t="shared" si="426"/>
        <v>BS</v>
      </c>
      <c r="DJ156" s="45" t="str">
        <f t="shared" si="426"/>
        <v>BS</v>
      </c>
      <c r="DK156" s="45" t="str">
        <f t="shared" si="416"/>
        <v>BS</v>
      </c>
      <c r="DL156" s="45" t="str">
        <f t="shared" si="427"/>
        <v>BS</v>
      </c>
      <c r="DM156" s="45">
        <f t="shared" si="428"/>
        <v>0</v>
      </c>
      <c r="DN156" s="45">
        <f t="shared" si="428"/>
        <v>0</v>
      </c>
      <c r="DO156" s="45">
        <f t="shared" si="428"/>
        <v>0</v>
      </c>
      <c r="DP156" s="45">
        <f t="shared" si="428"/>
        <v>0</v>
      </c>
      <c r="DQ156" s="45">
        <f t="shared" si="428"/>
        <v>0</v>
      </c>
      <c r="DR156" s="45">
        <f t="shared" si="428"/>
        <v>0</v>
      </c>
      <c r="DS156" s="45">
        <f t="shared" si="428"/>
        <v>0</v>
      </c>
      <c r="DT156" s="45">
        <f t="shared" si="428"/>
        <v>0</v>
      </c>
      <c r="DU156" s="45">
        <f t="shared" si="428"/>
        <v>0</v>
      </c>
      <c r="DV156" s="45">
        <f t="shared" si="428"/>
        <v>0</v>
      </c>
      <c r="DW156" s="45">
        <f t="shared" si="428"/>
        <v>0</v>
      </c>
      <c r="DX156" s="45">
        <f t="shared" si="428"/>
        <v>0</v>
      </c>
      <c r="DY156" s="47"/>
      <c r="DZ156" s="47"/>
      <c r="EA156" s="47"/>
      <c r="EB156" s="47"/>
      <c r="EC156" s="47"/>
      <c r="ED156" s="47"/>
      <c r="EE156" s="47"/>
      <c r="EF156" s="404"/>
      <c r="EG156" s="404"/>
      <c r="EH156" s="47" t="s">
        <v>1487</v>
      </c>
      <c r="EI156" s="222"/>
      <c r="EJ156" s="59">
        <f t="shared" si="412"/>
        <v>46752</v>
      </c>
      <c r="EK156" s="63"/>
      <c r="EL156" s="63"/>
      <c r="EM156" s="63"/>
      <c r="EN156" s="222"/>
      <c r="EO156" s="222"/>
      <c r="EP156" s="222"/>
      <c r="EQ156" s="222"/>
      <c r="ER156" s="213"/>
      <c r="ES156" s="222"/>
      <c r="ET156" s="222"/>
      <c r="EU156" s="222"/>
      <c r="EV156" s="222"/>
      <c r="EW156" s="222"/>
      <c r="EX156" s="222"/>
      <c r="EY156" s="222"/>
      <c r="EZ156" s="222"/>
      <c r="FA156" s="222"/>
      <c r="FB156" s="222"/>
      <c r="FC156" s="222"/>
      <c r="FD156" s="222"/>
      <c r="FE156" s="222"/>
      <c r="FF156" s="222"/>
      <c r="FG156" s="222"/>
      <c r="FH156" s="222"/>
      <c r="FI156" s="222"/>
      <c r="FJ156" s="222"/>
      <c r="FK156" s="222"/>
      <c r="FL156" s="222"/>
      <c r="FM156" s="247"/>
      <c r="FN156" s="620" t="s">
        <v>180</v>
      </c>
      <c r="FO156" s="621"/>
      <c r="FP156" s="621"/>
      <c r="FQ156" s="621"/>
      <c r="FR156" s="273" t="s">
        <v>224</v>
      </c>
      <c r="FS156" s="273"/>
      <c r="FT156" s="273"/>
      <c r="FU156" s="291"/>
    </row>
    <row r="157" spans="1:177" s="401" customFormat="1" ht="112">
      <c r="A157" s="63"/>
      <c r="B157" s="340" t="s">
        <v>468</v>
      </c>
      <c r="C157" s="63" t="s">
        <v>206</v>
      </c>
      <c r="D157" s="225" t="s">
        <v>207</v>
      </c>
      <c r="E157" s="63" t="s">
        <v>1049</v>
      </c>
      <c r="F157" s="63">
        <v>1</v>
      </c>
      <c r="G157" s="222" t="s">
        <v>1050</v>
      </c>
      <c r="H157" s="222" t="s">
        <v>1051</v>
      </c>
      <c r="I157" s="222" t="s">
        <v>1051</v>
      </c>
      <c r="J157" s="63">
        <v>2026</v>
      </c>
      <c r="K157" s="63">
        <v>2027</v>
      </c>
      <c r="L157" s="63" t="s">
        <v>288</v>
      </c>
      <c r="M157" s="63" t="s">
        <v>173</v>
      </c>
      <c r="N157" s="63"/>
      <c r="O157" s="63" t="s">
        <v>587</v>
      </c>
      <c r="P157" s="63" t="s">
        <v>458</v>
      </c>
      <c r="Q157" s="63" t="s">
        <v>673</v>
      </c>
      <c r="R157" s="63" t="s">
        <v>1052</v>
      </c>
      <c r="S157" s="63" t="str">
        <f t="shared" si="414"/>
        <v>Not Started</v>
      </c>
      <c r="T157" s="63" t="str">
        <f t="shared" si="413"/>
        <v>Not Started</v>
      </c>
      <c r="U157" s="63" t="str">
        <f t="shared" si="421"/>
        <v>Rangga Dhaniarto</v>
      </c>
      <c r="V157" s="67">
        <f t="shared" si="415"/>
        <v>0</v>
      </c>
      <c r="W157" s="66" t="s">
        <v>314</v>
      </c>
      <c r="X157" s="59">
        <f t="shared" si="355"/>
        <v>46690</v>
      </c>
      <c r="Y157" s="400"/>
      <c r="Z157" s="48" t="s">
        <v>179</v>
      </c>
      <c r="AA157" s="62">
        <v>46204</v>
      </c>
      <c r="AB157" s="42">
        <v>46295</v>
      </c>
      <c r="AC157" s="42">
        <v>46296</v>
      </c>
      <c r="AD157" s="42">
        <v>46326</v>
      </c>
      <c r="AE157" s="42">
        <v>46296</v>
      </c>
      <c r="AF157" s="42">
        <v>46326</v>
      </c>
      <c r="AG157" s="42">
        <v>46327</v>
      </c>
      <c r="AH157" s="42">
        <v>46477</v>
      </c>
      <c r="AI157" s="42">
        <v>46478</v>
      </c>
      <c r="AJ157" s="42">
        <v>46507</v>
      </c>
      <c r="AK157" s="42">
        <v>46508</v>
      </c>
      <c r="AL157" s="42">
        <v>46599</v>
      </c>
      <c r="AM157" s="42">
        <v>46600</v>
      </c>
      <c r="AN157" s="42">
        <v>46630</v>
      </c>
      <c r="AO157" s="42">
        <v>46631</v>
      </c>
      <c r="AP157" s="42">
        <v>46660</v>
      </c>
      <c r="AQ157" s="42">
        <v>46661</v>
      </c>
      <c r="AR157" s="42">
        <v>46690</v>
      </c>
      <c r="AS157" s="63" t="str">
        <f t="shared" si="422"/>
        <v>Not Started</v>
      </c>
      <c r="AT157" s="63" t="str">
        <f t="shared" si="422"/>
        <v>Not Started</v>
      </c>
      <c r="AU157" s="63" t="str">
        <f t="shared" si="422"/>
        <v>Not Started</v>
      </c>
      <c r="AV157" s="63" t="str">
        <f t="shared" si="422"/>
        <v>Not Started</v>
      </c>
      <c r="AW157" s="63" t="str">
        <f t="shared" si="422"/>
        <v>Not Started</v>
      </c>
      <c r="AX157" s="63" t="str">
        <f t="shared" si="422"/>
        <v>Not Started</v>
      </c>
      <c r="AY157" s="63" t="str">
        <f t="shared" si="422"/>
        <v>Selesai RBT-RBB</v>
      </c>
      <c r="AZ157" s="63" t="str">
        <f t="shared" si="422"/>
        <v>Selesai RBT-RBL</v>
      </c>
      <c r="BA157" s="63" t="str">
        <f t="shared" si="422"/>
        <v>Selesai RBT-RBTD</v>
      </c>
      <c r="BB157" s="63" t="str">
        <f t="shared" si="422"/>
        <v>Selesai KAK</v>
      </c>
      <c r="BC157" s="63" t="str">
        <f t="shared" si="422"/>
        <v>Proses Pengadaan</v>
      </c>
      <c r="BD157" s="63" t="str">
        <f t="shared" si="422"/>
        <v>Proses Pengadaan</v>
      </c>
      <c r="BE157" s="351">
        <v>0</v>
      </c>
      <c r="BF157" s="351">
        <v>0</v>
      </c>
      <c r="BG157" s="351">
        <v>0</v>
      </c>
      <c r="BH157" s="351">
        <v>0</v>
      </c>
      <c r="BI157" s="351">
        <v>0</v>
      </c>
      <c r="BJ157" s="351">
        <v>0</v>
      </c>
      <c r="BK157" s="351">
        <v>0.05</v>
      </c>
      <c r="BL157" s="351">
        <v>0.1</v>
      </c>
      <c r="BM157" s="351">
        <v>0.15</v>
      </c>
      <c r="BN157" s="351">
        <v>0.25</v>
      </c>
      <c r="BO157" s="351">
        <v>0.26</v>
      </c>
      <c r="BP157" s="351">
        <v>0.27</v>
      </c>
      <c r="BQ157" s="63" t="str">
        <f t="shared" si="423"/>
        <v>Not Started</v>
      </c>
      <c r="BR157" s="63" t="str">
        <f t="shared" si="423"/>
        <v>Not Started</v>
      </c>
      <c r="BS157" s="63" t="str">
        <f t="shared" si="423"/>
        <v>Not Started</v>
      </c>
      <c r="BT157" s="63" t="str">
        <f t="shared" si="423"/>
        <v>Not Started</v>
      </c>
      <c r="BU157" s="63" t="str">
        <f t="shared" si="423"/>
        <v>Not Started</v>
      </c>
      <c r="BV157" s="63" t="str">
        <f t="shared" si="423"/>
        <v>Not Started</v>
      </c>
      <c r="BW157" s="63" t="str">
        <f t="shared" si="423"/>
        <v>Not Started</v>
      </c>
      <c r="BX157" s="63" t="str">
        <f t="shared" si="423"/>
        <v>Not Started</v>
      </c>
      <c r="BY157" s="63" t="str">
        <f t="shared" si="423"/>
        <v>Not Started</v>
      </c>
      <c r="BZ157" s="63" t="str">
        <f t="shared" si="423"/>
        <v>Not Started</v>
      </c>
      <c r="CA157" s="63" t="str">
        <f t="shared" si="423"/>
        <v>Not Started</v>
      </c>
      <c r="CB157" s="63" t="str">
        <f t="shared" si="423"/>
        <v>Not Started</v>
      </c>
      <c r="CC157" s="44">
        <f t="shared" si="420"/>
        <v>0</v>
      </c>
      <c r="CD157" s="63"/>
      <c r="CE157" s="222"/>
      <c r="CF157" s="222"/>
      <c r="CG157" s="222"/>
      <c r="CH157" s="222"/>
      <c r="CI157" s="222"/>
      <c r="CJ157" s="222"/>
      <c r="CK157" s="222"/>
      <c r="CL157" s="44">
        <v>0</v>
      </c>
      <c r="CM157" s="44">
        <f t="shared" si="424"/>
        <v>0</v>
      </c>
      <c r="CN157" s="44">
        <f t="shared" si="424"/>
        <v>0</v>
      </c>
      <c r="CO157" s="45">
        <f t="shared" si="425"/>
        <v>1</v>
      </c>
      <c r="CP157" s="45">
        <f t="shared" si="425"/>
        <v>1</v>
      </c>
      <c r="CQ157" s="45">
        <f t="shared" si="425"/>
        <v>1</v>
      </c>
      <c r="CR157" s="45">
        <f t="shared" si="425"/>
        <v>1</v>
      </c>
      <c r="CS157" s="45">
        <f t="shared" si="425"/>
        <v>1</v>
      </c>
      <c r="CT157" s="45">
        <f t="shared" si="425"/>
        <v>1</v>
      </c>
      <c r="CU157" s="45">
        <f t="shared" si="425"/>
        <v>0</v>
      </c>
      <c r="CV157" s="45">
        <f t="shared" si="425"/>
        <v>0</v>
      </c>
      <c r="CW157" s="45">
        <f t="shared" si="425"/>
        <v>0</v>
      </c>
      <c r="CX157" s="45">
        <f t="shared" si="425"/>
        <v>0</v>
      </c>
      <c r="CY157" s="45">
        <f t="shared" si="418"/>
        <v>0</v>
      </c>
      <c r="CZ157" s="222"/>
      <c r="DA157" s="45" t="str">
        <f t="shared" si="426"/>
        <v>NS</v>
      </c>
      <c r="DB157" s="45" t="str">
        <f t="shared" si="426"/>
        <v>NS</v>
      </c>
      <c r="DC157" s="45" t="str">
        <f t="shared" si="426"/>
        <v>NS</v>
      </c>
      <c r="DD157" s="45" t="str">
        <f t="shared" si="426"/>
        <v>NS</v>
      </c>
      <c r="DE157" s="45" t="str">
        <f t="shared" si="426"/>
        <v>NS</v>
      </c>
      <c r="DF157" s="45" t="str">
        <f t="shared" si="426"/>
        <v>NS</v>
      </c>
      <c r="DG157" s="45" t="str">
        <f t="shared" si="426"/>
        <v>BS</v>
      </c>
      <c r="DH157" s="45" t="str">
        <f t="shared" si="426"/>
        <v>BS</v>
      </c>
      <c r="DI157" s="45" t="str">
        <f t="shared" si="426"/>
        <v>BS</v>
      </c>
      <c r="DJ157" s="45" t="str">
        <f t="shared" si="426"/>
        <v>BS</v>
      </c>
      <c r="DK157" s="45" t="str">
        <f t="shared" si="416"/>
        <v>BS</v>
      </c>
      <c r="DL157" s="45" t="str">
        <f t="shared" si="427"/>
        <v>BS</v>
      </c>
      <c r="DM157" s="45">
        <f t="shared" si="428"/>
        <v>0</v>
      </c>
      <c r="DN157" s="45">
        <f t="shared" si="428"/>
        <v>0</v>
      </c>
      <c r="DO157" s="45">
        <f t="shared" si="428"/>
        <v>0</v>
      </c>
      <c r="DP157" s="45">
        <f t="shared" si="428"/>
        <v>0</v>
      </c>
      <c r="DQ157" s="45">
        <f t="shared" si="428"/>
        <v>0</v>
      </c>
      <c r="DR157" s="45">
        <f t="shared" si="428"/>
        <v>0</v>
      </c>
      <c r="DS157" s="45">
        <f t="shared" si="428"/>
        <v>0</v>
      </c>
      <c r="DT157" s="45">
        <f t="shared" si="428"/>
        <v>0</v>
      </c>
      <c r="DU157" s="45">
        <f t="shared" si="428"/>
        <v>0</v>
      </c>
      <c r="DV157" s="45">
        <f t="shared" si="428"/>
        <v>0</v>
      </c>
      <c r="DW157" s="45">
        <f t="shared" si="428"/>
        <v>0</v>
      </c>
      <c r="DX157" s="45">
        <f t="shared" si="428"/>
        <v>0</v>
      </c>
      <c r="DY157" s="47"/>
      <c r="DZ157" s="47"/>
      <c r="EA157" s="47"/>
      <c r="EB157" s="47"/>
      <c r="EC157" s="47"/>
      <c r="ED157" s="47"/>
      <c r="EE157" s="47"/>
      <c r="EF157" s="404"/>
      <c r="EG157" s="404"/>
      <c r="EH157" s="405" t="s">
        <v>1053</v>
      </c>
      <c r="EI157" s="222"/>
      <c r="EJ157" s="59">
        <f t="shared" si="412"/>
        <v>46690</v>
      </c>
      <c r="EK157" s="63"/>
      <c r="EL157" s="63"/>
      <c r="EM157" s="63"/>
      <c r="EN157" s="222"/>
      <c r="EO157" s="222"/>
      <c r="EP157" s="222"/>
      <c r="EQ157" s="222"/>
      <c r="ER157" s="213"/>
      <c r="ES157" s="222"/>
      <c r="ET157" s="222"/>
      <c r="EU157" s="222"/>
      <c r="EV157" s="222"/>
      <c r="EW157" s="222"/>
      <c r="EX157" s="222"/>
      <c r="EY157" s="222"/>
      <c r="EZ157" s="222"/>
      <c r="FA157" s="222"/>
      <c r="FB157" s="222"/>
      <c r="FC157" s="222"/>
      <c r="FD157" s="222"/>
      <c r="FE157" s="222"/>
      <c r="FF157" s="222"/>
      <c r="FG157" s="222"/>
      <c r="FH157" s="222"/>
      <c r="FI157" s="222"/>
      <c r="FJ157" s="222"/>
      <c r="FK157" s="222"/>
      <c r="FL157" s="222"/>
      <c r="FM157" s="618" t="s">
        <v>749</v>
      </c>
      <c r="FN157" s="626" t="s">
        <v>563</v>
      </c>
      <c r="FO157" s="624"/>
      <c r="FP157" s="624" t="s">
        <v>686</v>
      </c>
      <c r="FQ157" s="624"/>
      <c r="FR157" s="625" t="s">
        <v>184</v>
      </c>
      <c r="FS157" s="625"/>
      <c r="FT157" s="625" t="s">
        <v>1505</v>
      </c>
      <c r="FU157" s="356"/>
    </row>
  </sheetData>
  <sheetProtection formatCells="0" selectLockedCells="1" sort="0" autoFilter="0"/>
  <protectedRanges>
    <protectedRange algorithmName="SHA-512" hashValue="oq0iD7wGJiPobGeYTamab3BEQtEf6as3rTpzFM2YMGYICJ/jmhb0/GjfSWkfrGwejatbEVKuKh+Lq1Tt4ERskw==" saltValue="pgUEQa+/onRm6FBK4hSIgQ==" spinCount="100000" sqref="FQ157 FO157" name="Progress_3_1" securityDescriptor="O:WDG:WDD:(A;;CC;;;S-1-5-21-1706527325-4252852007-93515882-109103)(A;;CC;;;S-1-5-21-1706527325-4252852007-93515882-99536)(A;;CC;;;S-1-5-21-1706527325-4252852007-93515882-104912)(A;;CC;;;S-1-5-21-1706527325-4252852007-93515882-114773)(A;;CC;;;S-1-5-21-1706527325-4252852007-93515882-107699)(A;;CC;;;S-1-5-21-1706527325-4252852007-93515882-114724)(A;;CC;;;S-1-5-21-1706527325-4252852007-93515882-86635)"/>
    <protectedRange algorithmName="SHA-512" hashValue="oq0iD7wGJiPobGeYTamab3BEQtEf6as3rTpzFM2YMGYICJ/jmhb0/GjfSWkfrGwejatbEVKuKh+Lq1Tt4ERskw==" saltValue="pgUEQa+/onRm6FBK4hSIgQ==" spinCount="100000" sqref="FM60:FQ60 FM30 FM6:FQ6 FP30:FQ30 FQ62:FQ70" name="Progress_1_3" securityDescriptor="O:WDG:WDD:(A;;CC;;;S-1-5-21-1706527325-4252852007-93515882-109103)(A;;CC;;;S-1-5-21-1706527325-4252852007-93515882-99536)(A;;CC;;;S-1-5-21-1706527325-4252852007-93515882-104912)(A;;CC;;;S-1-5-21-1706527325-4252852007-93515882-114773)(A;;CC;;;S-1-5-21-1706527325-4252852007-93515882-107699)(A;;CC;;;S-1-5-21-1706527325-4252852007-93515882-114724)(A;;CC;;;S-1-5-21-1706527325-4252852007-93515882-86635)"/>
    <protectedRange algorithmName="SHA-512" hashValue="oq0iD7wGJiPobGeYTamab3BEQtEf6as3rTpzFM2YMGYICJ/jmhb0/GjfSWkfrGwejatbEVKuKh+Lq1Tt4ERskw==" saltValue="pgUEQa+/onRm6FBK4hSIgQ==" spinCount="100000" sqref="FQ71" name="Progress_2_2" securityDescriptor="O:WDG:WDD:(A;;CC;;;S-1-5-21-1706527325-4252852007-93515882-109103)(A;;CC;;;S-1-5-21-1706527325-4252852007-93515882-99536)(A;;CC;;;S-1-5-21-1706527325-4252852007-93515882-104912)(A;;CC;;;S-1-5-21-1706527325-4252852007-93515882-114773)(A;;CC;;;S-1-5-21-1706527325-4252852007-93515882-107699)(A;;CC;;;S-1-5-21-1706527325-4252852007-93515882-114724)(A;;CC;;;S-1-5-21-1706527325-4252852007-93515882-86635)"/>
    <protectedRange algorithmName="SHA-512" hashValue="oq0iD7wGJiPobGeYTamab3BEQtEf6as3rTpzFM2YMGYICJ/jmhb0/GjfSWkfrGwejatbEVKuKh+Lq1Tt4ERskw==" saltValue="pgUEQa+/onRm6FBK4hSIgQ==" spinCount="100000" sqref="FP3 FM25:FQ29" name="Progress_1_6" securityDescriptor="O:WDG:WDD:(A;;CC;;;S-1-5-21-1706527325-4252852007-93515882-109103)(A;;CC;;;S-1-5-21-1706527325-4252852007-93515882-99536)(A;;CC;;;S-1-5-21-1706527325-4252852007-93515882-104912)(A;;CC;;;S-1-5-21-1706527325-4252852007-93515882-114773)(A;;CC;;;S-1-5-21-1706527325-4252852007-93515882-107699)(A;;CC;;;S-1-5-21-1706527325-4252852007-93515882-114724)(A;;CC;;;S-1-5-21-1706527325-4252852007-93515882-86635)"/>
    <protectedRange algorithmName="SHA-512" hashValue="oq0iD7wGJiPobGeYTamab3BEQtEf6as3rTpzFM2YMGYICJ/jmhb0/GjfSWkfrGwejatbEVKuKh+Lq1Tt4ERskw==" saltValue="pgUEQa+/onRm6FBK4hSIgQ==" spinCount="100000" sqref="FP4 FO3:FO5 FO21" name="Progress_2_5" securityDescriptor="O:WDG:WDD:(A;;CC;;;S-1-5-21-1706527325-4252852007-93515882-109103)(A;;CC;;;S-1-5-21-1706527325-4252852007-93515882-99536)(A;;CC;;;S-1-5-21-1706527325-4252852007-93515882-104912)(A;;CC;;;S-1-5-21-1706527325-4252852007-93515882-114773)(A;;CC;;;S-1-5-21-1706527325-4252852007-93515882-107699)(A;;CC;;;S-1-5-21-1706527325-4252852007-93515882-114724)(A;;CC;;;S-1-5-21-1706527325-4252852007-93515882-86635)"/>
    <protectedRange algorithmName="SHA-512" hashValue="oq0iD7wGJiPobGeYTamab3BEQtEf6as3rTpzFM2YMGYICJ/jmhb0/GjfSWkfrGwejatbEVKuKh+Lq1Tt4ERskw==" saltValue="pgUEQa+/onRm6FBK4hSIgQ==" spinCount="100000" sqref="FQ3:FQ4 FM21:FN21 FM22:FQ22 FM3:FN5 FP5:FQ5 FP21:FQ21" name="Progress_3_5" securityDescriptor="O:WDG:WDD:(A;;CC;;;S-1-5-21-1706527325-4252852007-93515882-109103)(A;;CC;;;S-1-5-21-1706527325-4252852007-93515882-99536)(A;;CC;;;S-1-5-21-1706527325-4252852007-93515882-104912)(A;;CC;;;S-1-5-21-1706527325-4252852007-93515882-114773)(A;;CC;;;S-1-5-21-1706527325-4252852007-93515882-107699)(A;;CC;;;S-1-5-21-1706527325-4252852007-93515882-114724)(A;;CC;;;S-1-5-21-1706527325-4252852007-93515882-86635)"/>
    <protectedRange algorithmName="SHA-512" hashValue="oq0iD7wGJiPobGeYTamab3BEQtEf6as3rTpzFM2YMGYICJ/jmhb0/GjfSWkfrGwejatbEVKuKh+Lq1Tt4ERskw==" saltValue="pgUEQa+/onRm6FBK4hSIgQ==" spinCount="100000" sqref="FM31:FQ39 FN109 FM42:FN43 FP42:FQ43 FN30 FM40:FM41 FO40:FQ41" name="Progress_1_7" securityDescriptor="O:WDG:WDD:(A;;CC;;;S-1-5-21-1706527325-4252852007-93515882-109103)(A;;CC;;;S-1-5-21-1706527325-4252852007-93515882-99536)(A;;CC;;;S-1-5-21-1706527325-4252852007-93515882-104912)(A;;CC;;;S-1-5-21-1706527325-4252852007-93515882-114773)(A;;CC;;;S-1-5-21-1706527325-4252852007-93515882-107699)(A;;CC;;;S-1-5-21-1706527325-4252852007-93515882-114724)(A;;CC;;;S-1-5-21-1706527325-4252852007-93515882-86635)"/>
    <protectedRange algorithmName="SHA-512" hashValue="oq0iD7wGJiPobGeYTamab3BEQtEf6as3rTpzFM2YMGYICJ/jmhb0/GjfSWkfrGwejatbEVKuKh+Lq1Tt4ERskw==" saltValue="pgUEQa+/onRm6FBK4hSIgQ==" spinCount="100000" sqref="FM44:FQ45" name="Progress_1_8" securityDescriptor="O:WDG:WDD:(A;;CC;;;S-1-5-21-1706527325-4252852007-93515882-109103)(A;;CC;;;S-1-5-21-1706527325-4252852007-93515882-99536)(A;;CC;;;S-1-5-21-1706527325-4252852007-93515882-104912)(A;;CC;;;S-1-5-21-1706527325-4252852007-93515882-114773)(A;;CC;;;S-1-5-21-1706527325-4252852007-93515882-107699)(A;;CC;;;S-1-5-21-1706527325-4252852007-93515882-114724)(A;;CC;;;S-1-5-21-1706527325-4252852007-93515882-86635)"/>
    <protectedRange algorithmName="SHA-512" hashValue="oq0iD7wGJiPobGeYTamab3BEQtEf6as3rTpzFM2YMGYICJ/jmhb0/GjfSWkfrGwejatbEVKuKh+Lq1Tt4ERskw==" saltValue="pgUEQa+/onRm6FBK4hSIgQ==" spinCount="100000" sqref="FM59:FQ59 FQ56 FM56:FO58 FP57:FQ58 FM14:FQ20 FM46:FQ55 FM12:FM13 FO12:FQ13 FP64:FP68 FP119" name="Progress_1_10" securityDescriptor="O:WDG:WDD:(A;;CC;;;S-1-5-21-1706527325-4252852007-93515882-109103)(A;;CC;;;S-1-5-21-1706527325-4252852007-93515882-99536)(A;;CC;;;S-1-5-21-1706527325-4252852007-93515882-104912)(A;;CC;;;S-1-5-21-1706527325-4252852007-93515882-114773)(A;;CC;;;S-1-5-21-1706527325-4252852007-93515882-107699)(A;;CC;;;S-1-5-21-1706527325-4252852007-93515882-114724)(A;;CC;;;S-1-5-21-1706527325-4252852007-93515882-86635)"/>
    <protectedRange algorithmName="SHA-512" hashValue="oq0iD7wGJiPobGeYTamab3BEQtEf6as3rTpzFM2YMGYICJ/jmhb0/GjfSWkfrGwejatbEVKuKh+Lq1Tt4ERskw==" saltValue="pgUEQa+/onRm6FBK4hSIgQ==" spinCount="100000" sqref="FP56" name="Progress_2_7" securityDescriptor="O:WDG:WDD:(A;;CC;;;S-1-5-21-1706527325-4252852007-93515882-109103)(A;;CC;;;S-1-5-21-1706527325-4252852007-93515882-99536)(A;;CC;;;S-1-5-21-1706527325-4252852007-93515882-104912)(A;;CC;;;S-1-5-21-1706527325-4252852007-93515882-114773)(A;;CC;;;S-1-5-21-1706527325-4252852007-93515882-107699)(A;;CC;;;S-1-5-21-1706527325-4252852007-93515882-114724)(A;;CC;;;S-1-5-21-1706527325-4252852007-93515882-86635)"/>
    <protectedRange algorithmName="SHA-512" hashValue="oq0iD7wGJiPobGeYTamab3BEQtEf6as3rTpzFM2YMGYICJ/jmhb0/GjfSWkfrGwejatbEVKuKh+Lq1Tt4ERskw==" saltValue="pgUEQa+/onRm6FBK4hSIgQ==" spinCount="100000" sqref="FM69:FM70 FM61:FP63 FM64:FO68" name="Progress_1_11" securityDescriptor="O:WDG:WDD:(A;;CC;;;S-1-5-21-1706527325-4252852007-93515882-109103)(A;;CC;;;S-1-5-21-1706527325-4252852007-93515882-99536)(A;;CC;;;S-1-5-21-1706527325-4252852007-93515882-104912)(A;;CC;;;S-1-5-21-1706527325-4252852007-93515882-114773)(A;;CC;;;S-1-5-21-1706527325-4252852007-93515882-107699)(A;;CC;;;S-1-5-21-1706527325-4252852007-93515882-114724)(A;;CC;;;S-1-5-21-1706527325-4252852007-93515882-86635)"/>
    <protectedRange algorithmName="SHA-512" hashValue="oq0iD7wGJiPobGeYTamab3BEQtEf6as3rTpzFM2YMGYICJ/jmhb0/GjfSWkfrGwejatbEVKuKh+Lq1Tt4ERskw==" saltValue="pgUEQa+/onRm6FBK4hSIgQ==" spinCount="100000" sqref="FN69:FP70 FN74 FN78 FN138 FN71 FP71" name="Progress_2_8" securityDescriptor="O:WDG:WDD:(A;;CC;;;S-1-5-21-1706527325-4252852007-93515882-109103)(A;;CC;;;S-1-5-21-1706527325-4252852007-93515882-99536)(A;;CC;;;S-1-5-21-1706527325-4252852007-93515882-104912)(A;;CC;;;S-1-5-21-1706527325-4252852007-93515882-114773)(A;;CC;;;S-1-5-21-1706527325-4252852007-93515882-107699)(A;;CC;;;S-1-5-21-1706527325-4252852007-93515882-114724)(A;;CC;;;S-1-5-21-1706527325-4252852007-93515882-86635)"/>
    <protectedRange algorithmName="SHA-512" hashValue="oq0iD7wGJiPobGeYTamab3BEQtEf6as3rTpzFM2YMGYICJ/jmhb0/GjfSWkfrGwejatbEVKuKh+Lq1Tt4ERskw==" saltValue="pgUEQa+/onRm6FBK4hSIgQ==" spinCount="100000" sqref="FP110 FM139 FP138 FP136 FM71:FM75" name="Progress_1_12" securityDescriptor="O:WDG:WDD:(A;;CC;;;S-1-5-21-1706527325-4252852007-93515882-109103)(A;;CC;;;S-1-5-21-1706527325-4252852007-93515882-99536)(A;;CC;;;S-1-5-21-1706527325-4252852007-93515882-104912)(A;;CC;;;S-1-5-21-1706527325-4252852007-93515882-114773)(A;;CC;;;S-1-5-21-1706527325-4252852007-93515882-107699)(A;;CC;;;S-1-5-21-1706527325-4252852007-93515882-114724)(A;;CC;;;S-1-5-21-1706527325-4252852007-93515882-86635)"/>
    <protectedRange algorithmName="SHA-512" hashValue="oq0iD7wGJiPobGeYTamab3BEQtEf6as3rTpzFM2YMGYICJ/jmhb0/GjfSWkfrGwejatbEVKuKh+Lq1Tt4ERskw==" saltValue="pgUEQa+/onRm6FBK4hSIgQ==" spinCount="100000" sqref="FP98:FQ99 FM110:FO110 FQ110 FQ138 FM113 FN72:FQ73 FM91:FQ97 FM131:FQ135 FM137:FM138 FQ136 FM136:FO136 FP113 FM76:FQ76 FM111:FQ112 FM114:FQ114 FM100:FQ103 FP140:FP142 FO75:FQ75 FP74:FQ74 FN88:FN89 FN104 FN115 FM124:FN126 FO137:FQ137 FO138 FN141:FN142 FP87:FQ90 FO105:FQ109 FM119:FO119 FQ119 FM120:FQ123 FP124:FQ126 FP104 FP130 FP157 FM79:FQ86 FM104:FM109 FM116:FQ118 FM127:FQ129 FM130:FN130 FM157" name="Progress_2_9" securityDescriptor="O:WDG:WDD:(A;;CC;;;S-1-5-21-1706527325-4252852007-93515882-109103)(A;;CC;;;S-1-5-21-1706527325-4252852007-93515882-99536)(A;;CC;;;S-1-5-21-1706527325-4252852007-93515882-104912)(A;;CC;;;S-1-5-21-1706527325-4252852007-93515882-114773)(A;;CC;;;S-1-5-21-1706527325-4252852007-93515882-107699)(A;;CC;;;S-1-5-21-1706527325-4252852007-93515882-114724)(A;;CC;;;S-1-5-21-1706527325-4252852007-93515882-86635)"/>
    <protectedRange algorithmName="SHA-512" hashValue="oq0iD7wGJiPobGeYTamab3BEQtEf6as3rTpzFM2YMGYICJ/jmhb0/GjfSWkfrGwejatbEVKuKh+Lq1Tt4ERskw==" saltValue="pgUEQa+/onRm6FBK4hSIgQ==" spinCount="100000" sqref="FN139:FQ139 FQ140:FQ142 FM140:FO140 FM141:FM142 FO141:FO142 FM143:FQ146" name="Progress_3_6" securityDescriptor="O:WDG:WDD:(A;;CC;;;S-1-5-21-1706527325-4252852007-93515882-109103)(A;;CC;;;S-1-5-21-1706527325-4252852007-93515882-99536)(A;;CC;;;S-1-5-21-1706527325-4252852007-93515882-104912)(A;;CC;;;S-1-5-21-1706527325-4252852007-93515882-114773)(A;;CC;;;S-1-5-21-1706527325-4252852007-93515882-107699)(A;;CC;;;S-1-5-21-1706527325-4252852007-93515882-114724)(A;;CC;;;S-1-5-21-1706527325-4252852007-93515882-86635)"/>
    <protectedRange algorithmName="SHA-512" hashValue="oq0iD7wGJiPobGeYTamab3BEQtEf6as3rTpzFM2YMGYICJ/jmhb0/GjfSWkfrGwejatbEVKuKh+Lq1Tt4ERskw==" saltValue="pgUEQa+/onRm6FBK4hSIgQ==" spinCount="100000" sqref="FP153 FO148:FP149" name="Progress_2_10" securityDescriptor="O:WDG:WDD:(A;;CC;;;S-1-5-21-1706527325-4252852007-93515882-109103)(A;;CC;;;S-1-5-21-1706527325-4252852007-93515882-99536)(A;;CC;;;S-1-5-21-1706527325-4252852007-93515882-104912)(A;;CC;;;S-1-5-21-1706527325-4252852007-93515882-114773)(A;;CC;;;S-1-5-21-1706527325-4252852007-93515882-107699)(A;;CC;;;S-1-5-21-1706527325-4252852007-93515882-114724)(A;;CC;;;S-1-5-21-1706527325-4252852007-93515882-86635)"/>
    <protectedRange algorithmName="SHA-512" hashValue="oq0iD7wGJiPobGeYTamab3BEQtEf6as3rTpzFM2YMGYICJ/jmhb0/GjfSWkfrGwejatbEVKuKh+Lq1Tt4ERskw==" saltValue="pgUEQa+/onRm6FBK4hSIgQ==" spinCount="100000" sqref="FM153:FO153 FQ153 FM147:FQ147 FQ148:FQ149 FM148:FN149" name="Progress_3_7" securityDescriptor="O:WDG:WDD:(A;;CC;;;S-1-5-21-1706527325-4252852007-93515882-109103)(A;;CC;;;S-1-5-21-1706527325-4252852007-93515882-99536)(A;;CC;;;S-1-5-21-1706527325-4252852007-93515882-104912)(A;;CC;;;S-1-5-21-1706527325-4252852007-93515882-114773)(A;;CC;;;S-1-5-21-1706527325-4252852007-93515882-107699)(A;;CC;;;S-1-5-21-1706527325-4252852007-93515882-114724)(A;;CC;;;S-1-5-21-1706527325-4252852007-93515882-86635)"/>
  </protectedRanges>
  <autoFilter ref="A2:FU157" xr:uid="{5478C329-C6EC-4E89-962D-67ADF4EFECC6}"/>
  <mergeCells count="19">
    <mergeCell ref="FA1:FL1"/>
    <mergeCell ref="CC1:CN1"/>
    <mergeCell ref="CO1:CZ1"/>
    <mergeCell ref="DA1:DL1"/>
    <mergeCell ref="DM1:DX1"/>
    <mergeCell ref="DY1:EG1"/>
    <mergeCell ref="EO1:EZ1"/>
    <mergeCell ref="BQ1:CB1"/>
    <mergeCell ref="AA1:AB1"/>
    <mergeCell ref="AC1:AD1"/>
    <mergeCell ref="AE1:AF1"/>
    <mergeCell ref="AG1:AH1"/>
    <mergeCell ref="AI1:AJ1"/>
    <mergeCell ref="AK1:AL1"/>
    <mergeCell ref="AM1:AN1"/>
    <mergeCell ref="AO1:AP1"/>
    <mergeCell ref="AQ1:AR1"/>
    <mergeCell ref="AS1:BD1"/>
    <mergeCell ref="BE1:BP1"/>
  </mergeCells>
  <phoneticPr fontId="14" type="noConversion"/>
  <conditionalFormatting sqref="X3:X65 X68:X157">
    <cfRule type="cellIs" dxfId="5" priority="2" operator="lessThan">
      <formula>#REF!</formula>
    </cfRule>
  </conditionalFormatting>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44623-7065-4805-933A-E30437E86257}">
  <dimension ref="A1:E20"/>
  <sheetViews>
    <sheetView topLeftCell="A13" workbookViewId="0">
      <selection activeCell="E20" sqref="E20"/>
    </sheetView>
  </sheetViews>
  <sheetFormatPr defaultRowHeight="14.5"/>
  <cols>
    <col min="1" max="1" width="3.453125" bestFit="1" customWidth="1"/>
    <col min="2" max="2" width="50.1796875" customWidth="1"/>
    <col min="3" max="3" width="30.1796875" customWidth="1"/>
    <col min="5" max="5" width="63.54296875" customWidth="1"/>
  </cols>
  <sheetData>
    <row r="1" spans="1:5">
      <c r="A1" s="499" t="s">
        <v>58</v>
      </c>
      <c r="B1" s="499" t="s">
        <v>1054</v>
      </c>
      <c r="C1" s="499" t="s">
        <v>458</v>
      </c>
      <c r="D1" s="499" t="s">
        <v>74</v>
      </c>
    </row>
    <row r="2" spans="1:5" ht="81.75" customHeight="1" thickBot="1">
      <c r="A2" s="495">
        <v>1</v>
      </c>
      <c r="B2" s="496" t="s">
        <v>1055</v>
      </c>
      <c r="C2" s="500" t="s">
        <v>259</v>
      </c>
      <c r="D2" s="500" t="s">
        <v>1056</v>
      </c>
      <c r="E2" s="503" t="s">
        <v>1057</v>
      </c>
    </row>
    <row r="3" spans="1:5" ht="29.5" thickBot="1">
      <c r="A3" s="495">
        <v>2</v>
      </c>
      <c r="B3" s="496" t="s">
        <v>1058</v>
      </c>
      <c r="C3" s="498" t="s">
        <v>227</v>
      </c>
      <c r="D3" s="500" t="s">
        <v>1056</v>
      </c>
      <c r="E3" s="503" t="s">
        <v>1059</v>
      </c>
    </row>
    <row r="4" spans="1:5" ht="29.5" thickBot="1">
      <c r="A4" s="495">
        <v>3</v>
      </c>
      <c r="B4" s="497" t="s">
        <v>295</v>
      </c>
      <c r="C4" s="498" t="s">
        <v>1060</v>
      </c>
      <c r="D4" s="500" t="s">
        <v>1061</v>
      </c>
      <c r="E4" s="504" t="s">
        <v>1062</v>
      </c>
    </row>
    <row r="5" spans="1:5" ht="29.5" thickBot="1">
      <c r="A5" s="495">
        <v>4</v>
      </c>
      <c r="B5" s="496" t="s">
        <v>306</v>
      </c>
      <c r="C5" s="498" t="s">
        <v>1063</v>
      </c>
      <c r="D5" s="500" t="s">
        <v>1064</v>
      </c>
      <c r="E5" s="504" t="s">
        <v>1065</v>
      </c>
    </row>
    <row r="6" spans="1:5" ht="44" thickBot="1">
      <c r="A6" s="495">
        <v>5</v>
      </c>
      <c r="B6" s="496" t="s">
        <v>31</v>
      </c>
      <c r="C6" s="498" t="s">
        <v>1066</v>
      </c>
      <c r="D6" s="500" t="s">
        <v>1056</v>
      </c>
      <c r="E6" s="504" t="s">
        <v>1067</v>
      </c>
    </row>
    <row r="7" spans="1:5" ht="15" thickBot="1">
      <c r="A7" s="495">
        <v>6</v>
      </c>
      <c r="B7" s="496" t="s">
        <v>755</v>
      </c>
      <c r="C7" s="498" t="s">
        <v>747</v>
      </c>
      <c r="D7" s="500" t="s">
        <v>1068</v>
      </c>
      <c r="E7" s="486" t="s">
        <v>1069</v>
      </c>
    </row>
    <row r="8" spans="1:5" ht="26.5" thickBot="1">
      <c r="A8" s="495">
        <v>7</v>
      </c>
      <c r="B8" s="496" t="s">
        <v>1070</v>
      </c>
      <c r="C8" s="498" t="s">
        <v>1071</v>
      </c>
      <c r="D8" s="500" t="s">
        <v>1061</v>
      </c>
      <c r="E8" s="486" t="s">
        <v>1072</v>
      </c>
    </row>
    <row r="9" spans="1:5" ht="15" thickBot="1">
      <c r="A9" s="495">
        <v>8</v>
      </c>
      <c r="B9" s="496" t="s">
        <v>782</v>
      </c>
      <c r="C9" s="498" t="s">
        <v>1009</v>
      </c>
      <c r="D9" s="500" t="s">
        <v>1056</v>
      </c>
      <c r="E9" s="486" t="s">
        <v>1073</v>
      </c>
    </row>
    <row r="10" spans="1:5" ht="29.5" thickBot="1">
      <c r="A10" s="495">
        <v>9</v>
      </c>
      <c r="B10" s="496" t="s">
        <v>791</v>
      </c>
      <c r="C10" s="498" t="s">
        <v>1074</v>
      </c>
      <c r="D10" s="500" t="s">
        <v>1075</v>
      </c>
      <c r="E10" s="505" t="s">
        <v>1076</v>
      </c>
    </row>
    <row r="11" spans="1:5" ht="15" thickBot="1">
      <c r="A11" s="495">
        <v>10</v>
      </c>
      <c r="B11" s="496" t="s">
        <v>880</v>
      </c>
      <c r="C11" s="498" t="s">
        <v>876</v>
      </c>
      <c r="D11" s="500" t="s">
        <v>1068</v>
      </c>
      <c r="E11" s="486" t="s">
        <v>1077</v>
      </c>
    </row>
    <row r="12" spans="1:5" ht="29.5" thickBot="1">
      <c r="A12" s="495">
        <v>11</v>
      </c>
      <c r="B12" s="496" t="s">
        <v>997</v>
      </c>
      <c r="C12" s="501" t="s">
        <v>1078</v>
      </c>
      <c r="D12" s="500" t="s">
        <v>1079</v>
      </c>
      <c r="E12" s="505" t="s">
        <v>1080</v>
      </c>
    </row>
    <row r="13" spans="1:5" ht="15.5" thickBot="1">
      <c r="A13" s="495">
        <v>12</v>
      </c>
      <c r="B13" s="496" t="s">
        <v>1081</v>
      </c>
      <c r="C13" s="501" t="s">
        <v>1082</v>
      </c>
      <c r="D13" s="500" t="s">
        <v>1064</v>
      </c>
      <c r="E13" s="486" t="s">
        <v>1083</v>
      </c>
    </row>
    <row r="14" spans="1:5" ht="29.5" thickBot="1">
      <c r="A14" s="495">
        <v>13</v>
      </c>
      <c r="B14" s="496" t="s">
        <v>171</v>
      </c>
      <c r="C14" s="498" t="s">
        <v>1084</v>
      </c>
      <c r="D14" s="500" t="s">
        <v>1075</v>
      </c>
      <c r="E14" s="504" t="s">
        <v>1085</v>
      </c>
    </row>
    <row r="15" spans="1:5" ht="15" thickBot="1">
      <c r="A15" s="495">
        <v>14</v>
      </c>
      <c r="B15" s="496" t="s">
        <v>342</v>
      </c>
      <c r="C15" s="498" t="s">
        <v>343</v>
      </c>
      <c r="D15" s="500" t="s">
        <v>1061</v>
      </c>
      <c r="E15" s="486" t="s">
        <v>1086</v>
      </c>
    </row>
    <row r="16" spans="1:5" ht="26.5" thickBot="1">
      <c r="A16" s="495">
        <v>15</v>
      </c>
      <c r="B16" s="496" t="s">
        <v>1087</v>
      </c>
      <c r="C16" s="498" t="s">
        <v>1088</v>
      </c>
      <c r="D16" s="500" t="s">
        <v>1061</v>
      </c>
      <c r="E16" t="s">
        <v>1089</v>
      </c>
    </row>
    <row r="17" spans="1:5" ht="15" thickBot="1">
      <c r="A17" s="495">
        <v>16</v>
      </c>
      <c r="B17" s="496" t="s">
        <v>812</v>
      </c>
      <c r="C17" s="498" t="s">
        <v>580</v>
      </c>
      <c r="D17" s="500" t="s">
        <v>1061</v>
      </c>
      <c r="E17" t="s">
        <v>1089</v>
      </c>
    </row>
    <row r="18" spans="1:5" ht="58.5" thickBot="1">
      <c r="A18" s="495">
        <v>17</v>
      </c>
      <c r="B18" s="496" t="s">
        <v>867</v>
      </c>
      <c r="C18" s="498" t="s">
        <v>1090</v>
      </c>
      <c r="D18" s="500" t="s">
        <v>1079</v>
      </c>
      <c r="E18" s="505" t="s">
        <v>1091</v>
      </c>
    </row>
    <row r="19" spans="1:5" ht="15" thickBot="1">
      <c r="A19" s="495">
        <v>18</v>
      </c>
      <c r="B19" s="496" t="s">
        <v>884</v>
      </c>
      <c r="C19" s="498" t="s">
        <v>542</v>
      </c>
      <c r="D19" s="500" t="s">
        <v>1075</v>
      </c>
      <c r="E19" s="486" t="s">
        <v>1092</v>
      </c>
    </row>
    <row r="20" spans="1:5" ht="27.5" thickBot="1">
      <c r="A20" s="495">
        <v>19</v>
      </c>
      <c r="B20" s="496" t="s">
        <v>1043</v>
      </c>
      <c r="C20" s="502" t="s">
        <v>1093</v>
      </c>
      <c r="D20" s="500" t="s">
        <v>1094</v>
      </c>
      <c r="E20" s="486" t="s">
        <v>1095</v>
      </c>
    </row>
  </sheetData>
  <autoFilter ref="A1:D1" xr:uid="{BF044623-7065-4805-933A-E30437E86257}"/>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61DC2-DC5D-47E0-BDAD-1998D3AB5ADE}">
  <dimension ref="A1:FU240"/>
  <sheetViews>
    <sheetView zoomScale="64" zoomScaleNormal="80" workbookViewId="0">
      <pane xSplit="4" ySplit="2" topLeftCell="K3" activePane="bottomRight" state="frozen"/>
      <selection pane="topRight" activeCell="I1" sqref="I1"/>
      <selection pane="bottomLeft" activeCell="A3" sqref="A3"/>
      <selection pane="bottomRight" activeCell="N50" sqref="N50"/>
    </sheetView>
  </sheetViews>
  <sheetFormatPr defaultColWidth="8.54296875" defaultRowHeight="14.5"/>
  <cols>
    <col min="1" max="2" width="8.54296875" style="5" customWidth="1"/>
    <col min="3" max="3" width="25.81640625" style="5" customWidth="1"/>
    <col min="4" max="4" width="34" style="5" customWidth="1"/>
    <col min="5" max="6" width="12.54296875" style="5" customWidth="1"/>
    <col min="7" max="7" width="17" style="5" customWidth="1"/>
    <col min="8" max="14" width="14.453125" style="5" customWidth="1"/>
    <col min="15" max="15" width="13.453125" style="5" hidden="1" customWidth="1"/>
    <col min="16" max="16" width="12.54296875" style="5" hidden="1" customWidth="1"/>
    <col min="17" max="17" width="13.54296875" style="5" customWidth="1"/>
    <col min="18" max="18" width="9.54296875" style="5" customWidth="1"/>
    <col min="19" max="22" width="11.54296875" style="5" bestFit="1" customWidth="1"/>
    <col min="23" max="24" width="12.453125" style="5" bestFit="1" customWidth="1"/>
    <col min="25" max="27" width="8.54296875" style="5" hidden="1" customWidth="1"/>
    <col min="28" max="36" width="8.54296875" style="15" hidden="1" customWidth="1"/>
    <col min="37" max="39" width="8.54296875" style="5" hidden="1" customWidth="1"/>
    <col min="40" max="48" width="8.54296875" style="15" hidden="1" customWidth="1"/>
    <col min="49" max="51" width="8.54296875" style="5" hidden="1" customWidth="1"/>
    <col min="52" max="60" width="8.54296875" style="15" hidden="1" customWidth="1"/>
    <col min="61" max="63" width="8.54296875" style="5" hidden="1" customWidth="1"/>
    <col min="64" max="72" width="8.54296875" style="15" hidden="1" customWidth="1"/>
    <col min="73" max="75" width="8.54296875" style="5" hidden="1" customWidth="1"/>
    <col min="76" max="84" width="8.54296875" style="15" hidden="1" customWidth="1"/>
    <col min="85" max="87" width="8.54296875" style="5" hidden="1" customWidth="1"/>
    <col min="88" max="96" width="8.54296875" style="15" hidden="1" customWidth="1"/>
    <col min="97" max="99" width="8.54296875" style="5" hidden="1" customWidth="1"/>
    <col min="100" max="108" width="8.54296875" style="15" hidden="1" customWidth="1"/>
    <col min="109" max="109" width="9.81640625" style="5" customWidth="1"/>
    <col min="110" max="110" width="10.1796875" style="5" customWidth="1"/>
    <col min="111" max="111" width="10.81640625" style="5" customWidth="1"/>
    <col min="112" max="112" width="13.54296875" style="5" customWidth="1"/>
    <col min="113" max="113" width="75.453125" style="5" customWidth="1"/>
    <col min="114" max="114" width="12.453125" style="5" customWidth="1"/>
    <col min="115" max="115" width="14.54296875" style="5" customWidth="1"/>
    <col min="116" max="116" width="28.453125" style="5" customWidth="1"/>
    <col min="117" max="120" width="8.54296875" style="5" hidden="1" customWidth="1"/>
    <col min="121" max="121" width="9.1796875" style="5" hidden="1" customWidth="1"/>
    <col min="122" max="125" width="8.54296875" style="5" hidden="1" customWidth="1"/>
    <col min="126" max="128" width="8.54296875" style="5" customWidth="1"/>
    <col min="129" max="137" width="8.54296875" style="5" hidden="1" customWidth="1"/>
    <col min="138" max="138" width="9" style="5" customWidth="1"/>
    <col min="139" max="140" width="9.453125" style="5" customWidth="1"/>
    <col min="141" max="141" width="8.54296875" style="5"/>
    <col min="142" max="142" width="19" style="5" bestFit="1" customWidth="1"/>
    <col min="143" max="146" width="8.54296875" style="5"/>
    <col min="147" max="16384" width="8.54296875" style="3"/>
  </cols>
  <sheetData>
    <row r="1" spans="1:155" s="1" customFormat="1" ht="32.9" customHeight="1">
      <c r="A1" s="125" t="s">
        <v>58</v>
      </c>
      <c r="B1" s="125" t="s">
        <v>59</v>
      </c>
      <c r="C1" s="125" t="s">
        <v>1096</v>
      </c>
      <c r="D1" s="126" t="s">
        <v>62</v>
      </c>
      <c r="E1" s="125" t="s">
        <v>63</v>
      </c>
      <c r="F1" s="125" t="s">
        <v>64</v>
      </c>
      <c r="G1" s="125" t="s">
        <v>68</v>
      </c>
      <c r="H1" s="125" t="s">
        <v>70</v>
      </c>
      <c r="I1" s="125" t="s">
        <v>71</v>
      </c>
      <c r="J1" s="125" t="s">
        <v>106</v>
      </c>
      <c r="K1" s="125" t="s">
        <v>72</v>
      </c>
      <c r="L1" s="125" t="s">
        <v>73</v>
      </c>
      <c r="M1" s="125" t="s">
        <v>77</v>
      </c>
      <c r="N1" s="125" t="s">
        <v>75</v>
      </c>
      <c r="O1" s="22" t="s">
        <v>78</v>
      </c>
      <c r="P1" s="22" t="s">
        <v>1097</v>
      </c>
      <c r="Q1" s="979" t="s">
        <v>1098</v>
      </c>
      <c r="R1" s="979"/>
      <c r="S1" s="979" t="s">
        <v>1099</v>
      </c>
      <c r="T1" s="979"/>
      <c r="U1" s="979" t="s">
        <v>1100</v>
      </c>
      <c r="V1" s="979"/>
      <c r="W1" s="980" t="s">
        <v>1101</v>
      </c>
      <c r="X1" s="980"/>
      <c r="Y1" s="981" t="s">
        <v>89</v>
      </c>
      <c r="Z1" s="981"/>
      <c r="AA1" s="981"/>
      <c r="AB1" s="982"/>
      <c r="AC1" s="982"/>
      <c r="AD1" s="982"/>
      <c r="AE1" s="982"/>
      <c r="AF1" s="982"/>
      <c r="AG1" s="982"/>
      <c r="AH1" s="982"/>
      <c r="AI1" s="982"/>
      <c r="AJ1" s="982"/>
      <c r="AK1" s="977" t="s">
        <v>90</v>
      </c>
      <c r="AL1" s="977"/>
      <c r="AM1" s="977"/>
      <c r="AN1" s="978"/>
      <c r="AO1" s="978"/>
      <c r="AP1" s="978"/>
      <c r="AQ1" s="978"/>
      <c r="AR1" s="978"/>
      <c r="AS1" s="978"/>
      <c r="AT1" s="978"/>
      <c r="AU1" s="978"/>
      <c r="AV1" s="978"/>
      <c r="AW1" s="981" t="s">
        <v>91</v>
      </c>
      <c r="AX1" s="981"/>
      <c r="AY1" s="981"/>
      <c r="AZ1" s="982"/>
      <c r="BA1" s="982"/>
      <c r="BB1" s="982"/>
      <c r="BC1" s="982"/>
      <c r="BD1" s="982"/>
      <c r="BE1" s="982"/>
      <c r="BF1" s="982"/>
      <c r="BG1" s="982"/>
      <c r="BH1" s="982"/>
      <c r="BI1" s="981" t="s">
        <v>92</v>
      </c>
      <c r="BJ1" s="981"/>
      <c r="BK1" s="981"/>
      <c r="BL1" s="982"/>
      <c r="BM1" s="982"/>
      <c r="BN1" s="982"/>
      <c r="BO1" s="982"/>
      <c r="BP1" s="982"/>
      <c r="BQ1" s="982"/>
      <c r="BR1" s="982"/>
      <c r="BS1" s="982"/>
      <c r="BT1" s="982"/>
      <c r="BU1" s="981" t="s">
        <v>93</v>
      </c>
      <c r="BV1" s="981"/>
      <c r="BW1" s="981"/>
      <c r="BX1" s="982"/>
      <c r="BY1" s="982"/>
      <c r="BZ1" s="982"/>
      <c r="CA1" s="982"/>
      <c r="CB1" s="982"/>
      <c r="CC1" s="982"/>
      <c r="CD1" s="982"/>
      <c r="CE1" s="982"/>
      <c r="CF1" s="982"/>
      <c r="CG1" s="981" t="s">
        <v>94</v>
      </c>
      <c r="CH1" s="981"/>
      <c r="CI1" s="981"/>
      <c r="CJ1" s="982"/>
      <c r="CK1" s="982"/>
      <c r="CL1" s="982"/>
      <c r="CM1" s="982"/>
      <c r="CN1" s="982"/>
      <c r="CO1" s="982"/>
      <c r="CP1" s="982"/>
      <c r="CQ1" s="982"/>
      <c r="CR1" s="982"/>
      <c r="CS1" s="981" t="s">
        <v>1102</v>
      </c>
      <c r="CT1" s="981"/>
      <c r="CU1" s="981"/>
      <c r="CV1" s="982"/>
      <c r="CW1" s="982"/>
      <c r="CX1" s="982"/>
      <c r="CY1" s="982"/>
      <c r="CZ1" s="982"/>
      <c r="DA1" s="982"/>
      <c r="DB1" s="982"/>
      <c r="DC1" s="982"/>
      <c r="DD1" s="982"/>
      <c r="DE1" s="984" t="s">
        <v>96</v>
      </c>
      <c r="DF1" s="984"/>
      <c r="DG1" s="984"/>
      <c r="DH1" s="984"/>
      <c r="DI1" s="23" t="s">
        <v>97</v>
      </c>
      <c r="DJ1" s="24" t="s">
        <v>98</v>
      </c>
      <c r="DK1" s="25" t="s">
        <v>77</v>
      </c>
      <c r="DL1" s="25" t="s">
        <v>102</v>
      </c>
      <c r="DM1" s="983" t="s">
        <v>103</v>
      </c>
      <c r="DN1" s="983"/>
      <c r="DO1" s="983"/>
      <c r="DP1" s="983"/>
      <c r="DQ1" s="983"/>
      <c r="DR1" s="983"/>
      <c r="DS1" s="983"/>
      <c r="DT1" s="983"/>
      <c r="DU1" s="983"/>
      <c r="DV1" s="983"/>
      <c r="DW1" s="983"/>
      <c r="DX1" s="983"/>
      <c r="DY1" s="983" t="s">
        <v>104</v>
      </c>
      <c r="DZ1" s="983"/>
      <c r="EA1" s="983"/>
      <c r="EB1" s="983"/>
      <c r="EC1" s="983"/>
      <c r="ED1" s="983"/>
      <c r="EE1" s="983"/>
      <c r="EF1" s="983"/>
      <c r="EG1" s="983"/>
      <c r="EH1" s="983"/>
      <c r="EI1" s="983"/>
      <c r="EJ1" s="983"/>
      <c r="EK1" s="26" t="s">
        <v>1103</v>
      </c>
      <c r="EL1" s="26" t="s">
        <v>1104</v>
      </c>
      <c r="EM1" s="26" t="s">
        <v>1105</v>
      </c>
      <c r="EN1" s="26" t="s">
        <v>110</v>
      </c>
      <c r="EO1" s="26" t="s">
        <v>111</v>
      </c>
      <c r="EP1" s="26" t="s">
        <v>112</v>
      </c>
      <c r="EQ1" s="11"/>
      <c r="ER1" s="11"/>
      <c r="ES1" s="11"/>
      <c r="ET1" s="11"/>
      <c r="EU1" s="11"/>
      <c r="EV1" s="11"/>
      <c r="EW1" s="11"/>
      <c r="EX1" s="11"/>
      <c r="EY1" s="11"/>
    </row>
    <row r="2" spans="1:155" ht="29">
      <c r="A2" s="27" t="s">
        <v>114</v>
      </c>
      <c r="B2" s="76" t="s">
        <v>115</v>
      </c>
      <c r="C2" s="76" t="s">
        <v>120</v>
      </c>
      <c r="D2" s="76" t="s">
        <v>121</v>
      </c>
      <c r="E2" s="76" t="s">
        <v>122</v>
      </c>
      <c r="F2" s="76" t="s">
        <v>123</v>
      </c>
      <c r="G2" s="76" t="s">
        <v>127</v>
      </c>
      <c r="H2" s="76" t="s">
        <v>129</v>
      </c>
      <c r="I2" s="76" t="s">
        <v>130</v>
      </c>
      <c r="J2" s="76"/>
      <c r="K2" s="76" t="s">
        <v>131</v>
      </c>
      <c r="L2" s="76" t="s">
        <v>132</v>
      </c>
      <c r="M2" s="76" t="s">
        <v>134</v>
      </c>
      <c r="N2" s="76" t="s">
        <v>135</v>
      </c>
      <c r="O2" s="76" t="s">
        <v>136</v>
      </c>
      <c r="P2" s="76" t="s">
        <v>1106</v>
      </c>
      <c r="Q2" s="76" t="s">
        <v>137</v>
      </c>
      <c r="R2" s="76" t="s">
        <v>138</v>
      </c>
      <c r="S2" s="76" t="s">
        <v>137</v>
      </c>
      <c r="T2" s="76" t="s">
        <v>138</v>
      </c>
      <c r="U2" s="76" t="s">
        <v>137</v>
      </c>
      <c r="V2" s="76" t="s">
        <v>138</v>
      </c>
      <c r="W2" s="76" t="s">
        <v>137</v>
      </c>
      <c r="X2" s="76" t="s">
        <v>138</v>
      </c>
      <c r="Y2" s="77" t="s">
        <v>2</v>
      </c>
      <c r="Z2" s="77" t="s">
        <v>3</v>
      </c>
      <c r="AA2" s="77" t="s">
        <v>4</v>
      </c>
      <c r="AB2" s="78" t="s">
        <v>5</v>
      </c>
      <c r="AC2" s="78" t="s">
        <v>6</v>
      </c>
      <c r="AD2" s="78" t="s">
        <v>7</v>
      </c>
      <c r="AE2" s="78" t="s">
        <v>8</v>
      </c>
      <c r="AF2" s="78" t="s">
        <v>9</v>
      </c>
      <c r="AG2" s="78" t="s">
        <v>10</v>
      </c>
      <c r="AH2" s="78" t="s">
        <v>11</v>
      </c>
      <c r="AI2" s="78" t="s">
        <v>12</v>
      </c>
      <c r="AJ2" s="78" t="s">
        <v>13</v>
      </c>
      <c r="AK2" s="77" t="s">
        <v>2</v>
      </c>
      <c r="AL2" s="77" t="s">
        <v>3</v>
      </c>
      <c r="AM2" s="77" t="s">
        <v>4</v>
      </c>
      <c r="AN2" s="78" t="s">
        <v>5</v>
      </c>
      <c r="AO2" s="78" t="s">
        <v>6</v>
      </c>
      <c r="AP2" s="78" t="s">
        <v>7</v>
      </c>
      <c r="AQ2" s="78" t="s">
        <v>8</v>
      </c>
      <c r="AR2" s="78" t="s">
        <v>9</v>
      </c>
      <c r="AS2" s="78" t="s">
        <v>10</v>
      </c>
      <c r="AT2" s="78" t="s">
        <v>11</v>
      </c>
      <c r="AU2" s="78" t="s">
        <v>12</v>
      </c>
      <c r="AV2" s="78" t="s">
        <v>13</v>
      </c>
      <c r="AW2" s="77" t="s">
        <v>2</v>
      </c>
      <c r="AX2" s="77" t="s">
        <v>3</v>
      </c>
      <c r="AY2" s="77" t="s">
        <v>4</v>
      </c>
      <c r="AZ2" s="78" t="s">
        <v>5</v>
      </c>
      <c r="BA2" s="78" t="s">
        <v>6</v>
      </c>
      <c r="BB2" s="78" t="s">
        <v>7</v>
      </c>
      <c r="BC2" s="78" t="s">
        <v>8</v>
      </c>
      <c r="BD2" s="78" t="s">
        <v>9</v>
      </c>
      <c r="BE2" s="78" t="s">
        <v>10</v>
      </c>
      <c r="BF2" s="78" t="s">
        <v>11</v>
      </c>
      <c r="BG2" s="78" t="s">
        <v>12</v>
      </c>
      <c r="BH2" s="78" t="s">
        <v>13</v>
      </c>
      <c r="BI2" s="77" t="s">
        <v>2</v>
      </c>
      <c r="BJ2" s="77" t="s">
        <v>3</v>
      </c>
      <c r="BK2" s="77" t="s">
        <v>4</v>
      </c>
      <c r="BL2" s="78" t="s">
        <v>5</v>
      </c>
      <c r="BM2" s="78" t="s">
        <v>6</v>
      </c>
      <c r="BN2" s="78" t="s">
        <v>7</v>
      </c>
      <c r="BO2" s="78" t="s">
        <v>8</v>
      </c>
      <c r="BP2" s="78" t="s">
        <v>9</v>
      </c>
      <c r="BQ2" s="78" t="s">
        <v>10</v>
      </c>
      <c r="BR2" s="78" t="s">
        <v>11</v>
      </c>
      <c r="BS2" s="78" t="s">
        <v>12</v>
      </c>
      <c r="BT2" s="78" t="s">
        <v>13</v>
      </c>
      <c r="BU2" s="77" t="s">
        <v>2</v>
      </c>
      <c r="BV2" s="77" t="s">
        <v>3</v>
      </c>
      <c r="BW2" s="77" t="s">
        <v>4</v>
      </c>
      <c r="BX2" s="78" t="s">
        <v>5</v>
      </c>
      <c r="BY2" s="78" t="s">
        <v>6</v>
      </c>
      <c r="BZ2" s="78" t="s">
        <v>7</v>
      </c>
      <c r="CA2" s="78" t="s">
        <v>8</v>
      </c>
      <c r="CB2" s="78" t="s">
        <v>9</v>
      </c>
      <c r="CC2" s="78" t="s">
        <v>10</v>
      </c>
      <c r="CD2" s="78" t="s">
        <v>11</v>
      </c>
      <c r="CE2" s="78" t="s">
        <v>12</v>
      </c>
      <c r="CF2" s="78" t="s">
        <v>13</v>
      </c>
      <c r="CG2" s="77" t="s">
        <v>2</v>
      </c>
      <c r="CH2" s="77" t="s">
        <v>3</v>
      </c>
      <c r="CI2" s="77" t="s">
        <v>4</v>
      </c>
      <c r="CJ2" s="78" t="s">
        <v>5</v>
      </c>
      <c r="CK2" s="78" t="s">
        <v>6</v>
      </c>
      <c r="CL2" s="78" t="s">
        <v>7</v>
      </c>
      <c r="CM2" s="78" t="s">
        <v>8</v>
      </c>
      <c r="CN2" s="78" t="s">
        <v>9</v>
      </c>
      <c r="CO2" s="78" t="s">
        <v>10</v>
      </c>
      <c r="CP2" s="78" t="s">
        <v>11</v>
      </c>
      <c r="CQ2" s="78" t="s">
        <v>12</v>
      </c>
      <c r="CR2" s="78" t="s">
        <v>13</v>
      </c>
      <c r="CS2" s="77" t="s">
        <v>2</v>
      </c>
      <c r="CT2" s="77" t="s">
        <v>3</v>
      </c>
      <c r="CU2" s="77" t="s">
        <v>4</v>
      </c>
      <c r="CV2" s="78" t="s">
        <v>5</v>
      </c>
      <c r="CW2" s="78" t="s">
        <v>6</v>
      </c>
      <c r="CX2" s="78" t="s">
        <v>7</v>
      </c>
      <c r="CY2" s="78" t="s">
        <v>8</v>
      </c>
      <c r="CZ2" s="78" t="s">
        <v>9</v>
      </c>
      <c r="DA2" s="78" t="s">
        <v>10</v>
      </c>
      <c r="DB2" s="78" t="s">
        <v>11</v>
      </c>
      <c r="DC2" s="78" t="s">
        <v>12</v>
      </c>
      <c r="DD2" s="78" t="s">
        <v>13</v>
      </c>
      <c r="DE2" s="77" t="s">
        <v>1107</v>
      </c>
      <c r="DF2" s="77" t="s">
        <v>1108</v>
      </c>
      <c r="DG2" s="77" t="s">
        <v>1109</v>
      </c>
      <c r="DH2" s="77" t="s">
        <v>1110</v>
      </c>
      <c r="DI2" s="76" t="s">
        <v>1111</v>
      </c>
      <c r="DJ2" s="76" t="s">
        <v>143</v>
      </c>
      <c r="DK2" s="76" t="s">
        <v>144</v>
      </c>
      <c r="DL2" s="76" t="s">
        <v>147</v>
      </c>
      <c r="DM2" s="122" t="s">
        <v>2</v>
      </c>
      <c r="DN2" s="122" t="s">
        <v>3</v>
      </c>
      <c r="DO2" s="123" t="s">
        <v>4</v>
      </c>
      <c r="DP2" s="123" t="s">
        <v>5</v>
      </c>
      <c r="DQ2" s="124" t="s">
        <v>6</v>
      </c>
      <c r="DR2" s="124" t="s">
        <v>7</v>
      </c>
      <c r="DS2" s="123" t="s">
        <v>8</v>
      </c>
      <c r="DT2" s="123" t="s">
        <v>9</v>
      </c>
      <c r="DU2" s="123" t="s">
        <v>10</v>
      </c>
      <c r="DV2" s="123" t="s">
        <v>11</v>
      </c>
      <c r="DW2" s="123" t="s">
        <v>12</v>
      </c>
      <c r="DX2" s="123" t="s">
        <v>13</v>
      </c>
      <c r="DY2" s="122" t="s">
        <v>2</v>
      </c>
      <c r="DZ2" s="122" t="s">
        <v>3</v>
      </c>
      <c r="EA2" s="123" t="s">
        <v>4</v>
      </c>
      <c r="EB2" s="123" t="s">
        <v>5</v>
      </c>
      <c r="EC2" s="124" t="s">
        <v>6</v>
      </c>
      <c r="ED2" s="124" t="s">
        <v>7</v>
      </c>
      <c r="EE2" s="123" t="s">
        <v>8</v>
      </c>
      <c r="EF2" s="123" t="s">
        <v>9</v>
      </c>
      <c r="EG2" s="123" t="s">
        <v>10</v>
      </c>
      <c r="EH2" s="123" t="s">
        <v>11</v>
      </c>
      <c r="EI2" s="123" t="s">
        <v>12</v>
      </c>
      <c r="EJ2" s="123" t="s">
        <v>13</v>
      </c>
      <c r="EK2" s="79" t="s">
        <v>160</v>
      </c>
      <c r="EL2" s="79" t="s">
        <v>161</v>
      </c>
      <c r="EM2" s="79" t="s">
        <v>162</v>
      </c>
      <c r="EN2" s="79" t="s">
        <v>163</v>
      </c>
      <c r="EO2" s="79" t="s">
        <v>164</v>
      </c>
      <c r="EP2" s="79" t="s">
        <v>165</v>
      </c>
      <c r="EQ2" s="11"/>
      <c r="ER2" s="11"/>
      <c r="ES2" s="11"/>
      <c r="ET2" s="11"/>
      <c r="EU2" s="11"/>
      <c r="EV2" s="11"/>
      <c r="EW2" s="11"/>
      <c r="EX2" s="11"/>
      <c r="EY2" s="11"/>
    </row>
    <row r="3" spans="1:155" ht="29">
      <c r="A3" s="28" t="s">
        <v>1112</v>
      </c>
      <c r="B3" s="14"/>
      <c r="C3" s="14" t="s">
        <v>1113</v>
      </c>
      <c r="D3" s="14" t="s">
        <v>1113</v>
      </c>
      <c r="E3" s="7">
        <v>2025</v>
      </c>
      <c r="F3" s="7">
        <v>2029</v>
      </c>
      <c r="G3" s="7" t="s">
        <v>472</v>
      </c>
      <c r="H3" s="7" t="s">
        <v>71</v>
      </c>
      <c r="I3" s="7"/>
      <c r="J3" s="7">
        <f t="shared" ref="J3:J49" si="0">EL3</f>
        <v>0</v>
      </c>
      <c r="K3" s="14"/>
      <c r="L3" s="14"/>
      <c r="M3" s="8">
        <f t="shared" ref="M3:M32" si="1">X3</f>
        <v>46022</v>
      </c>
      <c r="N3" s="14"/>
      <c r="O3" s="7">
        <v>40</v>
      </c>
      <c r="P3" s="7">
        <v>10</v>
      </c>
      <c r="Q3" s="14"/>
      <c r="R3" s="14"/>
      <c r="S3" s="14"/>
      <c r="T3" s="14"/>
      <c r="U3" s="14"/>
      <c r="V3" s="14"/>
      <c r="W3" s="32">
        <v>45658</v>
      </c>
      <c r="X3" s="32">
        <v>46022</v>
      </c>
      <c r="Y3" s="14"/>
      <c r="Z3" s="7"/>
      <c r="AA3" s="7" t="str">
        <f t="shared" ref="AA3:AA12" si="2">IF(AM3=0%,"Not Started",IF(AM3&lt;30%,"Proses Asesmen",IF(AM3=30%,"Selesai Asesmen",IF(AM3&lt;70%,"Proses Konfigurasi",IF(AM3=70%,"Selesai Konfigurasi",IF(AM3&lt;90%,"Proses Pengujian",IF(AM3=90%,"Selesai Pengujian",IF(AM3&lt;100%,"Proses Implementasi","Selesai Implementasi"))))))))</f>
        <v>Not Started</v>
      </c>
      <c r="AB3" s="7" t="str">
        <f t="shared" ref="AB3:AB12" si="3">IF(AN3=0%,"Not Started",IF(AN3&lt;5%,"Proses CD",IF(AN3=5%,"Selesai CD",IF(AN3&lt;10%,"Proses BRD",IF(AN3=10%,"Selesai BRD",IF(AN3&lt;20%,"Proses Solusi SI",IF(AN3=20%,"Selesai Solusi SI",IF(AN3&lt;25%,"Proses KAK",IF(AN3=25%,"Selesai KAK",IF(AN3&lt;30%,"Proses SPK",IF(AN3=30%,"Selesai SPK",IF(AN3&lt;45%, "Proses Desain", IF(AN3=45%, "Selesai Desain", IF(AN3&lt;60%,"Proses Coding",IF(AN3=60%,"Selesai Coding",IF(AN3&lt;75%,"Proses SIT", IF(AN3=75%,"Selesai SIT", IF(AN3&lt;90%,"Proses UAT",IF(AN3=90%,"Selesai UAT",IF(AN3&lt;100%,"Proses Implementasi","Selesai Implementasi"))))))))))))))))))))</f>
        <v>Not Started</v>
      </c>
      <c r="AC3" s="31"/>
      <c r="AD3" s="31"/>
      <c r="AE3" s="31"/>
      <c r="AF3" s="31"/>
      <c r="AG3" s="31"/>
      <c r="AH3" s="31"/>
      <c r="AI3" s="31"/>
      <c r="AJ3" s="31"/>
      <c r="AK3" s="14"/>
      <c r="AL3" s="14"/>
      <c r="AM3" s="14"/>
      <c r="AN3" s="31"/>
      <c r="AO3" s="31"/>
      <c r="AP3" s="31"/>
      <c r="AQ3" s="31"/>
      <c r="AR3" s="31"/>
      <c r="AS3" s="31"/>
      <c r="AT3" s="31"/>
      <c r="AU3" s="31"/>
      <c r="AV3" s="31"/>
      <c r="AW3" s="14"/>
      <c r="AX3" s="14"/>
      <c r="AY3" s="7" t="str">
        <f t="shared" ref="AY3:AY12" si="4">IF(BK3=0%,"Not Started",IF(BK3&lt;30%,"Proses Asesmen",IF(BK3=30%,"Selesai Asesmen",IF(BK3&lt;70%,"Proses Konfigurasi",IF(BK3=70%,"Selesai Konfigurasi",IF(BK3&lt;90%,"Proses Pengujian",IF(BK3=90%,"Selesai Pengujian",IF(BK3&lt;100%,"Proses Implementasi","Selesai Implementasi"))))))))</f>
        <v>Not Started</v>
      </c>
      <c r="AZ3" s="7" t="str">
        <f t="shared" ref="AZ3:AZ12" si="5">IF(BL3=0%,"Not Started",IF(BL3&lt;5%,"Proses CD",IF(BL3=5%,"Selesai CD",IF(BL3&lt;10%,"Proses BRD",IF(BL3=10%,"Selesai BRD",IF(BL3&lt;20%,"Proses Solusi SI",IF(BL3=20%,"Selesai Solusi SI",IF(BL3&lt;25%,"Proses KAK",IF(BL3=25%,"Selesai KAK",IF(BL3&lt;30%,"Proses SPK",IF(BL3=30%,"Selesai SPK",IF(BL3&lt;45%, "Proses Desain", IF(BL3=45%, "Selesai Desain", IF(BL3&lt;60%,"Proses Coding",IF(BL3=60%,"Selesai Coding",IF(BL3&lt;75%,"Proses SIT", IF(BL3=75%,"Selesai SIT", IF(BL3&lt;90%,"Proses UAT",IF(BL3=90%,"Selesai UAT",IF(BL3&lt;100%,"Proses Implementasi","Selesai Implementasi"))))))))))))))))))))</f>
        <v>Selesai KAK</v>
      </c>
      <c r="BA3" s="31"/>
      <c r="BB3" s="31"/>
      <c r="BC3" s="31"/>
      <c r="BD3" s="31"/>
      <c r="BE3" s="31"/>
      <c r="BF3" s="31"/>
      <c r="BG3" s="31"/>
      <c r="BH3" s="31"/>
      <c r="BI3" s="14"/>
      <c r="BJ3" s="14"/>
      <c r="BK3" s="9">
        <f t="shared" ref="BK3:BK12" si="6">(($DE3/100%)*30%)+(($DF3/100%)*40%)+(($DG3/100%)*20%)+(($DH3/100%)*10%)</f>
        <v>0</v>
      </c>
      <c r="BL3" s="30">
        <v>0.25</v>
      </c>
      <c r="BM3" s="31"/>
      <c r="BN3" s="31"/>
      <c r="BO3" s="31"/>
      <c r="BP3" s="31"/>
      <c r="BQ3" s="31"/>
      <c r="BR3" s="31"/>
      <c r="BS3" s="31"/>
      <c r="BT3" s="31"/>
      <c r="BU3" s="14"/>
      <c r="BV3" s="14"/>
      <c r="BW3" s="9">
        <f t="shared" ref="BW3:BW12" si="7">IF(AM3=0%, 100%, (BK3/AM3))</f>
        <v>1</v>
      </c>
      <c r="BX3" s="9">
        <f t="shared" ref="BX3:BX12" si="8">IF(AN3=0%, 100%, (BL3/AN3))</f>
        <v>1</v>
      </c>
      <c r="BY3" s="31"/>
      <c r="BZ3" s="31"/>
      <c r="CA3" s="31"/>
      <c r="CB3" s="31"/>
      <c r="CC3" s="31"/>
      <c r="CD3" s="31"/>
      <c r="CE3" s="31"/>
      <c r="CF3" s="31"/>
      <c r="CG3" s="14"/>
      <c r="CH3" s="14"/>
      <c r="CI3" s="9" t="str">
        <f t="shared" ref="CI3:CI12" si="9">IF(AM3=0%,"NS",IF(BK3=100%,"DONE",IF(BW3&gt;100%,"AS",IF(BW3&lt;75%,"BS",IF(AY3&lt;&gt;AA3,"BS",IF(BW3&lt;89.9%,"AR","OS"))))))</f>
        <v>NS</v>
      </c>
      <c r="CJ3" s="9" t="str">
        <f t="shared" ref="CJ3:CJ12" si="10">IF(AT3=0%,"NS",IF(BL3=100%,"DONE",IF(BX3&gt;100%,"AS",IF(BX3&lt;75%,"BS",IF(AZ3&lt;&gt;AB3,"BS",IF(BX3&lt;89.9%,"AR","OS"))))))</f>
        <v>NS</v>
      </c>
      <c r="CK3" s="31"/>
      <c r="CL3" s="31"/>
      <c r="CM3" s="31"/>
      <c r="CN3" s="31"/>
      <c r="CO3" s="31"/>
      <c r="CP3" s="31"/>
      <c r="CQ3" s="31"/>
      <c r="CR3" s="31"/>
      <c r="CS3" s="14"/>
      <c r="CT3" s="14"/>
      <c r="CU3" s="14"/>
      <c r="CV3" s="31"/>
      <c r="CW3" s="31"/>
      <c r="CX3" s="31"/>
      <c r="CY3" s="31"/>
      <c r="CZ3" s="31"/>
      <c r="DA3" s="31"/>
      <c r="DB3" s="31"/>
      <c r="DC3" s="31"/>
      <c r="DD3" s="31"/>
      <c r="DE3" s="84"/>
      <c r="DF3" s="84"/>
      <c r="DG3" s="84"/>
      <c r="DH3" s="84"/>
      <c r="DI3" s="8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4"/>
      <c r="EM3" s="14"/>
      <c r="EN3" s="14"/>
      <c r="EO3" s="14"/>
      <c r="EP3" s="14"/>
    </row>
    <row r="4" spans="1:155" ht="29">
      <c r="A4" s="28" t="s">
        <v>1114</v>
      </c>
      <c r="B4" s="14"/>
      <c r="C4" s="14" t="s">
        <v>1115</v>
      </c>
      <c r="D4" s="14" t="s">
        <v>1115</v>
      </c>
      <c r="E4" s="7">
        <v>2025</v>
      </c>
      <c r="F4" s="7">
        <v>2029</v>
      </c>
      <c r="G4" s="7" t="s">
        <v>472</v>
      </c>
      <c r="H4" s="7" t="s">
        <v>71</v>
      </c>
      <c r="I4" s="7"/>
      <c r="J4" s="7">
        <f t="shared" si="0"/>
        <v>0</v>
      </c>
      <c r="K4" s="14"/>
      <c r="L4" s="14"/>
      <c r="M4" s="8">
        <f t="shared" si="1"/>
        <v>46022</v>
      </c>
      <c r="N4" s="14"/>
      <c r="O4" s="7">
        <v>34</v>
      </c>
      <c r="P4" s="7">
        <v>9</v>
      </c>
      <c r="Q4" s="14"/>
      <c r="R4" s="14"/>
      <c r="S4" s="14"/>
      <c r="T4" s="14"/>
      <c r="U4" s="14"/>
      <c r="V4" s="14"/>
      <c r="W4" s="32">
        <v>45658</v>
      </c>
      <c r="X4" s="32">
        <v>46022</v>
      </c>
      <c r="Y4" s="14"/>
      <c r="Z4" s="7"/>
      <c r="AA4" s="7" t="str">
        <f t="shared" si="2"/>
        <v>Not Started</v>
      </c>
      <c r="AB4" s="7" t="str">
        <f t="shared" si="3"/>
        <v>Not Started</v>
      </c>
      <c r="AC4" s="31"/>
      <c r="AD4" s="31"/>
      <c r="AE4" s="31"/>
      <c r="AF4" s="31"/>
      <c r="AG4" s="31"/>
      <c r="AH4" s="31"/>
      <c r="AI4" s="31"/>
      <c r="AJ4" s="31"/>
      <c r="AK4" s="14"/>
      <c r="AL4" s="14"/>
      <c r="AM4" s="14"/>
      <c r="AN4" s="31"/>
      <c r="AO4" s="31"/>
      <c r="AP4" s="31"/>
      <c r="AQ4" s="31"/>
      <c r="AR4" s="31"/>
      <c r="AS4" s="31"/>
      <c r="AT4" s="31"/>
      <c r="AU4" s="31"/>
      <c r="AV4" s="31"/>
      <c r="AW4" s="14"/>
      <c r="AX4" s="14"/>
      <c r="AY4" s="7" t="str">
        <f t="shared" si="4"/>
        <v>Not Started</v>
      </c>
      <c r="AZ4" s="7" t="str">
        <f t="shared" si="5"/>
        <v>Selesai KAK</v>
      </c>
      <c r="BA4" s="31"/>
      <c r="BB4" s="31"/>
      <c r="BC4" s="31"/>
      <c r="BD4" s="31"/>
      <c r="BE4" s="31"/>
      <c r="BF4" s="31"/>
      <c r="BG4" s="31"/>
      <c r="BH4" s="31"/>
      <c r="BI4" s="14"/>
      <c r="BJ4" s="14"/>
      <c r="BK4" s="9">
        <f t="shared" si="6"/>
        <v>0</v>
      </c>
      <c r="BL4" s="30">
        <v>0.25</v>
      </c>
      <c r="BM4" s="31"/>
      <c r="BN4" s="31"/>
      <c r="BO4" s="31"/>
      <c r="BP4" s="31"/>
      <c r="BQ4" s="31"/>
      <c r="BR4" s="31"/>
      <c r="BS4" s="31"/>
      <c r="BT4" s="31"/>
      <c r="BU4" s="14"/>
      <c r="BV4" s="14"/>
      <c r="BW4" s="9">
        <f t="shared" si="7"/>
        <v>1</v>
      </c>
      <c r="BX4" s="9">
        <f t="shared" si="8"/>
        <v>1</v>
      </c>
      <c r="BY4" s="31"/>
      <c r="BZ4" s="31"/>
      <c r="CA4" s="31"/>
      <c r="CB4" s="31"/>
      <c r="CC4" s="31"/>
      <c r="CD4" s="31"/>
      <c r="CE4" s="31"/>
      <c r="CF4" s="31"/>
      <c r="CG4" s="14"/>
      <c r="CH4" s="14"/>
      <c r="CI4" s="9" t="str">
        <f t="shared" si="9"/>
        <v>NS</v>
      </c>
      <c r="CJ4" s="9" t="str">
        <f t="shared" si="10"/>
        <v>NS</v>
      </c>
      <c r="CK4" s="31"/>
      <c r="CL4" s="31"/>
      <c r="CM4" s="31"/>
      <c r="CN4" s="31"/>
      <c r="CO4" s="31"/>
      <c r="CP4" s="31"/>
      <c r="CQ4" s="31"/>
      <c r="CR4" s="31"/>
      <c r="CS4" s="14"/>
      <c r="CT4" s="14"/>
      <c r="CU4" s="14"/>
      <c r="CV4" s="31"/>
      <c r="CW4" s="31"/>
      <c r="CX4" s="31"/>
      <c r="CY4" s="31"/>
      <c r="CZ4" s="31"/>
      <c r="DA4" s="31"/>
      <c r="DB4" s="31"/>
      <c r="DC4" s="31"/>
      <c r="DD4" s="31"/>
      <c r="DE4" s="84"/>
      <c r="DF4" s="84"/>
      <c r="DG4" s="84"/>
      <c r="DH4" s="84"/>
      <c r="DI4" s="8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4"/>
      <c r="EM4" s="14"/>
      <c r="EN4" s="14"/>
      <c r="EO4" s="14"/>
      <c r="EP4" s="14"/>
    </row>
    <row r="5" spans="1:155" ht="219.65" customHeight="1">
      <c r="A5" s="28" t="s">
        <v>1116</v>
      </c>
      <c r="B5" s="7">
        <v>11</v>
      </c>
      <c r="C5" s="118" t="s">
        <v>1117</v>
      </c>
      <c r="D5" s="119" t="s">
        <v>1118</v>
      </c>
      <c r="E5" s="38">
        <v>2024</v>
      </c>
      <c r="F5" s="38">
        <v>2025</v>
      </c>
      <c r="G5" s="37" t="s">
        <v>1009</v>
      </c>
      <c r="H5" s="39" t="s">
        <v>189</v>
      </c>
      <c r="I5" s="37" t="s">
        <v>1117</v>
      </c>
      <c r="J5" s="7" t="str">
        <f t="shared" si="0"/>
        <v>Aldo Fernanda</v>
      </c>
      <c r="K5" s="14"/>
      <c r="L5" s="14" t="s">
        <v>1129</v>
      </c>
      <c r="M5" s="8">
        <f>X5</f>
        <v>46022</v>
      </c>
      <c r="N5" s="9">
        <f t="shared" ref="N5:N52" si="11">(DE5/100%)*25%+(DF5/100%)*25%+(DG5/100%)*25%+(DH5/100%)*25%</f>
        <v>1</v>
      </c>
      <c r="O5" s="7"/>
      <c r="P5" s="17"/>
      <c r="Q5" s="17" t="s">
        <v>1120</v>
      </c>
      <c r="R5" s="7"/>
      <c r="S5" s="19">
        <v>45107</v>
      </c>
      <c r="T5" s="19">
        <v>45261</v>
      </c>
      <c r="U5" s="19">
        <v>45408</v>
      </c>
      <c r="V5" s="19">
        <v>45380</v>
      </c>
      <c r="W5" s="19">
        <v>45744</v>
      </c>
      <c r="X5" s="32">
        <v>46022</v>
      </c>
      <c r="Y5" s="7" t="str">
        <f>IF(AK5=0%,"Not Started",IF(AK5&lt;5%,"Proses CD",IF(AK5=5%,"Selesai CD",IF(AK5&lt;10%,"Proses BRD",IF(AK5=10%,"Selesai BRD",IF(AK5&lt;20%,"Proses Solusi SI",IF(AK5=20%,"Selesai Solusi SI",IF(AK5&lt;25%,"Proses KAK",IF(AK5=25%,"Selesai KAK",IF(AK5&lt;30%,"Proses SPK",IF(AK5=30%,"Selesai SPK",IF(AK5&lt;45%, "Proses Desain", IF(AK5=45%, "Selesai Desain", IF(AK5&lt;60%,"Proses Coding",IF(AK5=60%,"Selesai Coding",IF(AK5&lt;75%,"Proses SIT", IF(AK5=75%,"Selesai SIT", IF(AK5&lt;90%,"Proses UAT",IF(AK5=90%,"Selesai UAT",IF(AK5&lt;100%,"Proses Implementasi","Selesai Implementasi"))))))))))))))))))))</f>
        <v>Proses SIT</v>
      </c>
      <c r="Z5" s="7" t="str">
        <f>IF(AL5=0%,"Not Started",IF(AL5&lt;5%,"Proses CD",IF(AL5=5%,"Selesai CD",IF(AL5&lt;10%,"Proses BRD",IF(AL5=10%,"Selesai BRD",IF(AL5&lt;20%,"Proses Solusi SI",IF(AL5=20%,"Selesai Solusi SI",IF(AL5&lt;25%,"Proses KAK",IF(AL5=25%,"Selesai KAK",IF(AL5&lt;30%,"Proses SPK",IF(AL5=30%,"Selesai SPK",IF(AL5&lt;45%, "Proses Desain", IF(AL5=45%, "Selesai Desain", IF(AL5&lt;60%,"Proses Coding",IF(AL5=60%,"Selesai Coding",IF(AL5&lt;75%,"Proses SIT", IF(AL5=75%,"Selesai SIT", IF(AL5&lt;90%,"Proses UAT",IF(AL5=90%,"Selesai UAT",IF(AL5&lt;100%,"Proses Implementasi","Selesai Implementasi"))))))))))))))))))))</f>
        <v>Proses SIT</v>
      </c>
      <c r="AA5" s="7" t="str">
        <f t="shared" si="2"/>
        <v>Selesai Implementasi</v>
      </c>
      <c r="AB5" s="7" t="str">
        <f t="shared" si="3"/>
        <v>Selesai UAT</v>
      </c>
      <c r="AC5" s="7" t="str">
        <f t="shared" ref="AC5:AJ5" si="12">IF(AO5=0%,"Not Started",IF(AO5&lt;5%,"Proses CD",IF(AO5=5%,"Selesai CD",IF(AO5&lt;10%,"Proses BRD",IF(AO5=10%,"Selesai BRD",IF(AO5&lt;20%,"Proses Solusi SI",IF(AO5=20%,"Selesai Solusi SI",IF(AO5&lt;25%,"Proses KAK",IF(AO5=25%,"Selesai KAK",IF(AO5&lt;30%,"Proses SPK",IF(AO5=30%,"Selesai SPK",IF(AO5&lt;45%, "Proses Desain", IF(AO5=45%, "Selesai Desain", IF(AO5&lt;60%,"Proses Coding",IF(AO5=60%,"Selesai Coding",IF(AO5&lt;75%,"Proses SIT", IF(AO5=75%,"Selesai SIT", IF(AO5&lt;90%,"Proses UAT",IF(AO5=90%,"Selesai UAT",IF(AO5&lt;100%,"Proses Implementasi","Selesai Implementasi"))))))))))))))))))))</f>
        <v>Proses Implementasi</v>
      </c>
      <c r="AD5" s="7" t="str">
        <f t="shared" si="12"/>
        <v>Proses Implementasi</v>
      </c>
      <c r="AE5" s="7" t="str">
        <f t="shared" si="12"/>
        <v>Proses Implementasi</v>
      </c>
      <c r="AF5" s="7" t="str">
        <f t="shared" si="12"/>
        <v>Proses Implementasi</v>
      </c>
      <c r="AG5" s="7" t="str">
        <f t="shared" si="12"/>
        <v>Proses Implementasi</v>
      </c>
      <c r="AH5" s="7" t="str">
        <f t="shared" si="12"/>
        <v>Proses Implementasi</v>
      </c>
      <c r="AI5" s="7" t="str">
        <f t="shared" si="12"/>
        <v>Selesai Implementasi</v>
      </c>
      <c r="AJ5" s="7" t="str">
        <f t="shared" si="12"/>
        <v>Selesai Implementasi</v>
      </c>
      <c r="AK5" s="9">
        <v>0.68</v>
      </c>
      <c r="AL5" s="9">
        <v>0.7</v>
      </c>
      <c r="AM5" s="9">
        <v>1</v>
      </c>
      <c r="AN5" s="29">
        <v>0.9</v>
      </c>
      <c r="AO5" s="29">
        <v>0.91</v>
      </c>
      <c r="AP5" s="29">
        <v>0.92</v>
      </c>
      <c r="AQ5" s="29">
        <v>0.93</v>
      </c>
      <c r="AR5" s="29">
        <v>0.94</v>
      </c>
      <c r="AS5" s="29">
        <v>0.95</v>
      </c>
      <c r="AT5" s="29">
        <v>0.97</v>
      </c>
      <c r="AU5" s="29">
        <v>1</v>
      </c>
      <c r="AV5" s="29">
        <v>1</v>
      </c>
      <c r="AW5" s="7" t="str">
        <f>IF(BI5=0%,"Not Started",IF(BI5&lt;5%,"Proses CD",IF(BI5=5%,"Selesai CD",IF(BI5&lt;10%,"Proses BRD",IF(BI5=10%,"Selesai BRD",IF(BI5&lt;20%,"Proses Solusi SI",IF(BI5=20%,"Selesai Solusi SI",IF(BI5&lt;25%,"Proses KAK",IF(BI5=25%,"Selesai KAK",IF(BI5&lt;30%,"Proses SPK",IF(BI5=30%,"Selesai SPK",IF(BI5&lt;45%, "Proses Desain", IF(BI5=45%, "Selesai Desain", IF(BI5&lt;60%,"Proses Coding",IF(BI5=60%,"Selesai Coding",IF(BI5&lt;75%,"Proses SIT", IF(BI5=75%,"Selesai SIT", IF(BI5&lt;90%,"Proses UAT",IF(BI5=90%,"Selesai UAT",IF(BI5&lt;100%,"Proses Implementasi","Selesai Implementasi"))))))))))))))))))))</f>
        <v>Proses Solusi SI</v>
      </c>
      <c r="AX5" s="7" t="str">
        <f>IF(BJ5=0%,"Not Started",IF(BJ5&lt;5%,"Proses CD",IF(BJ5=5%,"Selesai CD",IF(BJ5&lt;10%,"Proses BRD",IF(BJ5=10%,"Selesai BRD",IF(BJ5&lt;20%,"Proses Solusi SI",IF(BJ5=20%,"Selesai Solusi SI",IF(BJ5&lt;25%,"Proses KAK",IF(BJ5=25%,"Selesai KAK",IF(BJ5&lt;30%,"Proses SPK",IF(BJ5=30%,"Selesai SPK",IF(BJ5&lt;45%, "Proses Desain", IF(BJ5=45%, "Selesai Desain", IF(BJ5&lt;60%,"Proses Coding",IF(BJ5=60%,"Selesai Coding",IF(BJ5&lt;75%,"Proses SIT", IF(BJ5=75%,"Selesai SIT", IF(BJ5&lt;90%,"Proses UAT",IF(BJ5=90%,"Selesai UAT",IF(BJ5&lt;100%,"Proses Implementasi","Selesai Implementasi"))))))))))))))))))))</f>
        <v>Selesai KAK</v>
      </c>
      <c r="AY5" s="7" t="str">
        <f t="shared" si="4"/>
        <v>Selesai Implementasi</v>
      </c>
      <c r="AZ5" s="7" t="str">
        <f t="shared" si="5"/>
        <v>Selesai KAK</v>
      </c>
      <c r="BA5" s="7" t="str">
        <f t="shared" ref="BA5:BH5" si="13">IF(BM5=0%,"Not Started",IF(BM5&lt;5%,"Proses CD",IF(BM5=5%,"Selesai CD",IF(BM5&lt;10%,"Proses BRD",IF(BM5=10%,"Selesai BRD",IF(BM5&lt;20%,"Proses Solusi SI",IF(BM5=20%,"Selesai Solusi SI",IF(BM5&lt;25%,"Proses KAK",IF(BM5=25%,"Selesai KAK",IF(BM5&lt;30%,"Proses SPK",IF(BM5=30%,"Selesai SPK",IF(BM5&lt;45%, "Proses Desain", IF(BM5=45%, "Selesai Desain", IF(BM5&lt;60%,"Proses Coding",IF(BM5=60%,"Selesai Coding",IF(BM5&lt;75%,"Proses SIT", IF(BM5=75%,"Selesai SIT", IF(BM5&lt;90%,"Proses UAT",IF(BM5=90%,"Selesai UAT",IF(BM5&lt;100%,"Proses Implementasi","Selesai Implementasi"))))))))))))))))))))</f>
        <v>Proses UAT</v>
      </c>
      <c r="BB5" s="7" t="str">
        <f t="shared" si="13"/>
        <v>Proses UAT</v>
      </c>
      <c r="BC5" s="7" t="str">
        <f t="shared" si="13"/>
        <v>Proses UAT</v>
      </c>
      <c r="BD5" s="7" t="str">
        <f t="shared" si="13"/>
        <v>Proses UAT</v>
      </c>
      <c r="BE5" s="7" t="str">
        <f t="shared" si="13"/>
        <v>Proses UAT</v>
      </c>
      <c r="BF5" s="7" t="e">
        <f t="shared" si="13"/>
        <v>#REF!</v>
      </c>
      <c r="BG5" s="7" t="str">
        <f t="shared" si="13"/>
        <v>Not Started</v>
      </c>
      <c r="BH5" s="7" t="str">
        <f t="shared" si="13"/>
        <v>Not Started</v>
      </c>
      <c r="BI5" s="30">
        <v>0.15000000000000002</v>
      </c>
      <c r="BJ5" s="30">
        <v>0.25</v>
      </c>
      <c r="BK5" s="9">
        <f t="shared" si="6"/>
        <v>0.99999999999999989</v>
      </c>
      <c r="BL5" s="30">
        <v>0.25</v>
      </c>
      <c r="BM5" s="30">
        <v>0.88500000000000001</v>
      </c>
      <c r="BN5" s="30">
        <v>0.88500000000000001</v>
      </c>
      <c r="BO5" s="30">
        <v>0.88500000000000001</v>
      </c>
      <c r="BP5" s="30">
        <v>0.88500000000000001</v>
      </c>
      <c r="BQ5" s="30">
        <v>0.88500000000000001</v>
      </c>
      <c r="BR5" s="30" t="e">
        <f>(($DE5/100%)*5%)+((#REF!/100%)*5%)+((#REF!/100%)*10%)+((#REF!/100%)*5%)+(($DF5/100%)*5%)+(($DG5/100%)*15%)+(($DH5/100%)*15%)+((#REF!/100%)*15%)+((#REF!/100%)*15%)+((#REF!/100%)*10%)</f>
        <v>#REF!</v>
      </c>
      <c r="BS5" s="31"/>
      <c r="BT5" s="30"/>
      <c r="BU5" s="9">
        <f>IF(AK5=0%, 100%, (BI5/AK5))</f>
        <v>0.22058823529411767</v>
      </c>
      <c r="BV5" s="9">
        <f>IF(AL5=0%, 100%, (BJ5/AL5))</f>
        <v>0.35714285714285715</v>
      </c>
      <c r="BW5" s="9">
        <f t="shared" si="7"/>
        <v>0.99999999999999989</v>
      </c>
      <c r="BX5" s="9">
        <f t="shared" si="8"/>
        <v>0.27777777777777779</v>
      </c>
      <c r="BY5" s="9">
        <f t="shared" ref="BY5:CD5" si="14">IF(AO5=0%, 100%, (BM5/AO5))</f>
        <v>0.97252747252747251</v>
      </c>
      <c r="BZ5" s="9">
        <f t="shared" si="14"/>
        <v>0.96195652173913038</v>
      </c>
      <c r="CA5" s="9">
        <f t="shared" si="14"/>
        <v>0.95161290322580638</v>
      </c>
      <c r="CB5" s="9">
        <f t="shared" si="14"/>
        <v>0.94148936170212771</v>
      </c>
      <c r="CC5" s="9">
        <f t="shared" si="14"/>
        <v>0.93157894736842106</v>
      </c>
      <c r="CD5" s="9" t="e">
        <f t="shared" si="14"/>
        <v>#REF!</v>
      </c>
      <c r="CE5" s="9"/>
      <c r="CF5" s="9"/>
      <c r="CG5" s="9" t="str">
        <f>IF(AQ5=0%,"NS",IF(BI5=100%,"DONE",IF(BU5&gt;100%,"AS",IF(BU5&lt;75%,"BS",IF(AW5&lt;&gt;Y5,"BS",IF(BU5&lt;89.9%,"AR","OS"))))))</f>
        <v>BS</v>
      </c>
      <c r="CH5" s="9" t="str">
        <f>IF(AR5=0%,"NS",IF(BJ5=100%,"DONE",IF(BV5&gt;100%,"AS",IF(BV5&lt;75%,"BS",IF(AX5&lt;&gt;Z5,"BS",IF(BV5&lt;89.9%,"AR","OS"))))))</f>
        <v>BS</v>
      </c>
      <c r="CI5" s="9" t="str">
        <f t="shared" si="9"/>
        <v>DONE</v>
      </c>
      <c r="CJ5" s="9" t="str">
        <f t="shared" si="10"/>
        <v>BS</v>
      </c>
      <c r="CK5" s="9" t="str">
        <f>IF(AU5=0%,"NS",IF(BM5=100%,"DONE",IF(BY5&gt;100%,"AS",IF(BY5&lt;75%,"BS",IF(BA5&lt;&gt;AC5,"BS",IF(BY5&lt;89.9%,"AR","OS"))))))</f>
        <v>BS</v>
      </c>
      <c r="CL5" s="9" t="str">
        <f>IF(AV5=0%,"NS",IF(BN5=100%,"DONE",IF(BZ5&gt;100%,"AS",IF(BZ5&lt;75%,"BS",IF(BB5&lt;&gt;AD5,"BS",IF(BZ5&lt;89.9%,"AR","OS"))))))</f>
        <v>BS</v>
      </c>
      <c r="CM5" s="9" t="str">
        <f>IF(AQ5=0%,"NS",IF(BO5=100%,"DONE",IF(CA5&gt;100%,"AS",IF(CA5&lt;75%,"BS",IF(BC5&lt;&gt;AE5,"BS",IF(CA5&lt;89.9%,"AR","OS"))))))</f>
        <v>BS</v>
      </c>
      <c r="CN5" s="9" t="str">
        <f>IF(AR5=0%,"NS",IF(BP5=100%,"DONE",IF(CB5&gt;100%,"AS",IF(CB5&lt;75%,"BS",IF(BD5&lt;&gt;AF5,"BS",IF(CB5&lt;89.9%,"AR","OS"))))))</f>
        <v>BS</v>
      </c>
      <c r="CO5" s="9" t="str">
        <f>IF(AS5=0%,"NS",IF(BQ5=100%,"DONE",IF(CC5&gt;100%,"AS",IF(CC5&lt;75%,"BS",IF(BE5&lt;&gt;AG5,"BS",IF(CC5&lt;89.9%,"AR","OS"))))))</f>
        <v>BS</v>
      </c>
      <c r="CP5" s="9" t="e">
        <f>IF(AT5=0%,"NS",IF(BR5=100%,"DONE",IF(CD5&gt;100%,"AS",IF(CD5&lt;75%,"BS",IF(BF5&lt;&gt;AH5,"BS",IF(CD5&lt;89.9%,"AR","OS"))))))</f>
        <v>#REF!</v>
      </c>
      <c r="CQ5" s="31"/>
      <c r="CR5" s="31"/>
      <c r="CS5" s="14"/>
      <c r="CT5" s="14"/>
      <c r="CU5" s="14"/>
      <c r="CV5" s="31"/>
      <c r="CW5" s="31"/>
      <c r="CX5" s="31"/>
      <c r="CY5" s="9">
        <f>BO5/$AV5</f>
        <v>0.88500000000000001</v>
      </c>
      <c r="CZ5" s="9">
        <f>BP5/$AV5</f>
        <v>0.88500000000000001</v>
      </c>
      <c r="DA5" s="31"/>
      <c r="DB5" s="31"/>
      <c r="DC5" s="31"/>
      <c r="DD5" s="31"/>
      <c r="DE5" s="82">
        <v>1</v>
      </c>
      <c r="DF5" s="82">
        <v>1</v>
      </c>
      <c r="DG5" s="82">
        <v>1</v>
      </c>
      <c r="DH5" s="82">
        <v>1</v>
      </c>
      <c r="DI5" s="83" t="s">
        <v>1121</v>
      </c>
      <c r="DJ5" s="35"/>
      <c r="DK5" s="17">
        <f t="shared" ref="DK5:DK32" si="15">W5</f>
        <v>45744</v>
      </c>
      <c r="DL5" s="35" t="s">
        <v>1122</v>
      </c>
      <c r="DM5" s="14"/>
      <c r="DN5" s="14"/>
      <c r="DO5" s="14"/>
      <c r="DP5" s="14" t="s">
        <v>968</v>
      </c>
      <c r="DQ5" s="14" t="s">
        <v>1123</v>
      </c>
      <c r="DR5" s="14"/>
      <c r="DS5" s="14"/>
      <c r="DT5" s="14"/>
      <c r="DU5" s="14"/>
      <c r="DV5" s="14"/>
      <c r="DW5" s="14"/>
      <c r="DX5" s="14"/>
      <c r="DY5" s="14"/>
      <c r="DZ5" s="14"/>
      <c r="EA5" s="14"/>
      <c r="EB5" s="14" t="s">
        <v>968</v>
      </c>
      <c r="EC5" s="14"/>
      <c r="ED5" s="14"/>
      <c r="EE5" s="14"/>
      <c r="EF5" s="14"/>
      <c r="EG5" s="14"/>
      <c r="EH5" s="14"/>
      <c r="EI5" s="14"/>
      <c r="EJ5" s="14"/>
      <c r="EK5" s="14" t="s">
        <v>1124</v>
      </c>
      <c r="EL5" s="14" t="s">
        <v>180</v>
      </c>
      <c r="EM5" s="14" t="s">
        <v>1125</v>
      </c>
      <c r="EN5" s="14"/>
      <c r="EO5" s="14"/>
      <c r="EP5" s="14"/>
      <c r="EQ5" s="11"/>
      <c r="ER5" s="11"/>
      <c r="ES5" s="11"/>
    </row>
    <row r="6" spans="1:155" ht="43.5">
      <c r="A6" s="28" t="s">
        <v>1126</v>
      </c>
      <c r="B6" s="14"/>
      <c r="C6" s="14" t="s">
        <v>1127</v>
      </c>
      <c r="D6" s="14" t="s">
        <v>1127</v>
      </c>
      <c r="E6" s="38">
        <v>2024</v>
      </c>
      <c r="F6" s="38">
        <v>2025</v>
      </c>
      <c r="G6" s="37" t="s">
        <v>1128</v>
      </c>
      <c r="H6" s="39" t="s">
        <v>199</v>
      </c>
      <c r="I6" s="37" t="s">
        <v>605</v>
      </c>
      <c r="J6" s="7" t="str">
        <f t="shared" si="0"/>
        <v>Muhamad Fahmi Ridwan</v>
      </c>
      <c r="K6" s="14"/>
      <c r="L6" s="14" t="s">
        <v>1129</v>
      </c>
      <c r="M6" s="8">
        <f t="shared" si="1"/>
        <v>45838</v>
      </c>
      <c r="N6" s="9">
        <f t="shared" si="11"/>
        <v>1</v>
      </c>
      <c r="O6" s="7" t="s">
        <v>224</v>
      </c>
      <c r="P6" s="7">
        <v>0</v>
      </c>
      <c r="Q6" s="32">
        <v>45658</v>
      </c>
      <c r="R6" s="32">
        <v>45747</v>
      </c>
      <c r="S6" s="32">
        <v>45763</v>
      </c>
      <c r="T6" s="32">
        <v>45792</v>
      </c>
      <c r="U6" s="32">
        <v>45793</v>
      </c>
      <c r="V6" s="32">
        <v>45823</v>
      </c>
      <c r="W6" s="32">
        <v>45824</v>
      </c>
      <c r="X6" s="32">
        <v>45838</v>
      </c>
      <c r="Y6" s="14"/>
      <c r="Z6" s="7"/>
      <c r="AA6" s="7" t="str">
        <f t="shared" si="2"/>
        <v>Not Started</v>
      </c>
      <c r="AB6" s="7" t="str">
        <f t="shared" si="3"/>
        <v>Not Started</v>
      </c>
      <c r="AC6" s="31"/>
      <c r="AD6" s="31"/>
      <c r="AE6" s="31"/>
      <c r="AF6" s="31"/>
      <c r="AG6" s="31"/>
      <c r="AH6" s="31"/>
      <c r="AI6" s="31"/>
      <c r="AJ6" s="31"/>
      <c r="AK6" s="14"/>
      <c r="AL6" s="14"/>
      <c r="AM6" s="29">
        <v>0</v>
      </c>
      <c r="AN6" s="31"/>
      <c r="AO6" s="31"/>
      <c r="AP6" s="31"/>
      <c r="AQ6" s="31"/>
      <c r="AR6" s="31"/>
      <c r="AS6" s="31"/>
      <c r="AT6" s="31"/>
      <c r="AU6" s="31"/>
      <c r="AV6" s="31"/>
      <c r="AW6" s="14"/>
      <c r="AX6" s="14"/>
      <c r="AY6" s="7" t="str">
        <f t="shared" si="4"/>
        <v>Selesai Implementasi</v>
      </c>
      <c r="AZ6" s="7" t="str">
        <f t="shared" si="5"/>
        <v>Selesai KAK</v>
      </c>
      <c r="BA6" s="31"/>
      <c r="BB6" s="31"/>
      <c r="BC6" s="31"/>
      <c r="BD6" s="31"/>
      <c r="BE6" s="31"/>
      <c r="BF6" s="31"/>
      <c r="BG6" s="31"/>
      <c r="BH6" s="31"/>
      <c r="BI6" s="14"/>
      <c r="BJ6" s="14"/>
      <c r="BK6" s="9">
        <f t="shared" si="6"/>
        <v>0.99999999999999989</v>
      </c>
      <c r="BL6" s="30">
        <v>0.25</v>
      </c>
      <c r="BM6" s="31"/>
      <c r="BN6" s="31"/>
      <c r="BO6" s="31"/>
      <c r="BP6" s="31"/>
      <c r="BQ6" s="31"/>
      <c r="BR6" s="31"/>
      <c r="BS6" s="31"/>
      <c r="BT6" s="31"/>
      <c r="BU6" s="14"/>
      <c r="BV6" s="14"/>
      <c r="BW6" s="9">
        <f t="shared" si="7"/>
        <v>1</v>
      </c>
      <c r="BX6" s="9">
        <f t="shared" si="8"/>
        <v>1</v>
      </c>
      <c r="BY6" s="31"/>
      <c r="BZ6" s="31"/>
      <c r="CA6" s="31"/>
      <c r="CB6" s="31"/>
      <c r="CC6" s="31"/>
      <c r="CD6" s="31"/>
      <c r="CE6" s="31"/>
      <c r="CF6" s="31"/>
      <c r="CG6" s="14"/>
      <c r="CH6" s="14"/>
      <c r="CI6" s="9" t="str">
        <f t="shared" si="9"/>
        <v>NS</v>
      </c>
      <c r="CJ6" s="9" t="str">
        <f t="shared" si="10"/>
        <v>NS</v>
      </c>
      <c r="CK6" s="31"/>
      <c r="CL6" s="31"/>
      <c r="CM6" s="31"/>
      <c r="CN6" s="31"/>
      <c r="CO6" s="31"/>
      <c r="CP6" s="31"/>
      <c r="CQ6" s="31"/>
      <c r="CR6" s="31"/>
      <c r="CS6" s="14"/>
      <c r="CT6" s="14"/>
      <c r="CU6" s="14"/>
      <c r="CV6" s="31"/>
      <c r="CW6" s="31"/>
      <c r="CX6" s="31"/>
      <c r="CY6" s="31"/>
      <c r="CZ6" s="31"/>
      <c r="DA6" s="31"/>
      <c r="DB6" s="31"/>
      <c r="DC6" s="31"/>
      <c r="DD6" s="31"/>
      <c r="DE6" s="33">
        <v>1</v>
      </c>
      <c r="DF6" s="33">
        <v>1</v>
      </c>
      <c r="DG6" s="33">
        <v>1</v>
      </c>
      <c r="DH6" s="33">
        <v>1</v>
      </c>
      <c r="DI6" s="18" t="s">
        <v>1130</v>
      </c>
      <c r="DJ6" s="14"/>
      <c r="DK6" s="17">
        <f t="shared" si="15"/>
        <v>45824</v>
      </c>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14" t="s">
        <v>1131</v>
      </c>
      <c r="EM6" s="14"/>
      <c r="EN6" s="14"/>
      <c r="EO6" s="14"/>
      <c r="EP6" s="14"/>
    </row>
    <row r="7" spans="1:155" ht="100.5" customHeight="1">
      <c r="A7" s="28" t="s">
        <v>1132</v>
      </c>
      <c r="B7" s="14"/>
      <c r="C7" s="14" t="s">
        <v>1133</v>
      </c>
      <c r="D7" s="14" t="s">
        <v>1133</v>
      </c>
      <c r="E7" s="38">
        <v>2024</v>
      </c>
      <c r="F7" s="38">
        <v>2025</v>
      </c>
      <c r="G7" s="37" t="s">
        <v>1009</v>
      </c>
      <c r="H7" s="39" t="s">
        <v>199</v>
      </c>
      <c r="I7" s="37" t="s">
        <v>398</v>
      </c>
      <c r="J7" s="7" t="str">
        <f t="shared" si="0"/>
        <v>Rizky Arga</v>
      </c>
      <c r="K7" s="14"/>
      <c r="L7" s="120" t="s">
        <v>1129</v>
      </c>
      <c r="M7" s="8">
        <f t="shared" si="1"/>
        <v>45838</v>
      </c>
      <c r="N7" s="9">
        <f t="shared" si="11"/>
        <v>1</v>
      </c>
      <c r="O7" s="7">
        <v>0</v>
      </c>
      <c r="P7" s="7">
        <v>0</v>
      </c>
      <c r="Q7" s="32">
        <v>45658</v>
      </c>
      <c r="R7" s="32">
        <v>45747</v>
      </c>
      <c r="S7" s="32">
        <v>45763</v>
      </c>
      <c r="T7" s="32">
        <v>45792</v>
      </c>
      <c r="U7" s="32">
        <v>45793</v>
      </c>
      <c r="V7" s="32">
        <v>45823</v>
      </c>
      <c r="W7" s="32">
        <v>45824</v>
      </c>
      <c r="X7" s="32">
        <v>45838</v>
      </c>
      <c r="Y7" s="14"/>
      <c r="Z7" s="7"/>
      <c r="AA7" s="7" t="str">
        <f t="shared" si="2"/>
        <v>Not Started</v>
      </c>
      <c r="AB7" s="7" t="str">
        <f t="shared" si="3"/>
        <v>Proses UAT</v>
      </c>
      <c r="AC7" s="31"/>
      <c r="AD7" s="31"/>
      <c r="AE7" s="31"/>
      <c r="AF7" s="31"/>
      <c r="AG7" s="31"/>
      <c r="AH7" s="31"/>
      <c r="AI7" s="31"/>
      <c r="AJ7" s="31"/>
      <c r="AK7" s="14"/>
      <c r="AL7" s="14"/>
      <c r="AM7" s="14"/>
      <c r="AN7" s="85">
        <v>0.8</v>
      </c>
      <c r="AO7" s="31"/>
      <c r="AP7" s="31"/>
      <c r="AQ7" s="31"/>
      <c r="AR7" s="31"/>
      <c r="AS7" s="31"/>
      <c r="AT7" s="31"/>
      <c r="AU7" s="31"/>
      <c r="AV7" s="31"/>
      <c r="AW7" s="14"/>
      <c r="AX7" s="14"/>
      <c r="AY7" s="7" t="str">
        <f t="shared" si="4"/>
        <v>Selesai Implementasi</v>
      </c>
      <c r="AZ7" s="7" t="str">
        <f t="shared" si="5"/>
        <v>Selesai KAK</v>
      </c>
      <c r="BA7" s="31"/>
      <c r="BB7" s="31"/>
      <c r="BC7" s="31"/>
      <c r="BD7" s="31"/>
      <c r="BE7" s="31"/>
      <c r="BF7" s="31"/>
      <c r="BG7" s="31"/>
      <c r="BH7" s="31"/>
      <c r="BI7" s="14"/>
      <c r="BJ7" s="14"/>
      <c r="BK7" s="9">
        <f t="shared" si="6"/>
        <v>0.99999999999999989</v>
      </c>
      <c r="BL7" s="30">
        <v>0.25</v>
      </c>
      <c r="BM7" s="31"/>
      <c r="BN7" s="31"/>
      <c r="BO7" s="31"/>
      <c r="BP7" s="31"/>
      <c r="BQ7" s="31"/>
      <c r="BR7" s="31"/>
      <c r="BS7" s="31"/>
      <c r="BT7" s="31"/>
      <c r="BU7" s="14"/>
      <c r="BV7" s="14"/>
      <c r="BW7" s="9">
        <f t="shared" si="7"/>
        <v>1</v>
      </c>
      <c r="BX7" s="9">
        <f t="shared" si="8"/>
        <v>0.3125</v>
      </c>
      <c r="BY7" s="31"/>
      <c r="BZ7" s="31"/>
      <c r="CA7" s="31"/>
      <c r="CB7" s="31"/>
      <c r="CC7" s="31"/>
      <c r="CD7" s="31"/>
      <c r="CE7" s="31"/>
      <c r="CF7" s="31"/>
      <c r="CG7" s="14"/>
      <c r="CH7" s="14"/>
      <c r="CI7" s="9" t="str">
        <f t="shared" si="9"/>
        <v>NS</v>
      </c>
      <c r="CJ7" s="9" t="str">
        <f t="shared" si="10"/>
        <v>NS</v>
      </c>
      <c r="CK7" s="31"/>
      <c r="CL7" s="31"/>
      <c r="CM7" s="31"/>
      <c r="CN7" s="31"/>
      <c r="CO7" s="31"/>
      <c r="CP7" s="31"/>
      <c r="CQ7" s="31"/>
      <c r="CR7" s="31"/>
      <c r="CS7" s="14"/>
      <c r="CT7" s="14"/>
      <c r="CU7" s="14"/>
      <c r="CV7" s="31"/>
      <c r="CW7" s="31"/>
      <c r="CX7" s="31"/>
      <c r="CY7" s="31"/>
      <c r="CZ7" s="31"/>
      <c r="DA7" s="31"/>
      <c r="DB7" s="31"/>
      <c r="DC7" s="31"/>
      <c r="DD7" s="31"/>
      <c r="DE7" s="33">
        <v>1</v>
      </c>
      <c r="DF7" s="33">
        <v>1</v>
      </c>
      <c r="DG7" s="33">
        <v>1</v>
      </c>
      <c r="DH7" s="33">
        <v>1</v>
      </c>
      <c r="DI7" s="18" t="s">
        <v>1134</v>
      </c>
      <c r="DJ7" s="14"/>
      <c r="DK7" s="17">
        <f t="shared" si="15"/>
        <v>45824</v>
      </c>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4" t="s">
        <v>202</v>
      </c>
      <c r="EM7" s="14"/>
      <c r="EN7" s="14"/>
      <c r="EO7" s="14"/>
      <c r="EP7" s="14"/>
    </row>
    <row r="8" spans="1:155" ht="87">
      <c r="A8" s="28" t="s">
        <v>1135</v>
      </c>
      <c r="B8" s="14"/>
      <c r="C8" s="14" t="s">
        <v>1136</v>
      </c>
      <c r="D8" s="14" t="s">
        <v>1136</v>
      </c>
      <c r="E8" s="38">
        <v>2024</v>
      </c>
      <c r="F8" s="38">
        <v>2025</v>
      </c>
      <c r="G8" s="37" t="s">
        <v>638</v>
      </c>
      <c r="H8" s="39" t="s">
        <v>189</v>
      </c>
      <c r="I8" s="37" t="s">
        <v>789</v>
      </c>
      <c r="J8" s="7" t="str">
        <f t="shared" si="0"/>
        <v>Aldo Fernanda</v>
      </c>
      <c r="K8" s="14"/>
      <c r="L8" s="14" t="s">
        <v>1129</v>
      </c>
      <c r="M8" s="8">
        <f t="shared" si="1"/>
        <v>45930</v>
      </c>
      <c r="N8" s="9">
        <f t="shared" si="11"/>
        <v>1</v>
      </c>
      <c r="O8" s="7">
        <v>0</v>
      </c>
      <c r="P8" s="7">
        <v>0</v>
      </c>
      <c r="Q8" s="14"/>
      <c r="R8" s="14"/>
      <c r="S8" s="32">
        <v>45717</v>
      </c>
      <c r="T8" s="32">
        <v>45808</v>
      </c>
      <c r="U8" s="32">
        <v>45809</v>
      </c>
      <c r="V8" s="32">
        <v>45915</v>
      </c>
      <c r="W8" s="32">
        <v>45916</v>
      </c>
      <c r="X8" s="32">
        <v>45930</v>
      </c>
      <c r="Y8" s="14"/>
      <c r="Z8" s="7"/>
      <c r="AA8" s="7" t="str">
        <f t="shared" si="2"/>
        <v>Not Started</v>
      </c>
      <c r="AB8" s="7" t="str">
        <f t="shared" si="3"/>
        <v>Not Started</v>
      </c>
      <c r="AC8" s="7" t="str">
        <f>IF(AO8=0%,"Not Started",IF(AO8&lt;5%,"Proses CD",IF(AO8=5%,"Selesai CD",IF(AO8&lt;10%,"Proses BRD",IF(AO8=10%,"Selesai BRD",IF(AO8&lt;20%,"Proses Solusi SI",IF(AO8=20%,"Selesai Solusi SI",IF(AO8&lt;25%,"Proses KAK",IF(AO8=25%,"Selesai KAK",IF(AO8&lt;30%,"Proses SPK",IF(AO8=30%,"Selesai SPK",IF(AO8&lt;45%, "Proses Desain", IF(AO8=45%, "Selesai Desain", IF(AO8&lt;60%,"Proses Coding",IF(AO8=60%,"Selesai Coding",IF(AO8&lt;75%,"Proses SIT", IF(AO8=75%,"Selesai SIT", IF(AO8&lt;90%,"Proses UAT",IF(AO8=90%,"Selesai UAT",IF(AO8&lt;100%,"Proses Implementasi","Selesai Implementasi"))))))))))))))))))))</f>
        <v>Not Started</v>
      </c>
      <c r="AD8" s="7" t="str">
        <f>IF(AP8=0%,"Not Started",IF(AP8&lt;5%,"Proses CD",IF(AP8=5%,"Selesai CD",IF(AP8&lt;10%,"Proses BRD",IF(AP8=10%,"Selesai BRD",IF(AP8&lt;20%,"Proses Solusi SI",IF(AP8=20%,"Selesai Solusi SI",IF(AP8&lt;25%,"Proses KAK",IF(AP8=25%,"Selesai KAK",IF(AP8&lt;30%,"Proses SPK",IF(AP8=30%,"Selesai SPK",IF(AP8&lt;45%, "Proses Desain", IF(AP8=45%, "Selesai Desain", IF(AP8&lt;60%,"Proses Coding",IF(AP8=60%,"Selesai Coding",IF(AP8&lt;75%,"Proses SIT", IF(AP8=75%,"Selesai SIT", IF(AP8&lt;90%,"Proses UAT",IF(AP8=90%,"Selesai UAT",IF(AP8&lt;100%,"Proses Implementasi","Selesai Implementasi"))))))))))))))))))))</f>
        <v>Not Started</v>
      </c>
      <c r="AE8" s="31"/>
      <c r="AF8" s="31"/>
      <c r="AG8" s="31"/>
      <c r="AH8" s="31"/>
      <c r="AI8" s="31"/>
      <c r="AJ8" s="31"/>
      <c r="AK8" s="14"/>
      <c r="AL8" s="14"/>
      <c r="AM8" s="14"/>
      <c r="AN8" s="31"/>
      <c r="AO8" s="31"/>
      <c r="AP8" s="31"/>
      <c r="AQ8" s="31"/>
      <c r="AR8" s="31"/>
      <c r="AS8" s="31"/>
      <c r="AT8" s="31"/>
      <c r="AU8" s="31"/>
      <c r="AV8" s="31"/>
      <c r="AW8" s="14"/>
      <c r="AX8" s="14"/>
      <c r="AY8" s="7" t="str">
        <f t="shared" si="4"/>
        <v>Selesai Implementasi</v>
      </c>
      <c r="AZ8" s="7" t="str">
        <f t="shared" si="5"/>
        <v>Selesai KAK</v>
      </c>
      <c r="BA8" s="31"/>
      <c r="BB8" s="31"/>
      <c r="BC8" s="31"/>
      <c r="BD8" s="31"/>
      <c r="BE8" s="31"/>
      <c r="BF8" s="31"/>
      <c r="BG8" s="31"/>
      <c r="BH8" s="31"/>
      <c r="BI8" s="14"/>
      <c r="BJ8" s="14"/>
      <c r="BK8" s="9">
        <f t="shared" si="6"/>
        <v>0.99999999999999989</v>
      </c>
      <c r="BL8" s="30">
        <v>0.25</v>
      </c>
      <c r="BM8" s="31"/>
      <c r="BN8" s="31"/>
      <c r="BO8" s="31"/>
      <c r="BP8" s="31"/>
      <c r="BQ8" s="31"/>
      <c r="BR8" s="31"/>
      <c r="BS8" s="31"/>
      <c r="BT8" s="31"/>
      <c r="BU8" s="14"/>
      <c r="BV8" s="14"/>
      <c r="BW8" s="9">
        <f t="shared" si="7"/>
        <v>1</v>
      </c>
      <c r="BX8" s="9">
        <f t="shared" si="8"/>
        <v>1</v>
      </c>
      <c r="BY8" s="31"/>
      <c r="BZ8" s="31"/>
      <c r="CA8" s="31"/>
      <c r="CB8" s="31"/>
      <c r="CC8" s="31"/>
      <c r="CD8" s="31"/>
      <c r="CE8" s="31"/>
      <c r="CF8" s="31"/>
      <c r="CG8" s="14"/>
      <c r="CH8" s="14"/>
      <c r="CI8" s="9" t="str">
        <f t="shared" si="9"/>
        <v>NS</v>
      </c>
      <c r="CJ8" s="9" t="str">
        <f t="shared" si="10"/>
        <v>NS</v>
      </c>
      <c r="CK8" s="31"/>
      <c r="CL8" s="31"/>
      <c r="CM8" s="31"/>
      <c r="CN8" s="31"/>
      <c r="CO8" s="31"/>
      <c r="CP8" s="31"/>
      <c r="CQ8" s="31"/>
      <c r="CR8" s="31"/>
      <c r="CS8" s="14"/>
      <c r="CT8" s="14"/>
      <c r="CU8" s="14"/>
      <c r="CV8" s="31"/>
      <c r="CW8" s="31"/>
      <c r="CX8" s="31"/>
      <c r="CY8" s="31"/>
      <c r="CZ8" s="31"/>
      <c r="DA8" s="31"/>
      <c r="DB8" s="31"/>
      <c r="DC8" s="31"/>
      <c r="DD8" s="31"/>
      <c r="DE8" s="33">
        <v>1</v>
      </c>
      <c r="DF8" s="33">
        <v>1</v>
      </c>
      <c r="DG8" s="33">
        <v>1</v>
      </c>
      <c r="DH8" s="33">
        <v>1</v>
      </c>
      <c r="DI8" s="86" t="s">
        <v>1137</v>
      </c>
      <c r="DJ8" s="570">
        <v>45992</v>
      </c>
      <c r="DK8" s="17">
        <f t="shared" si="15"/>
        <v>45916</v>
      </c>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4" t="s">
        <v>180</v>
      </c>
      <c r="EM8" s="14"/>
      <c r="EN8" s="14"/>
      <c r="EO8" s="14"/>
      <c r="EP8" s="14"/>
    </row>
    <row r="9" spans="1:155" ht="265.39999999999998" customHeight="1">
      <c r="A9" s="28" t="s">
        <v>1138</v>
      </c>
      <c r="B9" s="14"/>
      <c r="C9" s="14" t="s">
        <v>1139</v>
      </c>
      <c r="D9" s="14" t="s">
        <v>1140</v>
      </c>
      <c r="E9" s="38">
        <v>2026</v>
      </c>
      <c r="F9" s="38">
        <v>2026</v>
      </c>
      <c r="G9" s="37" t="s">
        <v>472</v>
      </c>
      <c r="H9" s="39" t="s">
        <v>189</v>
      </c>
      <c r="I9" s="37" t="s">
        <v>656</v>
      </c>
      <c r="J9" s="7" t="str">
        <f t="shared" si="0"/>
        <v>Aldo Fernanda</v>
      </c>
      <c r="K9" s="14"/>
      <c r="L9" s="14" t="s">
        <v>694</v>
      </c>
      <c r="M9" s="8">
        <f t="shared" si="1"/>
        <v>45991</v>
      </c>
      <c r="N9" s="9">
        <f t="shared" si="11"/>
        <v>0</v>
      </c>
      <c r="O9" s="7">
        <v>0</v>
      </c>
      <c r="P9" s="7">
        <v>0</v>
      </c>
      <c r="Q9" s="14"/>
      <c r="R9" s="14"/>
      <c r="S9" s="32">
        <v>45870</v>
      </c>
      <c r="T9" s="32">
        <v>45930</v>
      </c>
      <c r="U9" s="32">
        <v>45931</v>
      </c>
      <c r="V9" s="32">
        <v>45976</v>
      </c>
      <c r="W9" s="32">
        <v>45977</v>
      </c>
      <c r="X9" s="32">
        <v>45991</v>
      </c>
      <c r="Y9" s="14"/>
      <c r="Z9" s="7"/>
      <c r="AA9" s="7" t="str">
        <f t="shared" si="2"/>
        <v>Not Started</v>
      </c>
      <c r="AB9" s="7" t="str">
        <f t="shared" si="3"/>
        <v>Not Started</v>
      </c>
      <c r="AC9" s="7" t="str">
        <f>IF(AO9=0%,"Not Started",IF(AO9&lt;5%,"Proses CD",IF(AO9=5%,"Selesai CD",IF(AO9&lt;10%,"Proses BRD",IF(AO9=10%,"Selesai BRD",IF(AO9&lt;20%,"Proses Solusi SI",IF(AO9=20%,"Selesai Solusi SI",IF(AO9&lt;25%,"Proses KAK",IF(AO9=25%,"Selesai KAK",IF(AO9&lt;30%,"Proses SPK",IF(AO9=30%,"Selesai SPK",IF(AO9&lt;45%, "Proses Desain", IF(AO9=45%, "Selesai Desain", IF(AO9&lt;60%,"Proses Coding",IF(AO9=60%,"Selesai Coding",IF(AO9&lt;75%,"Proses SIT", IF(AO9=75%,"Selesai SIT", IF(AO9&lt;90%,"Proses UAT",IF(AO9=90%,"Selesai UAT",IF(AO9&lt;100%,"Proses Implementasi","Selesai Implementasi"))))))))))))))))))))</f>
        <v>Not Started</v>
      </c>
      <c r="AD9" s="7" t="str">
        <f>IF(AP9=0%,"Not Started",IF(AP9&lt;5%,"Proses CD",IF(AP9=5%,"Selesai CD",IF(AP9&lt;10%,"Proses BRD",IF(AP9=10%,"Selesai BRD",IF(AP9&lt;20%,"Proses Solusi SI",IF(AP9=20%,"Selesai Solusi SI",IF(AP9&lt;25%,"Proses KAK",IF(AP9=25%,"Selesai KAK",IF(AP9&lt;30%,"Proses SPK",IF(AP9=30%,"Selesai SPK",IF(AP9&lt;45%, "Proses Desain", IF(AP9=45%, "Selesai Desain", IF(AP9&lt;60%,"Proses Coding",IF(AP9=60%,"Selesai Coding",IF(AP9&lt;75%,"Proses SIT", IF(AP9=75%,"Selesai SIT", IF(AP9&lt;90%,"Proses UAT",IF(AP9=90%,"Selesai UAT",IF(AP9&lt;100%,"Proses Implementasi","Selesai Implementasi"))))))))))))))))))))</f>
        <v>Not Started</v>
      </c>
      <c r="AE9" s="31"/>
      <c r="AF9" s="31"/>
      <c r="AG9" s="31"/>
      <c r="AH9" s="31"/>
      <c r="AI9" s="31"/>
      <c r="AJ9" s="31"/>
      <c r="AK9" s="14"/>
      <c r="AL9" s="14"/>
      <c r="AM9" s="14"/>
      <c r="AN9" s="31"/>
      <c r="AO9" s="31"/>
      <c r="AP9" s="31"/>
      <c r="AQ9" s="31"/>
      <c r="AR9" s="31"/>
      <c r="AS9" s="31"/>
      <c r="AT9" s="31"/>
      <c r="AU9" s="31"/>
      <c r="AV9" s="31"/>
      <c r="AW9" s="14"/>
      <c r="AX9" s="14"/>
      <c r="AY9" s="7" t="str">
        <f t="shared" si="4"/>
        <v>Not Started</v>
      </c>
      <c r="AZ9" s="7" t="str">
        <f t="shared" si="5"/>
        <v>Selesai KAK</v>
      </c>
      <c r="BA9" s="7" t="str">
        <f>IF(BM9=0%,"Not Started",IF(BM9&lt;5%,"Proses CD",IF(BM9=5%,"Selesai CD",IF(BM9&lt;10%,"Proses BRD",IF(BM9=10%,"Selesai BRD",IF(BM9&lt;20%,"Proses Solusi SI",IF(BM9=20%,"Selesai Solusi SI",IF(BM9&lt;25%,"Proses KAK",IF(BM9=25%,"Selesai KAK",IF(BM9&lt;30%,"Proses SPK",IF(BM9=30%,"Selesai SPK",IF(BM9&lt;45%, "Proses Desain", IF(BM9=45%, "Selesai Desain", IF(BM9&lt;60%,"Proses Coding",IF(BM9=60%,"Selesai Coding",IF(BM9&lt;75%,"Proses SIT", IF(BM9=75%,"Selesai SIT", IF(BM9&lt;90%,"Proses UAT",IF(BM9=90%,"Selesai UAT",IF(BM9&lt;100%,"Proses Implementasi","Selesai Implementasi"))))))))))))))))))))</f>
        <v>Not Started</v>
      </c>
      <c r="BB9" s="7" t="str">
        <f>IF(BN9=0%,"Not Started",IF(BN9&lt;5%,"Proses CD",IF(BN9=5%,"Selesai CD",IF(BN9&lt;10%,"Proses BRD",IF(BN9=10%,"Selesai BRD",IF(BN9&lt;20%,"Proses Solusi SI",IF(BN9=20%,"Selesai Solusi SI",IF(BN9&lt;25%,"Proses KAK",IF(BN9=25%,"Selesai KAK",IF(BN9&lt;30%,"Proses SPK",IF(BN9=30%,"Selesai SPK",IF(BN9&lt;45%, "Proses Desain", IF(BN9=45%, "Selesai Desain", IF(BN9&lt;60%,"Proses Coding",IF(BN9=60%,"Selesai Coding",IF(BN9&lt;75%,"Proses SIT", IF(BN9=75%,"Selesai SIT", IF(BN9&lt;90%,"Proses UAT",IF(BN9=90%,"Selesai UAT",IF(BN9&lt;100%,"Proses Implementasi","Selesai Implementasi"))))))))))))))))))))</f>
        <v>Not Started</v>
      </c>
      <c r="BC9" s="31"/>
      <c r="BD9" s="31"/>
      <c r="BE9" s="31"/>
      <c r="BF9" s="31"/>
      <c r="BG9" s="31"/>
      <c r="BH9" s="31"/>
      <c r="BI9" s="14"/>
      <c r="BJ9" s="14"/>
      <c r="BK9" s="9">
        <f t="shared" si="6"/>
        <v>0</v>
      </c>
      <c r="BL9" s="30">
        <v>0.25</v>
      </c>
      <c r="BM9" s="31"/>
      <c r="BN9" s="31"/>
      <c r="BO9" s="31"/>
      <c r="BP9" s="31"/>
      <c r="BQ9" s="31"/>
      <c r="BR9" s="31"/>
      <c r="BS9" s="31"/>
      <c r="BT9" s="31"/>
      <c r="BU9" s="14"/>
      <c r="BV9" s="14"/>
      <c r="BW9" s="9">
        <f t="shared" si="7"/>
        <v>1</v>
      </c>
      <c r="BX9" s="9">
        <f t="shared" si="8"/>
        <v>1</v>
      </c>
      <c r="BY9" s="31"/>
      <c r="BZ9" s="31"/>
      <c r="CA9" s="31"/>
      <c r="CB9" s="31"/>
      <c r="CC9" s="31"/>
      <c r="CD9" s="31"/>
      <c r="CE9" s="31"/>
      <c r="CF9" s="31"/>
      <c r="CG9" s="14"/>
      <c r="CH9" s="14"/>
      <c r="CI9" s="9" t="str">
        <f t="shared" si="9"/>
        <v>NS</v>
      </c>
      <c r="CJ9" s="9" t="str">
        <f t="shared" si="10"/>
        <v>NS</v>
      </c>
      <c r="CK9" s="31"/>
      <c r="CL9" s="31"/>
      <c r="CM9" s="31"/>
      <c r="CN9" s="31"/>
      <c r="CO9" s="31"/>
      <c r="CP9" s="31"/>
      <c r="CQ9" s="31"/>
      <c r="CR9" s="31"/>
      <c r="CS9" s="14"/>
      <c r="CT9" s="14"/>
      <c r="CU9" s="14"/>
      <c r="CV9" s="31"/>
      <c r="CW9" s="31"/>
      <c r="CX9" s="31"/>
      <c r="CY9" s="31"/>
      <c r="CZ9" s="31"/>
      <c r="DA9" s="31"/>
      <c r="DB9" s="31"/>
      <c r="DC9" s="31"/>
      <c r="DD9" s="31"/>
      <c r="DE9" s="84"/>
      <c r="DF9" s="84"/>
      <c r="DG9" s="84"/>
      <c r="DH9" s="84"/>
      <c r="DI9" s="84" t="s">
        <v>1141</v>
      </c>
      <c r="DJ9" s="14"/>
      <c r="DK9" s="17">
        <f t="shared" si="15"/>
        <v>45977</v>
      </c>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4" t="s">
        <v>180</v>
      </c>
      <c r="EM9" s="14"/>
      <c r="EN9" s="14"/>
      <c r="EO9" s="14"/>
      <c r="EP9" s="14"/>
    </row>
    <row r="10" spans="1:155" ht="29">
      <c r="A10" s="28" t="s">
        <v>1138</v>
      </c>
      <c r="B10" s="14"/>
      <c r="C10" s="14" t="s">
        <v>1139</v>
      </c>
      <c r="D10" s="14" t="s">
        <v>1142</v>
      </c>
      <c r="E10" s="38">
        <v>2026</v>
      </c>
      <c r="F10" s="38">
        <v>2026</v>
      </c>
      <c r="G10" s="37" t="s">
        <v>472</v>
      </c>
      <c r="H10" s="39" t="s">
        <v>199</v>
      </c>
      <c r="I10" s="37" t="s">
        <v>1143</v>
      </c>
      <c r="J10" s="7" t="str">
        <f t="shared" si="0"/>
        <v>Elnestor</v>
      </c>
      <c r="K10" s="14"/>
      <c r="L10" s="14" t="s">
        <v>694</v>
      </c>
      <c r="M10" s="8">
        <f t="shared" si="1"/>
        <v>45716</v>
      </c>
      <c r="N10" s="9">
        <f t="shared" si="11"/>
        <v>0</v>
      </c>
      <c r="O10" s="7">
        <v>1</v>
      </c>
      <c r="P10" s="7">
        <v>1</v>
      </c>
      <c r="Q10" s="14"/>
      <c r="R10" s="14"/>
      <c r="S10" s="32">
        <v>45931</v>
      </c>
      <c r="T10" s="32">
        <v>45991</v>
      </c>
      <c r="U10" s="32">
        <v>45658</v>
      </c>
      <c r="V10" s="32">
        <v>45688</v>
      </c>
      <c r="W10" s="32">
        <v>45689</v>
      </c>
      <c r="X10" s="32">
        <v>45716</v>
      </c>
      <c r="Y10" s="14"/>
      <c r="Z10" s="7"/>
      <c r="AA10" s="7" t="str">
        <f t="shared" si="2"/>
        <v>Not Started</v>
      </c>
      <c r="AB10" s="7" t="str">
        <f t="shared" si="3"/>
        <v>Not Started</v>
      </c>
      <c r="AC10" s="31"/>
      <c r="AD10" s="31"/>
      <c r="AE10" s="31"/>
      <c r="AF10" s="31"/>
      <c r="AG10" s="31"/>
      <c r="AH10" s="31"/>
      <c r="AI10" s="31"/>
      <c r="AJ10" s="31"/>
      <c r="AK10" s="14"/>
      <c r="AL10" s="14"/>
      <c r="AM10" s="14"/>
      <c r="AN10" s="31"/>
      <c r="AO10" s="31"/>
      <c r="AP10" s="31"/>
      <c r="AQ10" s="31"/>
      <c r="AR10" s="31"/>
      <c r="AS10" s="31"/>
      <c r="AT10" s="31"/>
      <c r="AU10" s="31"/>
      <c r="AV10" s="31"/>
      <c r="AW10" s="14"/>
      <c r="AX10" s="14"/>
      <c r="AY10" s="7" t="str">
        <f t="shared" si="4"/>
        <v>Not Started</v>
      </c>
      <c r="AZ10" s="7" t="str">
        <f t="shared" si="5"/>
        <v>Selesai KAK</v>
      </c>
      <c r="BA10" s="31"/>
      <c r="BB10" s="31"/>
      <c r="BC10" s="31"/>
      <c r="BD10" s="31"/>
      <c r="BE10" s="31"/>
      <c r="BF10" s="31"/>
      <c r="BG10" s="31"/>
      <c r="BH10" s="31"/>
      <c r="BI10" s="14"/>
      <c r="BJ10" s="14"/>
      <c r="BK10" s="9">
        <f t="shared" si="6"/>
        <v>0</v>
      </c>
      <c r="BL10" s="30">
        <v>0.25</v>
      </c>
      <c r="BM10" s="31"/>
      <c r="BN10" s="31"/>
      <c r="BO10" s="31"/>
      <c r="BP10" s="31"/>
      <c r="BQ10" s="31"/>
      <c r="BR10" s="31"/>
      <c r="BS10" s="31"/>
      <c r="BT10" s="31"/>
      <c r="BU10" s="14"/>
      <c r="BV10" s="14"/>
      <c r="BW10" s="9">
        <f t="shared" si="7"/>
        <v>1</v>
      </c>
      <c r="BX10" s="9">
        <f t="shared" si="8"/>
        <v>1</v>
      </c>
      <c r="BY10" s="31"/>
      <c r="BZ10" s="31"/>
      <c r="CA10" s="31"/>
      <c r="CB10" s="31"/>
      <c r="CC10" s="31"/>
      <c r="CD10" s="31"/>
      <c r="CE10" s="31"/>
      <c r="CF10" s="31"/>
      <c r="CG10" s="14"/>
      <c r="CH10" s="14"/>
      <c r="CI10" s="9" t="str">
        <f t="shared" si="9"/>
        <v>NS</v>
      </c>
      <c r="CJ10" s="9" t="str">
        <f t="shared" si="10"/>
        <v>NS</v>
      </c>
      <c r="CK10" s="9" t="str">
        <f t="shared" ref="CK10:CL12" si="16">IF(AU10=0%,"NS",IF(BM10=100%,"DONE",IF(BY10&gt;100%,"AS",IF(BY10&lt;75%,"BS",IF(BA10&lt;&gt;AC10,"BS",IF(BY10&lt;89.9%,"AR","OS"))))))</f>
        <v>NS</v>
      </c>
      <c r="CL10" s="9" t="str">
        <f t="shared" si="16"/>
        <v>NS</v>
      </c>
      <c r="CM10" s="31"/>
      <c r="CN10" s="31"/>
      <c r="CO10" s="31"/>
      <c r="CP10" s="31"/>
      <c r="CQ10" s="31"/>
      <c r="CR10" s="31"/>
      <c r="CS10" s="14"/>
      <c r="CT10" s="14"/>
      <c r="CU10" s="14"/>
      <c r="CV10" s="31"/>
      <c r="CW10" s="31"/>
      <c r="CX10" s="31"/>
      <c r="CY10" s="31"/>
      <c r="CZ10" s="31"/>
      <c r="DA10" s="31"/>
      <c r="DB10" s="31"/>
      <c r="DC10" s="31"/>
      <c r="DD10" s="31"/>
      <c r="DE10" s="84"/>
      <c r="DF10" s="84"/>
      <c r="DG10" s="84"/>
      <c r="DH10" s="84"/>
      <c r="DI10" s="84"/>
      <c r="DJ10" s="14"/>
      <c r="DK10" s="17">
        <f t="shared" si="15"/>
        <v>45689</v>
      </c>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4" t="s">
        <v>497</v>
      </c>
      <c r="EM10" s="14"/>
      <c r="EN10" s="14"/>
      <c r="EO10" s="14"/>
      <c r="EP10" s="14"/>
    </row>
    <row r="11" spans="1:155" ht="29">
      <c r="A11" s="28" t="s">
        <v>1138</v>
      </c>
      <c r="B11" s="14"/>
      <c r="C11" s="14" t="s">
        <v>1139</v>
      </c>
      <c r="D11" s="14" t="s">
        <v>1144</v>
      </c>
      <c r="E11" s="38">
        <v>2026</v>
      </c>
      <c r="F11" s="38">
        <v>2026</v>
      </c>
      <c r="G11" s="37" t="s">
        <v>472</v>
      </c>
      <c r="H11" s="39" t="s">
        <v>673</v>
      </c>
      <c r="I11" s="37" t="s">
        <v>1145</v>
      </c>
      <c r="J11" s="7" t="str">
        <f t="shared" si="0"/>
        <v>Rangga Dhaniarto</v>
      </c>
      <c r="K11" s="14"/>
      <c r="L11" s="14" t="s">
        <v>694</v>
      </c>
      <c r="M11" s="8">
        <f t="shared" si="1"/>
        <v>46196</v>
      </c>
      <c r="N11" s="9">
        <f t="shared" si="11"/>
        <v>0</v>
      </c>
      <c r="O11" s="7">
        <v>0</v>
      </c>
      <c r="P11" s="7">
        <v>0</v>
      </c>
      <c r="Q11" s="14"/>
      <c r="R11" s="14"/>
      <c r="S11" s="32">
        <v>45992</v>
      </c>
      <c r="T11" s="14"/>
      <c r="U11" s="14"/>
      <c r="V11" s="14"/>
      <c r="W11" s="14"/>
      <c r="X11" s="32">
        <v>46196</v>
      </c>
      <c r="Y11" s="14"/>
      <c r="Z11" s="7"/>
      <c r="AA11" s="7" t="str">
        <f t="shared" si="2"/>
        <v>Not Started</v>
      </c>
      <c r="AB11" s="7" t="str">
        <f t="shared" si="3"/>
        <v>Not Started</v>
      </c>
      <c r="AC11" s="31"/>
      <c r="AD11" s="31"/>
      <c r="AE11" s="31"/>
      <c r="AF11" s="31"/>
      <c r="AG11" s="31"/>
      <c r="AH11" s="31"/>
      <c r="AI11" s="31"/>
      <c r="AJ11" s="31"/>
      <c r="AK11" s="14"/>
      <c r="AL11" s="14"/>
      <c r="AM11" s="14"/>
      <c r="AN11" s="31"/>
      <c r="AO11" s="31"/>
      <c r="AP11" s="31"/>
      <c r="AQ11" s="31"/>
      <c r="AR11" s="31"/>
      <c r="AS11" s="31"/>
      <c r="AT11" s="31"/>
      <c r="AU11" s="31"/>
      <c r="AV11" s="31"/>
      <c r="AW11" s="14"/>
      <c r="AX11" s="14"/>
      <c r="AY11" s="7" t="str">
        <f t="shared" si="4"/>
        <v>Not Started</v>
      </c>
      <c r="AZ11" s="7" t="str">
        <f t="shared" si="5"/>
        <v>Selesai KAK</v>
      </c>
      <c r="BA11" s="31"/>
      <c r="BB11" s="31"/>
      <c r="BC11" s="31"/>
      <c r="BD11" s="31"/>
      <c r="BE11" s="31"/>
      <c r="BF11" s="31"/>
      <c r="BG11" s="31"/>
      <c r="BH11" s="31"/>
      <c r="BI11" s="14"/>
      <c r="BJ11" s="14"/>
      <c r="BK11" s="9">
        <f t="shared" si="6"/>
        <v>0</v>
      </c>
      <c r="BL11" s="30">
        <v>0.25</v>
      </c>
      <c r="BM11" s="31"/>
      <c r="BN11" s="31"/>
      <c r="BO11" s="31"/>
      <c r="BP11" s="31"/>
      <c r="BQ11" s="31"/>
      <c r="BR11" s="31"/>
      <c r="BS11" s="31"/>
      <c r="BT11" s="31"/>
      <c r="BU11" s="14"/>
      <c r="BV11" s="14"/>
      <c r="BW11" s="9">
        <f t="shared" si="7"/>
        <v>1</v>
      </c>
      <c r="BX11" s="9">
        <f t="shared" si="8"/>
        <v>1</v>
      </c>
      <c r="BY11" s="31"/>
      <c r="BZ11" s="31"/>
      <c r="CA11" s="31"/>
      <c r="CB11" s="31"/>
      <c r="CC11" s="31"/>
      <c r="CD11" s="31"/>
      <c r="CE11" s="31"/>
      <c r="CF11" s="31"/>
      <c r="CG11" s="14"/>
      <c r="CH11" s="14"/>
      <c r="CI11" s="9" t="str">
        <f t="shared" si="9"/>
        <v>NS</v>
      </c>
      <c r="CJ11" s="9" t="str">
        <f t="shared" si="10"/>
        <v>NS</v>
      </c>
      <c r="CK11" s="9" t="str">
        <f t="shared" si="16"/>
        <v>NS</v>
      </c>
      <c r="CL11" s="9" t="str">
        <f t="shared" si="16"/>
        <v>NS</v>
      </c>
      <c r="CM11" s="31"/>
      <c r="CN11" s="31"/>
      <c r="CO11" s="31"/>
      <c r="CP11" s="31"/>
      <c r="CQ11" s="31"/>
      <c r="CR11" s="31"/>
      <c r="CS11" s="14"/>
      <c r="CT11" s="14"/>
      <c r="CU11" s="14"/>
      <c r="CV11" s="31"/>
      <c r="CW11" s="31"/>
      <c r="CX11" s="31"/>
      <c r="CY11" s="31"/>
      <c r="CZ11" s="31"/>
      <c r="DA11" s="31"/>
      <c r="DB11" s="31"/>
      <c r="DC11" s="31"/>
      <c r="DD11" s="31"/>
      <c r="DE11" s="84"/>
      <c r="DF11" s="84"/>
      <c r="DG11" s="84"/>
      <c r="DH11" s="84"/>
      <c r="DI11" s="84" t="s">
        <v>694</v>
      </c>
      <c r="DJ11" s="14"/>
      <c r="DK11" s="17">
        <f t="shared" si="15"/>
        <v>0</v>
      </c>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4" t="s">
        <v>563</v>
      </c>
      <c r="EM11" s="14"/>
      <c r="EN11" s="14"/>
      <c r="EO11" s="14"/>
      <c r="EP11" s="14"/>
    </row>
    <row r="12" spans="1:155" customFormat="1" ht="29">
      <c r="A12" s="28" t="s">
        <v>1138</v>
      </c>
      <c r="B12" s="31"/>
      <c r="C12" s="14" t="s">
        <v>1139</v>
      </c>
      <c r="D12" s="87" t="s">
        <v>1146</v>
      </c>
      <c r="E12" s="38">
        <v>2026</v>
      </c>
      <c r="F12" s="38">
        <v>2026</v>
      </c>
      <c r="G12" s="37" t="s">
        <v>472</v>
      </c>
      <c r="H12" s="39" t="s">
        <v>297</v>
      </c>
      <c r="I12" s="37" t="s">
        <v>531</v>
      </c>
      <c r="J12" s="7" t="str">
        <f t="shared" si="0"/>
        <v>Yolanda Dini</v>
      </c>
      <c r="K12" s="31"/>
      <c r="L12" s="14" t="s">
        <v>694</v>
      </c>
      <c r="M12" s="8">
        <f t="shared" si="1"/>
        <v>46203</v>
      </c>
      <c r="N12" s="9">
        <f t="shared" si="11"/>
        <v>0</v>
      </c>
      <c r="O12" s="88"/>
      <c r="P12" s="88">
        <v>0</v>
      </c>
      <c r="Q12" s="31"/>
      <c r="R12" s="31"/>
      <c r="S12" s="89">
        <v>46113</v>
      </c>
      <c r="T12" s="89"/>
      <c r="U12" s="89"/>
      <c r="V12" s="89"/>
      <c r="W12" s="89"/>
      <c r="X12" s="89">
        <v>46203</v>
      </c>
      <c r="Y12" s="31"/>
      <c r="Z12" s="7"/>
      <c r="AA12" s="7" t="str">
        <f t="shared" si="2"/>
        <v>Not Started</v>
      </c>
      <c r="AB12" s="7" t="str">
        <f t="shared" si="3"/>
        <v>Not Started</v>
      </c>
      <c r="AC12" s="31"/>
      <c r="AD12" s="31"/>
      <c r="AE12" s="31"/>
      <c r="AF12" s="31"/>
      <c r="AG12" s="31"/>
      <c r="AH12" s="31"/>
      <c r="AI12" s="31"/>
      <c r="AJ12" s="31"/>
      <c r="AK12" s="31"/>
      <c r="AL12" s="31"/>
      <c r="AM12" s="31"/>
      <c r="AN12" s="31"/>
      <c r="AO12" s="31"/>
      <c r="AP12" s="31"/>
      <c r="AQ12" s="31"/>
      <c r="AR12" s="31"/>
      <c r="AS12" s="31"/>
      <c r="AT12" s="31"/>
      <c r="AU12" s="31"/>
      <c r="AV12" s="31"/>
      <c r="AW12" s="31"/>
      <c r="AX12" s="31"/>
      <c r="AY12" s="7" t="str">
        <f t="shared" si="4"/>
        <v>Not Started</v>
      </c>
      <c r="AZ12" s="7" t="str">
        <f t="shared" si="5"/>
        <v>Selesai KAK</v>
      </c>
      <c r="BA12" s="31"/>
      <c r="BB12" s="31"/>
      <c r="BC12" s="31"/>
      <c r="BD12" s="31"/>
      <c r="BE12" s="31"/>
      <c r="BF12" s="31"/>
      <c r="BG12" s="31"/>
      <c r="BH12" s="31"/>
      <c r="BI12" s="31"/>
      <c r="BJ12" s="31"/>
      <c r="BK12" s="9">
        <f t="shared" si="6"/>
        <v>0</v>
      </c>
      <c r="BL12" s="30">
        <v>0.25</v>
      </c>
      <c r="BM12" s="31"/>
      <c r="BN12" s="31"/>
      <c r="BO12" s="31"/>
      <c r="BP12" s="31"/>
      <c r="BQ12" s="31"/>
      <c r="BR12" s="31"/>
      <c r="BS12" s="31"/>
      <c r="BT12" s="31"/>
      <c r="BU12" s="31"/>
      <c r="BV12" s="31"/>
      <c r="BW12" s="9">
        <f t="shared" si="7"/>
        <v>1</v>
      </c>
      <c r="BX12" s="9">
        <f t="shared" si="8"/>
        <v>1</v>
      </c>
      <c r="BY12" s="31"/>
      <c r="BZ12" s="31"/>
      <c r="CA12" s="31"/>
      <c r="CB12" s="31"/>
      <c r="CC12" s="31"/>
      <c r="CD12" s="31"/>
      <c r="CE12" s="31"/>
      <c r="CF12" s="31"/>
      <c r="CG12" s="31"/>
      <c r="CH12" s="31"/>
      <c r="CI12" s="9" t="str">
        <f t="shared" si="9"/>
        <v>NS</v>
      </c>
      <c r="CJ12" s="9" t="str">
        <f t="shared" si="10"/>
        <v>NS</v>
      </c>
      <c r="CK12" s="9" t="str">
        <f t="shared" si="16"/>
        <v>NS</v>
      </c>
      <c r="CL12" s="9" t="str">
        <f t="shared" si="16"/>
        <v>NS</v>
      </c>
      <c r="CM12" s="31"/>
      <c r="CN12" s="31"/>
      <c r="CO12" s="31"/>
      <c r="CP12" s="31"/>
      <c r="CQ12" s="31"/>
      <c r="CR12" s="31"/>
      <c r="CS12" s="31"/>
      <c r="CT12" s="31"/>
      <c r="CU12" s="31"/>
      <c r="CV12" s="31"/>
      <c r="CW12" s="31"/>
      <c r="CX12" s="31"/>
      <c r="CY12" s="31"/>
      <c r="CZ12" s="31"/>
      <c r="DA12" s="31"/>
      <c r="DB12" s="31"/>
      <c r="DC12" s="31"/>
      <c r="DD12" s="31"/>
      <c r="DE12" s="90"/>
      <c r="DF12" s="90"/>
      <c r="DG12" s="90"/>
      <c r="DH12" s="90"/>
      <c r="DI12" s="90"/>
      <c r="DJ12" s="31"/>
      <c r="DK12" s="17">
        <f t="shared" si="15"/>
        <v>0</v>
      </c>
      <c r="DL12" s="31"/>
      <c r="DM12" s="31"/>
      <c r="DN12" s="31"/>
      <c r="DO12" s="31"/>
      <c r="DP12" s="31"/>
      <c r="DQ12" s="31"/>
      <c r="DR12" s="31"/>
      <c r="DS12" s="31"/>
      <c r="DT12" s="31"/>
      <c r="DU12" s="31"/>
      <c r="DV12" s="31"/>
      <c r="DW12" s="31"/>
      <c r="DX12" s="31"/>
      <c r="DY12" s="31"/>
      <c r="DZ12" s="31"/>
      <c r="EA12" s="31"/>
      <c r="EB12" s="31"/>
      <c r="EC12" s="31"/>
      <c r="ED12" s="31"/>
      <c r="EE12" s="31"/>
      <c r="EF12" s="31"/>
      <c r="EG12" s="31"/>
      <c r="EH12" s="31"/>
      <c r="EI12" s="31"/>
      <c r="EJ12" s="31"/>
      <c r="EK12" s="31"/>
      <c r="EL12" s="31" t="s">
        <v>315</v>
      </c>
      <c r="EM12" s="31"/>
      <c r="EN12" s="31"/>
      <c r="EO12" s="31"/>
      <c r="EP12" s="31"/>
    </row>
    <row r="13" spans="1:155" customFormat="1" ht="29">
      <c r="A13" s="28" t="s">
        <v>1138</v>
      </c>
      <c r="B13" s="31"/>
      <c r="C13" s="14" t="s">
        <v>1139</v>
      </c>
      <c r="D13" s="36" t="s">
        <v>1147</v>
      </c>
      <c r="E13" s="38">
        <v>2026</v>
      </c>
      <c r="F13" s="38">
        <v>2026</v>
      </c>
      <c r="G13" s="37" t="s">
        <v>472</v>
      </c>
      <c r="H13" s="39" t="s">
        <v>199</v>
      </c>
      <c r="I13" s="37" t="s">
        <v>706</v>
      </c>
      <c r="J13" s="7" t="str">
        <f t="shared" si="0"/>
        <v>Muhamad Fahmi Ridwan</v>
      </c>
      <c r="K13" s="31"/>
      <c r="L13" s="14" t="s">
        <v>694</v>
      </c>
      <c r="M13" s="8">
        <f t="shared" si="1"/>
        <v>46387</v>
      </c>
      <c r="N13" s="9">
        <f t="shared" si="11"/>
        <v>0</v>
      </c>
      <c r="O13" s="88"/>
      <c r="P13" s="88"/>
      <c r="Q13" s="31"/>
      <c r="R13" s="31"/>
      <c r="S13" s="89"/>
      <c r="T13" s="89"/>
      <c r="U13" s="89"/>
      <c r="V13" s="89"/>
      <c r="W13" s="89"/>
      <c r="X13" s="32">
        <v>46387</v>
      </c>
      <c r="Y13" s="31"/>
      <c r="Z13" s="7"/>
      <c r="AA13" s="7"/>
      <c r="AB13" s="7"/>
      <c r="AC13" s="31"/>
      <c r="AD13" s="31"/>
      <c r="AE13" s="31"/>
      <c r="AF13" s="31"/>
      <c r="AG13" s="31"/>
      <c r="AH13" s="31"/>
      <c r="AI13" s="31"/>
      <c r="AJ13" s="31"/>
      <c r="AK13" s="31"/>
      <c r="AL13" s="31"/>
      <c r="AM13" s="31"/>
      <c r="AN13" s="31"/>
      <c r="AO13" s="31"/>
      <c r="AP13" s="31"/>
      <c r="AQ13" s="31"/>
      <c r="AR13" s="31"/>
      <c r="AS13" s="31"/>
      <c r="AT13" s="31"/>
      <c r="AU13" s="31"/>
      <c r="AV13" s="31"/>
      <c r="AW13" s="31"/>
      <c r="AX13" s="31"/>
      <c r="AY13" s="7"/>
      <c r="AZ13" s="7"/>
      <c r="BA13" s="31"/>
      <c r="BB13" s="31"/>
      <c r="BC13" s="31"/>
      <c r="BD13" s="31"/>
      <c r="BE13" s="31"/>
      <c r="BF13" s="31"/>
      <c r="BG13" s="31"/>
      <c r="BH13" s="31"/>
      <c r="BI13" s="31"/>
      <c r="BJ13" s="31"/>
      <c r="BK13" s="9"/>
      <c r="BL13" s="30"/>
      <c r="BM13" s="31"/>
      <c r="BN13" s="31"/>
      <c r="BO13" s="31"/>
      <c r="BP13" s="31"/>
      <c r="BQ13" s="31"/>
      <c r="BR13" s="31"/>
      <c r="BS13" s="31"/>
      <c r="BT13" s="31"/>
      <c r="BU13" s="31"/>
      <c r="BV13" s="31"/>
      <c r="BW13" s="9"/>
      <c r="BX13" s="9"/>
      <c r="BY13" s="31"/>
      <c r="BZ13" s="31"/>
      <c r="CA13" s="31"/>
      <c r="CB13" s="31"/>
      <c r="CC13" s="31"/>
      <c r="CD13" s="31"/>
      <c r="CE13" s="31"/>
      <c r="CF13" s="31"/>
      <c r="CG13" s="31"/>
      <c r="CH13" s="31"/>
      <c r="CI13" s="9"/>
      <c r="CJ13" s="9"/>
      <c r="CK13" s="9"/>
      <c r="CL13" s="9"/>
      <c r="CM13" s="31"/>
      <c r="CN13" s="31"/>
      <c r="CO13" s="31"/>
      <c r="CP13" s="31"/>
      <c r="CQ13" s="31"/>
      <c r="CR13" s="31"/>
      <c r="CS13" s="31"/>
      <c r="CT13" s="31"/>
      <c r="CU13" s="31"/>
      <c r="CV13" s="31"/>
      <c r="CW13" s="31"/>
      <c r="CX13" s="31"/>
      <c r="CY13" s="31"/>
      <c r="CZ13" s="31"/>
      <c r="DA13" s="31"/>
      <c r="DB13" s="31"/>
      <c r="DC13" s="31"/>
      <c r="DD13" s="31"/>
      <c r="DE13" s="90"/>
      <c r="DF13" s="90"/>
      <c r="DG13" s="90"/>
      <c r="DH13" s="90"/>
      <c r="DI13" s="90" t="s">
        <v>1519</v>
      </c>
      <c r="DJ13" s="31"/>
      <c r="DK13" s="17">
        <f t="shared" si="15"/>
        <v>0</v>
      </c>
      <c r="DL13" s="31"/>
      <c r="DM13" s="31"/>
      <c r="DN13" s="31"/>
      <c r="DO13" s="31"/>
      <c r="DP13" s="31"/>
      <c r="DQ13" s="31"/>
      <c r="DR13" s="31"/>
      <c r="DS13" s="31"/>
      <c r="DT13" s="31"/>
      <c r="DU13" s="31"/>
      <c r="DV13" s="31"/>
      <c r="DW13" s="31"/>
      <c r="DX13" s="31"/>
      <c r="DY13" s="31"/>
      <c r="DZ13" s="31"/>
      <c r="EA13" s="31"/>
      <c r="EB13" s="31"/>
      <c r="EC13" s="31"/>
      <c r="ED13" s="31"/>
      <c r="EE13" s="31"/>
      <c r="EF13" s="31"/>
      <c r="EG13" s="31"/>
      <c r="EH13" s="31"/>
      <c r="EI13" s="31"/>
      <c r="EJ13" s="31"/>
      <c r="EK13" s="31"/>
      <c r="EL13" s="14" t="s">
        <v>1131</v>
      </c>
      <c r="EM13" s="31"/>
      <c r="EN13" s="31"/>
      <c r="EO13" s="31"/>
      <c r="EP13" s="31"/>
    </row>
    <row r="14" spans="1:155" customFormat="1" ht="29">
      <c r="A14" s="28" t="s">
        <v>1138</v>
      </c>
      <c r="B14" s="31"/>
      <c r="C14" s="14" t="s">
        <v>1139</v>
      </c>
      <c r="D14" s="36" t="s">
        <v>1148</v>
      </c>
      <c r="E14" s="38">
        <v>2027</v>
      </c>
      <c r="F14" s="38">
        <v>2027</v>
      </c>
      <c r="G14" s="37" t="s">
        <v>472</v>
      </c>
      <c r="H14" s="39" t="s">
        <v>199</v>
      </c>
      <c r="I14" s="37" t="s">
        <v>1149</v>
      </c>
      <c r="J14" s="7" t="str">
        <f t="shared" si="0"/>
        <v>Elnestor</v>
      </c>
      <c r="K14" s="31"/>
      <c r="L14" s="14" t="s">
        <v>694</v>
      </c>
      <c r="M14" s="8">
        <f t="shared" si="1"/>
        <v>0</v>
      </c>
      <c r="N14" s="9">
        <f t="shared" si="11"/>
        <v>0</v>
      </c>
      <c r="O14" s="88"/>
      <c r="P14" s="88"/>
      <c r="Q14" s="31"/>
      <c r="R14" s="31"/>
      <c r="S14" s="89"/>
      <c r="T14" s="89"/>
      <c r="U14" s="89"/>
      <c r="V14" s="89"/>
      <c r="W14" s="89"/>
      <c r="X14" s="89"/>
      <c r="Y14" s="31"/>
      <c r="Z14" s="7"/>
      <c r="AA14" s="7"/>
      <c r="AB14" s="7"/>
      <c r="AC14" s="31"/>
      <c r="AD14" s="31"/>
      <c r="AE14" s="31"/>
      <c r="AF14" s="31"/>
      <c r="AG14" s="31"/>
      <c r="AH14" s="31"/>
      <c r="AI14" s="31"/>
      <c r="AJ14" s="31"/>
      <c r="AK14" s="31"/>
      <c r="AL14" s="31"/>
      <c r="AM14" s="31"/>
      <c r="AN14" s="31"/>
      <c r="AO14" s="31"/>
      <c r="AP14" s="31"/>
      <c r="AQ14" s="31"/>
      <c r="AR14" s="31"/>
      <c r="AS14" s="31"/>
      <c r="AT14" s="31"/>
      <c r="AU14" s="31"/>
      <c r="AV14" s="31"/>
      <c r="AW14" s="31"/>
      <c r="AX14" s="31"/>
      <c r="AY14" s="7"/>
      <c r="AZ14" s="7"/>
      <c r="BA14" s="31"/>
      <c r="BB14" s="31"/>
      <c r="BC14" s="31"/>
      <c r="BD14" s="31"/>
      <c r="BE14" s="31"/>
      <c r="BF14" s="31"/>
      <c r="BG14" s="31"/>
      <c r="BH14" s="31"/>
      <c r="BI14" s="31"/>
      <c r="BJ14" s="31"/>
      <c r="BK14" s="9"/>
      <c r="BL14" s="30"/>
      <c r="BM14" s="31"/>
      <c r="BN14" s="31"/>
      <c r="BO14" s="31"/>
      <c r="BP14" s="31"/>
      <c r="BQ14" s="31"/>
      <c r="BR14" s="31"/>
      <c r="BS14" s="31"/>
      <c r="BT14" s="31"/>
      <c r="BU14" s="31"/>
      <c r="BV14" s="31"/>
      <c r="BW14" s="9"/>
      <c r="BX14" s="9"/>
      <c r="BY14" s="31"/>
      <c r="BZ14" s="31"/>
      <c r="CA14" s="31"/>
      <c r="CB14" s="31"/>
      <c r="CC14" s="31"/>
      <c r="CD14" s="31"/>
      <c r="CE14" s="31"/>
      <c r="CF14" s="31"/>
      <c r="CG14" s="31"/>
      <c r="CH14" s="31"/>
      <c r="CI14" s="9"/>
      <c r="CJ14" s="9"/>
      <c r="CK14" s="9"/>
      <c r="CL14" s="9"/>
      <c r="CM14" s="31"/>
      <c r="CN14" s="31"/>
      <c r="CO14" s="31"/>
      <c r="CP14" s="31"/>
      <c r="CQ14" s="31"/>
      <c r="CR14" s="31"/>
      <c r="CS14" s="31"/>
      <c r="CT14" s="31"/>
      <c r="CU14" s="31"/>
      <c r="CV14" s="31"/>
      <c r="CW14" s="31"/>
      <c r="CX14" s="31"/>
      <c r="CY14" s="31"/>
      <c r="CZ14" s="31"/>
      <c r="DA14" s="31"/>
      <c r="DB14" s="31"/>
      <c r="DC14" s="31"/>
      <c r="DD14" s="31"/>
      <c r="DE14" s="90"/>
      <c r="DF14" s="90"/>
      <c r="DG14" s="90"/>
      <c r="DH14" s="90"/>
      <c r="DI14" s="90"/>
      <c r="DJ14" s="31"/>
      <c r="DK14" s="17">
        <f t="shared" si="15"/>
        <v>0</v>
      </c>
      <c r="DL14" s="31"/>
      <c r="DM14" s="31"/>
      <c r="DN14" s="31"/>
      <c r="DO14" s="31"/>
      <c r="DP14" s="31"/>
      <c r="DQ14" s="31"/>
      <c r="DR14" s="31"/>
      <c r="DS14" s="31"/>
      <c r="DT14" s="31"/>
      <c r="DU14" s="31"/>
      <c r="DV14" s="31"/>
      <c r="DW14" s="31"/>
      <c r="DX14" s="31"/>
      <c r="DY14" s="31"/>
      <c r="DZ14" s="31"/>
      <c r="EA14" s="31"/>
      <c r="EB14" s="31"/>
      <c r="EC14" s="31"/>
      <c r="ED14" s="31"/>
      <c r="EE14" s="31"/>
      <c r="EF14" s="31"/>
      <c r="EG14" s="31"/>
      <c r="EH14" s="31"/>
      <c r="EI14" s="31"/>
      <c r="EJ14" s="31"/>
      <c r="EK14" s="31"/>
      <c r="EL14" s="14" t="s">
        <v>497</v>
      </c>
      <c r="EM14" s="31"/>
      <c r="EN14" s="31"/>
      <c r="EO14" s="31"/>
      <c r="EP14" s="31"/>
    </row>
    <row r="15" spans="1:155" customFormat="1" ht="29">
      <c r="A15" s="28" t="s">
        <v>1138</v>
      </c>
      <c r="B15" s="31"/>
      <c r="C15" s="14" t="s">
        <v>1139</v>
      </c>
      <c r="D15" s="36" t="s">
        <v>1150</v>
      </c>
      <c r="E15" s="38">
        <v>2027</v>
      </c>
      <c r="F15" s="38">
        <v>2027</v>
      </c>
      <c r="G15" s="37" t="s">
        <v>472</v>
      </c>
      <c r="H15" s="39" t="s">
        <v>673</v>
      </c>
      <c r="I15" s="37" t="s">
        <v>669</v>
      </c>
      <c r="J15" s="7" t="str">
        <f t="shared" si="0"/>
        <v>Rangga Dhaniarto</v>
      </c>
      <c r="K15" s="31"/>
      <c r="L15" s="14" t="s">
        <v>694</v>
      </c>
      <c r="M15" s="8">
        <f t="shared" si="1"/>
        <v>0</v>
      </c>
      <c r="N15" s="9">
        <f t="shared" si="11"/>
        <v>0</v>
      </c>
      <c r="O15" s="88"/>
      <c r="P15" s="88"/>
      <c r="Q15" s="31"/>
      <c r="R15" s="31"/>
      <c r="S15" s="89"/>
      <c r="T15" s="89"/>
      <c r="U15" s="89"/>
      <c r="V15" s="89"/>
      <c r="W15" s="89"/>
      <c r="X15" s="89"/>
      <c r="Y15" s="31"/>
      <c r="Z15" s="7"/>
      <c r="AA15" s="7"/>
      <c r="AB15" s="7"/>
      <c r="AC15" s="31"/>
      <c r="AD15" s="31"/>
      <c r="AE15" s="31"/>
      <c r="AF15" s="31"/>
      <c r="AG15" s="31"/>
      <c r="AH15" s="31"/>
      <c r="AI15" s="31"/>
      <c r="AJ15" s="31"/>
      <c r="AK15" s="31"/>
      <c r="AL15" s="31"/>
      <c r="AM15" s="31"/>
      <c r="AN15" s="31"/>
      <c r="AO15" s="31"/>
      <c r="AP15" s="31"/>
      <c r="AQ15" s="31"/>
      <c r="AR15" s="31"/>
      <c r="AS15" s="31"/>
      <c r="AT15" s="31"/>
      <c r="AU15" s="31"/>
      <c r="AV15" s="31"/>
      <c r="AW15" s="31"/>
      <c r="AX15" s="31"/>
      <c r="AY15" s="7"/>
      <c r="AZ15" s="7"/>
      <c r="BA15" s="31"/>
      <c r="BB15" s="31"/>
      <c r="BC15" s="31"/>
      <c r="BD15" s="31"/>
      <c r="BE15" s="31"/>
      <c r="BF15" s="31"/>
      <c r="BG15" s="31"/>
      <c r="BH15" s="31"/>
      <c r="BI15" s="31"/>
      <c r="BJ15" s="31"/>
      <c r="BK15" s="9"/>
      <c r="BL15" s="30"/>
      <c r="BM15" s="31"/>
      <c r="BN15" s="31"/>
      <c r="BO15" s="31"/>
      <c r="BP15" s="31"/>
      <c r="BQ15" s="31"/>
      <c r="BR15" s="31"/>
      <c r="BS15" s="31"/>
      <c r="BT15" s="31"/>
      <c r="BU15" s="31"/>
      <c r="BV15" s="31"/>
      <c r="BW15" s="9"/>
      <c r="BX15" s="9"/>
      <c r="BY15" s="31"/>
      <c r="BZ15" s="31"/>
      <c r="CA15" s="31"/>
      <c r="CB15" s="31"/>
      <c r="CC15" s="31"/>
      <c r="CD15" s="31"/>
      <c r="CE15" s="31"/>
      <c r="CF15" s="31"/>
      <c r="CG15" s="31"/>
      <c r="CH15" s="31"/>
      <c r="CI15" s="9"/>
      <c r="CJ15" s="9"/>
      <c r="CK15" s="9"/>
      <c r="CL15" s="9"/>
      <c r="CM15" s="31"/>
      <c r="CN15" s="31"/>
      <c r="CO15" s="31"/>
      <c r="CP15" s="31"/>
      <c r="CQ15" s="31"/>
      <c r="CR15" s="31"/>
      <c r="CS15" s="31"/>
      <c r="CT15" s="31"/>
      <c r="CU15" s="31"/>
      <c r="CV15" s="31"/>
      <c r="CW15" s="31"/>
      <c r="CX15" s="31"/>
      <c r="CY15" s="31"/>
      <c r="CZ15" s="31"/>
      <c r="DA15" s="31"/>
      <c r="DB15" s="31"/>
      <c r="DC15" s="31"/>
      <c r="DD15" s="31"/>
      <c r="DE15" s="90"/>
      <c r="DF15" s="90"/>
      <c r="DG15" s="90"/>
      <c r="DH15" s="90"/>
      <c r="DI15" s="90"/>
      <c r="DJ15" s="31"/>
      <c r="DK15" s="17">
        <f t="shared" si="15"/>
        <v>0</v>
      </c>
      <c r="DL15" s="31"/>
      <c r="DM15" s="31"/>
      <c r="DN15" s="31"/>
      <c r="DO15" s="31"/>
      <c r="DP15" s="31"/>
      <c r="DQ15" s="31"/>
      <c r="DR15" s="31"/>
      <c r="DS15" s="31"/>
      <c r="DT15" s="31"/>
      <c r="DU15" s="31"/>
      <c r="DV15" s="31"/>
      <c r="DW15" s="31"/>
      <c r="DX15" s="31"/>
      <c r="DY15" s="31"/>
      <c r="DZ15" s="31"/>
      <c r="EA15" s="31"/>
      <c r="EB15" s="31"/>
      <c r="EC15" s="31"/>
      <c r="ED15" s="31"/>
      <c r="EE15" s="31"/>
      <c r="EF15" s="31"/>
      <c r="EG15" s="31"/>
      <c r="EH15" s="31"/>
      <c r="EI15" s="31"/>
      <c r="EJ15" s="31"/>
      <c r="EK15" s="31"/>
      <c r="EL15" s="14" t="s">
        <v>563</v>
      </c>
      <c r="EM15" s="31"/>
      <c r="EN15" s="31"/>
      <c r="EO15" s="31"/>
      <c r="EP15" s="31"/>
    </row>
    <row r="16" spans="1:155" customFormat="1" ht="29">
      <c r="A16" s="28" t="s">
        <v>1138</v>
      </c>
      <c r="B16" s="31"/>
      <c r="C16" s="14" t="s">
        <v>1139</v>
      </c>
      <c r="D16" s="36" t="s">
        <v>1151</v>
      </c>
      <c r="E16" s="38">
        <v>2027</v>
      </c>
      <c r="F16" s="38">
        <v>2028</v>
      </c>
      <c r="G16" s="37" t="s">
        <v>472</v>
      </c>
      <c r="H16" s="39" t="s">
        <v>213</v>
      </c>
      <c r="I16" s="37" t="s">
        <v>1152</v>
      </c>
      <c r="J16" s="7" t="str">
        <f t="shared" si="0"/>
        <v>Rifanda Yulio</v>
      </c>
      <c r="K16" s="31"/>
      <c r="L16" s="14" t="s">
        <v>694</v>
      </c>
      <c r="M16" s="8">
        <f t="shared" si="1"/>
        <v>0</v>
      </c>
      <c r="N16" s="9">
        <f t="shared" si="11"/>
        <v>0</v>
      </c>
      <c r="O16" s="88"/>
      <c r="P16" s="88"/>
      <c r="Q16" s="31"/>
      <c r="R16" s="31"/>
      <c r="S16" s="89"/>
      <c r="T16" s="89"/>
      <c r="U16" s="89"/>
      <c r="V16" s="89"/>
      <c r="W16" s="89"/>
      <c r="X16" s="89"/>
      <c r="Y16" s="31"/>
      <c r="Z16" s="7"/>
      <c r="AA16" s="7"/>
      <c r="AB16" s="7"/>
      <c r="AC16" s="31"/>
      <c r="AD16" s="31"/>
      <c r="AE16" s="31"/>
      <c r="AF16" s="31"/>
      <c r="AG16" s="31"/>
      <c r="AH16" s="31"/>
      <c r="AI16" s="31"/>
      <c r="AJ16" s="31"/>
      <c r="AK16" s="31"/>
      <c r="AL16" s="31"/>
      <c r="AM16" s="31"/>
      <c r="AN16" s="31"/>
      <c r="AO16" s="31"/>
      <c r="AP16" s="31"/>
      <c r="AQ16" s="31"/>
      <c r="AR16" s="31"/>
      <c r="AS16" s="31"/>
      <c r="AT16" s="31"/>
      <c r="AU16" s="31"/>
      <c r="AV16" s="31"/>
      <c r="AW16" s="31"/>
      <c r="AX16" s="31"/>
      <c r="AY16" s="7"/>
      <c r="AZ16" s="7"/>
      <c r="BA16" s="31"/>
      <c r="BB16" s="31"/>
      <c r="BC16" s="31"/>
      <c r="BD16" s="31"/>
      <c r="BE16" s="31"/>
      <c r="BF16" s="31"/>
      <c r="BG16" s="31"/>
      <c r="BH16" s="31"/>
      <c r="BI16" s="31"/>
      <c r="BJ16" s="31"/>
      <c r="BK16" s="9"/>
      <c r="BL16" s="30"/>
      <c r="BM16" s="31"/>
      <c r="BN16" s="31"/>
      <c r="BO16" s="31"/>
      <c r="BP16" s="31"/>
      <c r="BQ16" s="31"/>
      <c r="BR16" s="31"/>
      <c r="BS16" s="31"/>
      <c r="BT16" s="31"/>
      <c r="BU16" s="31"/>
      <c r="BV16" s="31"/>
      <c r="BW16" s="9"/>
      <c r="BX16" s="9"/>
      <c r="BY16" s="31"/>
      <c r="BZ16" s="31"/>
      <c r="CA16" s="31"/>
      <c r="CB16" s="31"/>
      <c r="CC16" s="31"/>
      <c r="CD16" s="31"/>
      <c r="CE16" s="31"/>
      <c r="CF16" s="31"/>
      <c r="CG16" s="31"/>
      <c r="CH16" s="31"/>
      <c r="CI16" s="9"/>
      <c r="CJ16" s="9"/>
      <c r="CK16" s="9"/>
      <c r="CL16" s="9"/>
      <c r="CM16" s="31"/>
      <c r="CN16" s="31"/>
      <c r="CO16" s="31"/>
      <c r="CP16" s="31"/>
      <c r="CQ16" s="31"/>
      <c r="CR16" s="31"/>
      <c r="CS16" s="31"/>
      <c r="CT16" s="31"/>
      <c r="CU16" s="31"/>
      <c r="CV16" s="31"/>
      <c r="CW16" s="31"/>
      <c r="CX16" s="31"/>
      <c r="CY16" s="31"/>
      <c r="CZ16" s="31"/>
      <c r="DA16" s="31"/>
      <c r="DB16" s="31"/>
      <c r="DC16" s="31"/>
      <c r="DD16" s="31"/>
      <c r="DE16" s="90"/>
      <c r="DF16" s="90"/>
      <c r="DG16" s="90"/>
      <c r="DH16" s="90"/>
      <c r="DI16" s="90"/>
      <c r="DJ16" s="31"/>
      <c r="DK16" s="17">
        <f t="shared" si="15"/>
        <v>0</v>
      </c>
      <c r="DL16" s="31"/>
      <c r="DM16" s="31"/>
      <c r="DN16" s="31"/>
      <c r="DO16" s="31"/>
      <c r="DP16" s="31"/>
      <c r="DQ16" s="31"/>
      <c r="DR16" s="31"/>
      <c r="DS16" s="31"/>
      <c r="DT16" s="31"/>
      <c r="DU16" s="31"/>
      <c r="DV16" s="31"/>
      <c r="DW16" s="31"/>
      <c r="DX16" s="31"/>
      <c r="DY16" s="31"/>
      <c r="DZ16" s="31"/>
      <c r="EA16" s="31"/>
      <c r="EB16" s="31"/>
      <c r="EC16" s="31"/>
      <c r="ED16" s="31"/>
      <c r="EE16" s="31"/>
      <c r="EF16" s="31"/>
      <c r="EG16" s="31"/>
      <c r="EH16" s="31"/>
      <c r="EI16" s="31"/>
      <c r="EJ16" s="31"/>
      <c r="EK16" s="31"/>
      <c r="EL16" s="31" t="s">
        <v>220</v>
      </c>
      <c r="EM16" s="31"/>
      <c r="EN16" s="31"/>
      <c r="EO16" s="31"/>
      <c r="EP16" s="31"/>
    </row>
    <row r="17" spans="1:146" customFormat="1" ht="16.5" customHeight="1">
      <c r="A17" s="28" t="s">
        <v>1138</v>
      </c>
      <c r="B17" s="31"/>
      <c r="C17" s="14" t="s">
        <v>1139</v>
      </c>
      <c r="D17" s="36" t="s">
        <v>1153</v>
      </c>
      <c r="E17" s="38">
        <v>2027</v>
      </c>
      <c r="F17" s="38">
        <v>2027</v>
      </c>
      <c r="G17" s="37" t="s">
        <v>472</v>
      </c>
      <c r="H17" s="39" t="s">
        <v>199</v>
      </c>
      <c r="I17" s="37" t="s">
        <v>398</v>
      </c>
      <c r="J17" s="7" t="str">
        <f t="shared" si="0"/>
        <v>Rizky Arga</v>
      </c>
      <c r="K17" s="31"/>
      <c r="L17" s="14" t="s">
        <v>694</v>
      </c>
      <c r="M17" s="8">
        <f t="shared" si="1"/>
        <v>0</v>
      </c>
      <c r="N17" s="9">
        <f t="shared" si="11"/>
        <v>0</v>
      </c>
      <c r="O17" s="88"/>
      <c r="P17" s="88"/>
      <c r="Q17" s="31"/>
      <c r="R17" s="31"/>
      <c r="S17" s="89"/>
      <c r="T17" s="89"/>
      <c r="U17" s="89"/>
      <c r="V17" s="89"/>
      <c r="W17" s="89"/>
      <c r="X17" s="89"/>
      <c r="Y17" s="31"/>
      <c r="Z17" s="7"/>
      <c r="AA17" s="7"/>
      <c r="AB17" s="7"/>
      <c r="AC17" s="31"/>
      <c r="AD17" s="31"/>
      <c r="AE17" s="31"/>
      <c r="AF17" s="31"/>
      <c r="AG17" s="31"/>
      <c r="AH17" s="31"/>
      <c r="AI17" s="31"/>
      <c r="AJ17" s="31"/>
      <c r="AK17" s="31"/>
      <c r="AL17" s="31"/>
      <c r="AM17" s="31"/>
      <c r="AN17" s="31"/>
      <c r="AO17" s="31"/>
      <c r="AP17" s="31"/>
      <c r="AQ17" s="31"/>
      <c r="AR17" s="31"/>
      <c r="AS17" s="31"/>
      <c r="AT17" s="31"/>
      <c r="AU17" s="31"/>
      <c r="AV17" s="31"/>
      <c r="AW17" s="31"/>
      <c r="AX17" s="31"/>
      <c r="AY17" s="7"/>
      <c r="AZ17" s="7"/>
      <c r="BA17" s="31"/>
      <c r="BB17" s="31"/>
      <c r="BC17" s="31"/>
      <c r="BD17" s="31"/>
      <c r="BE17" s="31"/>
      <c r="BF17" s="31"/>
      <c r="BG17" s="31"/>
      <c r="BH17" s="31"/>
      <c r="BI17" s="31"/>
      <c r="BJ17" s="31"/>
      <c r="BK17" s="9"/>
      <c r="BL17" s="30"/>
      <c r="BM17" s="31"/>
      <c r="BN17" s="31"/>
      <c r="BO17" s="31"/>
      <c r="BP17" s="31"/>
      <c r="BQ17" s="31"/>
      <c r="BR17" s="31"/>
      <c r="BS17" s="31"/>
      <c r="BT17" s="31"/>
      <c r="BU17" s="31"/>
      <c r="BV17" s="31"/>
      <c r="BW17" s="9"/>
      <c r="BX17" s="9"/>
      <c r="BY17" s="31"/>
      <c r="BZ17" s="31"/>
      <c r="CA17" s="31"/>
      <c r="CB17" s="31"/>
      <c r="CC17" s="31"/>
      <c r="CD17" s="31"/>
      <c r="CE17" s="31"/>
      <c r="CF17" s="31"/>
      <c r="CG17" s="31"/>
      <c r="CH17" s="31"/>
      <c r="CI17" s="9"/>
      <c r="CJ17" s="9"/>
      <c r="CK17" s="9"/>
      <c r="CL17" s="9"/>
      <c r="CM17" s="31"/>
      <c r="CN17" s="31"/>
      <c r="CO17" s="31"/>
      <c r="CP17" s="31"/>
      <c r="CQ17" s="31"/>
      <c r="CR17" s="31"/>
      <c r="CS17" s="31"/>
      <c r="CT17" s="31"/>
      <c r="CU17" s="31"/>
      <c r="CV17" s="31"/>
      <c r="CW17" s="31"/>
      <c r="CX17" s="31"/>
      <c r="CY17" s="31"/>
      <c r="CZ17" s="31"/>
      <c r="DA17" s="31"/>
      <c r="DB17" s="31"/>
      <c r="DC17" s="31"/>
      <c r="DD17" s="31"/>
      <c r="DE17" s="90"/>
      <c r="DF17" s="90"/>
      <c r="DG17" s="90"/>
      <c r="DH17" s="90"/>
      <c r="DI17" s="90"/>
      <c r="DJ17" s="31"/>
      <c r="DK17" s="17">
        <f t="shared" si="15"/>
        <v>0</v>
      </c>
      <c r="DL17" s="31"/>
      <c r="DM17" s="31"/>
      <c r="DN17" s="31"/>
      <c r="DO17" s="31"/>
      <c r="DP17" s="31"/>
      <c r="DQ17" s="31"/>
      <c r="DR17" s="31"/>
      <c r="DS17" s="31"/>
      <c r="DT17" s="31"/>
      <c r="DU17" s="31"/>
      <c r="DV17" s="31"/>
      <c r="DW17" s="31"/>
      <c r="DX17" s="31"/>
      <c r="DY17" s="31"/>
      <c r="DZ17" s="31"/>
      <c r="EA17" s="31"/>
      <c r="EB17" s="31"/>
      <c r="EC17" s="31"/>
      <c r="ED17" s="31"/>
      <c r="EE17" s="31"/>
      <c r="EF17" s="31"/>
      <c r="EG17" s="31"/>
      <c r="EH17" s="31"/>
      <c r="EI17" s="31"/>
      <c r="EJ17" s="31"/>
      <c r="EK17" s="31"/>
      <c r="EL17" s="31" t="s">
        <v>202</v>
      </c>
      <c r="EM17" s="31"/>
      <c r="EN17" s="31"/>
      <c r="EO17" s="31"/>
      <c r="EP17" s="31"/>
    </row>
    <row r="18" spans="1:146" customFormat="1" ht="29">
      <c r="A18" s="28" t="s">
        <v>1138</v>
      </c>
      <c r="B18" s="31"/>
      <c r="C18" s="14" t="s">
        <v>1139</v>
      </c>
      <c r="D18" s="36" t="s">
        <v>1154</v>
      </c>
      <c r="E18" s="38">
        <v>2027</v>
      </c>
      <c r="F18" s="38">
        <v>2027</v>
      </c>
      <c r="G18" s="37" t="s">
        <v>472</v>
      </c>
      <c r="H18" s="39" t="s">
        <v>199</v>
      </c>
      <c r="I18" s="37" t="s">
        <v>1155</v>
      </c>
      <c r="J18" s="7" t="str">
        <f t="shared" si="0"/>
        <v>Rizky Arga</v>
      </c>
      <c r="K18" s="31"/>
      <c r="L18" s="14" t="s">
        <v>694</v>
      </c>
      <c r="M18" s="8">
        <f t="shared" si="1"/>
        <v>0</v>
      </c>
      <c r="N18" s="9">
        <f t="shared" si="11"/>
        <v>0</v>
      </c>
      <c r="O18" s="88"/>
      <c r="P18" s="88"/>
      <c r="Q18" s="31"/>
      <c r="R18" s="31"/>
      <c r="S18" s="89"/>
      <c r="T18" s="89"/>
      <c r="U18" s="89"/>
      <c r="V18" s="89"/>
      <c r="W18" s="89"/>
      <c r="X18" s="89"/>
      <c r="Y18" s="31"/>
      <c r="Z18" s="7"/>
      <c r="AA18" s="7"/>
      <c r="AB18" s="7"/>
      <c r="AC18" s="31"/>
      <c r="AD18" s="31"/>
      <c r="AE18" s="31"/>
      <c r="AF18" s="31"/>
      <c r="AG18" s="31"/>
      <c r="AH18" s="31"/>
      <c r="AI18" s="31"/>
      <c r="AJ18" s="31"/>
      <c r="AK18" s="31"/>
      <c r="AL18" s="31"/>
      <c r="AM18" s="31"/>
      <c r="AN18" s="31"/>
      <c r="AO18" s="31"/>
      <c r="AP18" s="31"/>
      <c r="AQ18" s="31"/>
      <c r="AR18" s="31"/>
      <c r="AS18" s="31"/>
      <c r="AT18" s="31"/>
      <c r="AU18" s="31"/>
      <c r="AV18" s="31"/>
      <c r="AW18" s="31"/>
      <c r="AX18" s="31"/>
      <c r="AY18" s="7"/>
      <c r="AZ18" s="7"/>
      <c r="BA18" s="31"/>
      <c r="BB18" s="31"/>
      <c r="BC18" s="31"/>
      <c r="BD18" s="31"/>
      <c r="BE18" s="31"/>
      <c r="BF18" s="31"/>
      <c r="BG18" s="31"/>
      <c r="BH18" s="31"/>
      <c r="BI18" s="31"/>
      <c r="BJ18" s="31"/>
      <c r="BK18" s="9"/>
      <c r="BL18" s="30"/>
      <c r="BM18" s="31"/>
      <c r="BN18" s="31"/>
      <c r="BO18" s="31"/>
      <c r="BP18" s="31"/>
      <c r="BQ18" s="31"/>
      <c r="BR18" s="31"/>
      <c r="BS18" s="31"/>
      <c r="BT18" s="31"/>
      <c r="BU18" s="31"/>
      <c r="BV18" s="31"/>
      <c r="BW18" s="9"/>
      <c r="BX18" s="9"/>
      <c r="BY18" s="31"/>
      <c r="BZ18" s="31"/>
      <c r="CA18" s="31"/>
      <c r="CB18" s="31"/>
      <c r="CC18" s="31"/>
      <c r="CD18" s="31"/>
      <c r="CE18" s="31"/>
      <c r="CF18" s="31"/>
      <c r="CG18" s="31"/>
      <c r="CH18" s="31"/>
      <c r="CI18" s="9"/>
      <c r="CJ18" s="9"/>
      <c r="CK18" s="9"/>
      <c r="CL18" s="9"/>
      <c r="CM18" s="31"/>
      <c r="CN18" s="31"/>
      <c r="CO18" s="31"/>
      <c r="CP18" s="31"/>
      <c r="CQ18" s="31"/>
      <c r="CR18" s="31"/>
      <c r="CS18" s="31"/>
      <c r="CT18" s="31"/>
      <c r="CU18" s="31"/>
      <c r="CV18" s="31"/>
      <c r="CW18" s="31"/>
      <c r="CX18" s="31"/>
      <c r="CY18" s="31"/>
      <c r="CZ18" s="31"/>
      <c r="DA18" s="31"/>
      <c r="DB18" s="31"/>
      <c r="DC18" s="31"/>
      <c r="DD18" s="31"/>
      <c r="DE18" s="90"/>
      <c r="DF18" s="90"/>
      <c r="DG18" s="90"/>
      <c r="DH18" s="90"/>
      <c r="DI18" s="90"/>
      <c r="DJ18" s="31"/>
      <c r="DK18" s="17">
        <f t="shared" si="15"/>
        <v>0</v>
      </c>
      <c r="DL18" s="31"/>
      <c r="DM18" s="31"/>
      <c r="DN18" s="31"/>
      <c r="DO18" s="31"/>
      <c r="DP18" s="31"/>
      <c r="DQ18" s="31"/>
      <c r="DR18" s="31"/>
      <c r="DS18" s="31"/>
      <c r="DT18" s="31"/>
      <c r="DU18" s="31"/>
      <c r="DV18" s="31"/>
      <c r="DW18" s="31"/>
      <c r="DX18" s="31"/>
      <c r="DY18" s="31"/>
      <c r="DZ18" s="31"/>
      <c r="EA18" s="31"/>
      <c r="EB18" s="31"/>
      <c r="EC18" s="31"/>
      <c r="ED18" s="31"/>
      <c r="EE18" s="31"/>
      <c r="EF18" s="31"/>
      <c r="EG18" s="31"/>
      <c r="EH18" s="31"/>
      <c r="EI18" s="31"/>
      <c r="EJ18" s="31"/>
      <c r="EK18" s="31"/>
      <c r="EL18" s="31" t="s">
        <v>202</v>
      </c>
      <c r="EM18" s="31"/>
      <c r="EN18" s="31"/>
      <c r="EO18" s="31"/>
      <c r="EP18" s="31"/>
    </row>
    <row r="19" spans="1:146" customFormat="1" ht="29">
      <c r="A19" s="28" t="s">
        <v>1138</v>
      </c>
      <c r="B19" s="31"/>
      <c r="C19" s="14" t="s">
        <v>1139</v>
      </c>
      <c r="D19" s="36" t="s">
        <v>1156</v>
      </c>
      <c r="E19" s="38">
        <v>2029</v>
      </c>
      <c r="F19" s="38">
        <v>2029</v>
      </c>
      <c r="G19" s="37" t="s">
        <v>472</v>
      </c>
      <c r="H19" s="39" t="s">
        <v>199</v>
      </c>
      <c r="I19" s="37" t="s">
        <v>605</v>
      </c>
      <c r="J19" s="7" t="str">
        <f t="shared" si="0"/>
        <v>Muhamad Fahmi Ridwan</v>
      </c>
      <c r="K19" s="31"/>
      <c r="L19" s="14" t="s">
        <v>694</v>
      </c>
      <c r="M19" s="8">
        <f t="shared" si="1"/>
        <v>0</v>
      </c>
      <c r="N19" s="9">
        <f t="shared" si="11"/>
        <v>0</v>
      </c>
      <c r="O19" s="88"/>
      <c r="P19" s="88"/>
      <c r="Q19" s="31"/>
      <c r="R19" s="31"/>
      <c r="S19" s="89"/>
      <c r="T19" s="89"/>
      <c r="U19" s="89"/>
      <c r="V19" s="89"/>
      <c r="W19" s="89"/>
      <c r="X19" s="89"/>
      <c r="Y19" s="31"/>
      <c r="Z19" s="7"/>
      <c r="AA19" s="7"/>
      <c r="AB19" s="7"/>
      <c r="AC19" s="31"/>
      <c r="AD19" s="31"/>
      <c r="AE19" s="31"/>
      <c r="AF19" s="31"/>
      <c r="AG19" s="31"/>
      <c r="AH19" s="31"/>
      <c r="AI19" s="31"/>
      <c r="AJ19" s="31"/>
      <c r="AK19" s="31"/>
      <c r="AL19" s="31"/>
      <c r="AM19" s="31"/>
      <c r="AN19" s="31"/>
      <c r="AO19" s="31"/>
      <c r="AP19" s="31"/>
      <c r="AQ19" s="31"/>
      <c r="AR19" s="31"/>
      <c r="AS19" s="31"/>
      <c r="AT19" s="31"/>
      <c r="AU19" s="31"/>
      <c r="AV19" s="31"/>
      <c r="AW19" s="31"/>
      <c r="AX19" s="31"/>
      <c r="AY19" s="7"/>
      <c r="AZ19" s="7"/>
      <c r="BA19" s="31"/>
      <c r="BB19" s="31"/>
      <c r="BC19" s="31"/>
      <c r="BD19" s="31"/>
      <c r="BE19" s="31"/>
      <c r="BF19" s="31"/>
      <c r="BG19" s="31"/>
      <c r="BH19" s="31"/>
      <c r="BI19" s="31"/>
      <c r="BJ19" s="31"/>
      <c r="BK19" s="9"/>
      <c r="BL19" s="30"/>
      <c r="BM19" s="31"/>
      <c r="BN19" s="31"/>
      <c r="BO19" s="31"/>
      <c r="BP19" s="31"/>
      <c r="BQ19" s="31"/>
      <c r="BR19" s="31"/>
      <c r="BS19" s="31"/>
      <c r="BT19" s="31"/>
      <c r="BU19" s="31"/>
      <c r="BV19" s="31"/>
      <c r="BW19" s="9"/>
      <c r="BX19" s="9"/>
      <c r="BY19" s="31"/>
      <c r="BZ19" s="31"/>
      <c r="CA19" s="31"/>
      <c r="CB19" s="31"/>
      <c r="CC19" s="31"/>
      <c r="CD19" s="31"/>
      <c r="CE19" s="31"/>
      <c r="CF19" s="31"/>
      <c r="CG19" s="31"/>
      <c r="CH19" s="31"/>
      <c r="CI19" s="9"/>
      <c r="CJ19" s="9"/>
      <c r="CK19" s="9"/>
      <c r="CL19" s="9"/>
      <c r="CM19" s="31"/>
      <c r="CN19" s="31"/>
      <c r="CO19" s="31"/>
      <c r="CP19" s="31"/>
      <c r="CQ19" s="31"/>
      <c r="CR19" s="31"/>
      <c r="CS19" s="31"/>
      <c r="CT19" s="31"/>
      <c r="CU19" s="31"/>
      <c r="CV19" s="31"/>
      <c r="CW19" s="31"/>
      <c r="CX19" s="31"/>
      <c r="CY19" s="31"/>
      <c r="CZ19" s="31"/>
      <c r="DA19" s="31"/>
      <c r="DB19" s="31"/>
      <c r="DC19" s="31"/>
      <c r="DD19" s="31"/>
      <c r="DE19" s="90"/>
      <c r="DF19" s="90"/>
      <c r="DG19" s="90"/>
      <c r="DH19" s="90"/>
      <c r="DI19" s="90" t="s">
        <v>1519</v>
      </c>
      <c r="DJ19" s="31"/>
      <c r="DK19" s="17">
        <f t="shared" si="15"/>
        <v>0</v>
      </c>
      <c r="DL19" s="31"/>
      <c r="DM19" s="31"/>
      <c r="DN19" s="31"/>
      <c r="DO19" s="31"/>
      <c r="DP19" s="31"/>
      <c r="DQ19" s="31"/>
      <c r="DR19" s="31"/>
      <c r="DS19" s="31"/>
      <c r="DT19" s="31"/>
      <c r="DU19" s="31"/>
      <c r="DV19" s="31"/>
      <c r="DW19" s="31"/>
      <c r="DX19" s="31"/>
      <c r="DY19" s="31"/>
      <c r="DZ19" s="31"/>
      <c r="EA19" s="31"/>
      <c r="EB19" s="31"/>
      <c r="EC19" s="31"/>
      <c r="ED19" s="31"/>
      <c r="EE19" s="31"/>
      <c r="EF19" s="31"/>
      <c r="EG19" s="31"/>
      <c r="EH19" s="31"/>
      <c r="EI19" s="31"/>
      <c r="EJ19" s="31"/>
      <c r="EK19" s="31"/>
      <c r="EL19" s="14" t="s">
        <v>1131</v>
      </c>
      <c r="EM19" s="31"/>
      <c r="EN19" s="31"/>
      <c r="EO19" s="31"/>
      <c r="EP19" s="31"/>
    </row>
    <row r="20" spans="1:146" customFormat="1" ht="29">
      <c r="A20" s="28" t="s">
        <v>1138</v>
      </c>
      <c r="B20" s="31"/>
      <c r="C20" s="14" t="s">
        <v>1139</v>
      </c>
      <c r="D20" s="36" t="s">
        <v>1157</v>
      </c>
      <c r="E20" s="38">
        <v>2029</v>
      </c>
      <c r="F20" s="38">
        <v>2029</v>
      </c>
      <c r="G20" s="37" t="s">
        <v>472</v>
      </c>
      <c r="H20" s="39" t="s">
        <v>199</v>
      </c>
      <c r="I20" s="37" t="s">
        <v>936</v>
      </c>
      <c r="J20" s="7" t="str">
        <f t="shared" si="0"/>
        <v>Elnestor</v>
      </c>
      <c r="K20" s="31"/>
      <c r="L20" s="14" t="s">
        <v>694</v>
      </c>
      <c r="M20" s="8">
        <f t="shared" si="1"/>
        <v>0</v>
      </c>
      <c r="N20" s="9">
        <f t="shared" si="11"/>
        <v>0</v>
      </c>
      <c r="O20" s="88"/>
      <c r="P20" s="88"/>
      <c r="Q20" s="31"/>
      <c r="R20" s="31"/>
      <c r="S20" s="89"/>
      <c r="T20" s="89"/>
      <c r="U20" s="89"/>
      <c r="V20" s="89"/>
      <c r="W20" s="89"/>
      <c r="X20" s="89"/>
      <c r="Y20" s="31"/>
      <c r="Z20" s="7"/>
      <c r="AA20" s="7"/>
      <c r="AB20" s="7"/>
      <c r="AC20" s="31"/>
      <c r="AD20" s="31"/>
      <c r="AE20" s="31"/>
      <c r="AF20" s="31"/>
      <c r="AG20" s="31"/>
      <c r="AH20" s="31"/>
      <c r="AI20" s="31"/>
      <c r="AJ20" s="31"/>
      <c r="AK20" s="31"/>
      <c r="AL20" s="31"/>
      <c r="AM20" s="31"/>
      <c r="AN20" s="31"/>
      <c r="AO20" s="31"/>
      <c r="AP20" s="31"/>
      <c r="AQ20" s="31"/>
      <c r="AR20" s="31"/>
      <c r="AS20" s="31"/>
      <c r="AT20" s="31"/>
      <c r="AU20" s="31"/>
      <c r="AV20" s="31"/>
      <c r="AW20" s="31"/>
      <c r="AX20" s="31"/>
      <c r="AY20" s="7"/>
      <c r="AZ20" s="7"/>
      <c r="BA20" s="31"/>
      <c r="BB20" s="31"/>
      <c r="BC20" s="31"/>
      <c r="BD20" s="31"/>
      <c r="BE20" s="31"/>
      <c r="BF20" s="31"/>
      <c r="BG20" s="31"/>
      <c r="BH20" s="31"/>
      <c r="BI20" s="31"/>
      <c r="BJ20" s="31"/>
      <c r="BK20" s="9"/>
      <c r="BL20" s="30"/>
      <c r="BM20" s="31"/>
      <c r="BN20" s="31"/>
      <c r="BO20" s="31"/>
      <c r="BP20" s="31"/>
      <c r="BQ20" s="31"/>
      <c r="BR20" s="31"/>
      <c r="BS20" s="31"/>
      <c r="BT20" s="31"/>
      <c r="BU20" s="31"/>
      <c r="BV20" s="31"/>
      <c r="BW20" s="9"/>
      <c r="BX20" s="9"/>
      <c r="BY20" s="31"/>
      <c r="BZ20" s="31"/>
      <c r="CA20" s="31"/>
      <c r="CB20" s="31"/>
      <c r="CC20" s="31"/>
      <c r="CD20" s="31"/>
      <c r="CE20" s="31"/>
      <c r="CF20" s="31"/>
      <c r="CG20" s="31"/>
      <c r="CH20" s="31"/>
      <c r="CI20" s="9"/>
      <c r="CJ20" s="9"/>
      <c r="CK20" s="9"/>
      <c r="CL20" s="9"/>
      <c r="CM20" s="31"/>
      <c r="CN20" s="31"/>
      <c r="CO20" s="31"/>
      <c r="CP20" s="31"/>
      <c r="CQ20" s="31"/>
      <c r="CR20" s="31"/>
      <c r="CS20" s="31"/>
      <c r="CT20" s="31"/>
      <c r="CU20" s="31"/>
      <c r="CV20" s="31"/>
      <c r="CW20" s="31"/>
      <c r="CX20" s="31"/>
      <c r="CY20" s="31"/>
      <c r="CZ20" s="31"/>
      <c r="DA20" s="31"/>
      <c r="DB20" s="31"/>
      <c r="DC20" s="31"/>
      <c r="DD20" s="31"/>
      <c r="DE20" s="90"/>
      <c r="DF20" s="90"/>
      <c r="DG20" s="90"/>
      <c r="DH20" s="90"/>
      <c r="DI20" s="90"/>
      <c r="DJ20" s="31"/>
      <c r="DK20" s="17">
        <f t="shared" si="15"/>
        <v>0</v>
      </c>
      <c r="DL20" s="31"/>
      <c r="DM20" s="31"/>
      <c r="DN20" s="31"/>
      <c r="DO20" s="31"/>
      <c r="DP20" s="31"/>
      <c r="DQ20" s="31"/>
      <c r="DR20" s="31"/>
      <c r="DS20" s="31"/>
      <c r="DT20" s="31"/>
      <c r="DU20" s="31"/>
      <c r="DV20" s="31"/>
      <c r="DW20" s="31"/>
      <c r="DX20" s="31"/>
      <c r="DY20" s="31"/>
      <c r="DZ20" s="31"/>
      <c r="EA20" s="31"/>
      <c r="EB20" s="31"/>
      <c r="EC20" s="31"/>
      <c r="ED20" s="31"/>
      <c r="EE20" s="31"/>
      <c r="EF20" s="31"/>
      <c r="EG20" s="31"/>
      <c r="EH20" s="31"/>
      <c r="EI20" s="31"/>
      <c r="EJ20" s="31"/>
      <c r="EK20" s="31"/>
      <c r="EL20" s="14" t="s">
        <v>497</v>
      </c>
      <c r="EM20" s="31"/>
      <c r="EN20" s="31"/>
      <c r="EO20" s="31"/>
      <c r="EP20" s="31"/>
    </row>
    <row r="21" spans="1:146" customFormat="1" ht="29">
      <c r="A21" s="28" t="s">
        <v>1138</v>
      </c>
      <c r="B21" s="31"/>
      <c r="C21" s="14" t="s">
        <v>1139</v>
      </c>
      <c r="D21" s="36" t="s">
        <v>1158</v>
      </c>
      <c r="E21" s="38">
        <v>2029</v>
      </c>
      <c r="F21" s="38">
        <v>2029</v>
      </c>
      <c r="G21" s="37" t="s">
        <v>1159</v>
      </c>
      <c r="H21" s="39" t="s">
        <v>297</v>
      </c>
      <c r="I21" s="37" t="s">
        <v>310</v>
      </c>
      <c r="J21" s="7" t="str">
        <f t="shared" si="0"/>
        <v>Pahman Hasibuan</v>
      </c>
      <c r="K21" s="31"/>
      <c r="L21" s="14" t="s">
        <v>694</v>
      </c>
      <c r="M21" s="8">
        <f t="shared" si="1"/>
        <v>0</v>
      </c>
      <c r="N21" s="9">
        <f t="shared" si="11"/>
        <v>0</v>
      </c>
      <c r="O21" s="88"/>
      <c r="P21" s="88"/>
      <c r="Q21" s="31"/>
      <c r="R21" s="31"/>
      <c r="S21" s="89"/>
      <c r="T21" s="89"/>
      <c r="U21" s="89"/>
      <c r="V21" s="89"/>
      <c r="W21" s="89"/>
      <c r="X21" s="89"/>
      <c r="Y21" s="31"/>
      <c r="Z21" s="7"/>
      <c r="AA21" s="7"/>
      <c r="AB21" s="7"/>
      <c r="AC21" s="31"/>
      <c r="AD21" s="31"/>
      <c r="AE21" s="31"/>
      <c r="AF21" s="31"/>
      <c r="AG21" s="31"/>
      <c r="AH21" s="31"/>
      <c r="AI21" s="31"/>
      <c r="AJ21" s="31"/>
      <c r="AK21" s="31"/>
      <c r="AL21" s="31"/>
      <c r="AM21" s="31"/>
      <c r="AN21" s="31"/>
      <c r="AO21" s="31"/>
      <c r="AP21" s="31"/>
      <c r="AQ21" s="31"/>
      <c r="AR21" s="31"/>
      <c r="AS21" s="31"/>
      <c r="AT21" s="31"/>
      <c r="AU21" s="31"/>
      <c r="AV21" s="31"/>
      <c r="AW21" s="31"/>
      <c r="AX21" s="31"/>
      <c r="AY21" s="7"/>
      <c r="AZ21" s="7"/>
      <c r="BA21" s="31"/>
      <c r="BB21" s="31"/>
      <c r="BC21" s="31"/>
      <c r="BD21" s="31"/>
      <c r="BE21" s="31"/>
      <c r="BF21" s="31"/>
      <c r="BG21" s="31"/>
      <c r="BH21" s="31"/>
      <c r="BI21" s="31"/>
      <c r="BJ21" s="31"/>
      <c r="BK21" s="9"/>
      <c r="BL21" s="30"/>
      <c r="BM21" s="31"/>
      <c r="BN21" s="31"/>
      <c r="BO21" s="31"/>
      <c r="BP21" s="31"/>
      <c r="BQ21" s="31"/>
      <c r="BR21" s="31"/>
      <c r="BS21" s="31"/>
      <c r="BT21" s="31"/>
      <c r="BU21" s="31"/>
      <c r="BV21" s="31"/>
      <c r="BW21" s="9"/>
      <c r="BX21" s="9"/>
      <c r="BY21" s="31"/>
      <c r="BZ21" s="31"/>
      <c r="CA21" s="31"/>
      <c r="CB21" s="31"/>
      <c r="CC21" s="31"/>
      <c r="CD21" s="31"/>
      <c r="CE21" s="31"/>
      <c r="CF21" s="31"/>
      <c r="CG21" s="31"/>
      <c r="CH21" s="31"/>
      <c r="CI21" s="9"/>
      <c r="CJ21" s="9"/>
      <c r="CK21" s="9"/>
      <c r="CL21" s="9"/>
      <c r="CM21" s="31"/>
      <c r="CN21" s="31"/>
      <c r="CO21" s="31"/>
      <c r="CP21" s="31"/>
      <c r="CQ21" s="31"/>
      <c r="CR21" s="31"/>
      <c r="CS21" s="31"/>
      <c r="CT21" s="31"/>
      <c r="CU21" s="31"/>
      <c r="CV21" s="31"/>
      <c r="CW21" s="31"/>
      <c r="CX21" s="31"/>
      <c r="CY21" s="31"/>
      <c r="CZ21" s="31"/>
      <c r="DA21" s="31"/>
      <c r="DB21" s="31"/>
      <c r="DC21" s="31"/>
      <c r="DD21" s="31"/>
      <c r="DE21" s="90"/>
      <c r="DF21" s="90"/>
      <c r="DG21" s="90"/>
      <c r="DH21" s="90"/>
      <c r="DI21" s="90"/>
      <c r="DJ21" s="31"/>
      <c r="DK21" s="17">
        <f t="shared" si="15"/>
        <v>0</v>
      </c>
      <c r="DL21" s="31"/>
      <c r="DM21" s="31"/>
      <c r="DN21" s="31"/>
      <c r="DO21" s="31"/>
      <c r="DP21" s="31"/>
      <c r="DQ21" s="31"/>
      <c r="DR21" s="31"/>
      <c r="DS21" s="31"/>
      <c r="DT21" s="31"/>
      <c r="DU21" s="31"/>
      <c r="DV21" s="31"/>
      <c r="DW21" s="31"/>
      <c r="DX21" s="31"/>
      <c r="DY21" s="31"/>
      <c r="DZ21" s="31"/>
      <c r="EA21" s="31"/>
      <c r="EB21" s="31"/>
      <c r="EC21" s="31"/>
      <c r="ED21" s="31"/>
      <c r="EE21" s="31"/>
      <c r="EF21" s="31"/>
      <c r="EG21" s="31"/>
      <c r="EH21" s="31"/>
      <c r="EI21" s="31"/>
      <c r="EJ21" s="31"/>
      <c r="EK21" s="31"/>
      <c r="EL21" s="31" t="s">
        <v>299</v>
      </c>
      <c r="EM21" s="31"/>
      <c r="EN21" s="31"/>
      <c r="EO21" s="31"/>
      <c r="EP21" s="31"/>
    </row>
    <row r="22" spans="1:146" customFormat="1" ht="29">
      <c r="A22" s="28" t="s">
        <v>1138</v>
      </c>
      <c r="B22" s="31"/>
      <c r="C22" s="14" t="s">
        <v>1139</v>
      </c>
      <c r="D22" s="36" t="s">
        <v>1160</v>
      </c>
      <c r="E22" s="38">
        <v>2028</v>
      </c>
      <c r="F22" s="38">
        <v>2028</v>
      </c>
      <c r="G22" s="37" t="s">
        <v>472</v>
      </c>
      <c r="H22" s="39" t="s">
        <v>199</v>
      </c>
      <c r="I22" s="37" t="s">
        <v>1161</v>
      </c>
      <c r="J22" s="7" t="str">
        <f t="shared" si="0"/>
        <v>Rizky Arga</v>
      </c>
      <c r="K22" s="31"/>
      <c r="L22" s="14" t="s">
        <v>694</v>
      </c>
      <c r="M22" s="8">
        <f t="shared" si="1"/>
        <v>0</v>
      </c>
      <c r="N22" s="9">
        <f t="shared" si="11"/>
        <v>0</v>
      </c>
      <c r="O22" s="88"/>
      <c r="P22" s="88"/>
      <c r="Q22" s="31"/>
      <c r="R22" s="31"/>
      <c r="S22" s="89"/>
      <c r="T22" s="89"/>
      <c r="U22" s="89"/>
      <c r="V22" s="89"/>
      <c r="W22" s="89"/>
      <c r="X22" s="89"/>
      <c r="Y22" s="31"/>
      <c r="Z22" s="7"/>
      <c r="AA22" s="7"/>
      <c r="AB22" s="7"/>
      <c r="AC22" s="31"/>
      <c r="AD22" s="31"/>
      <c r="AE22" s="31"/>
      <c r="AF22" s="31"/>
      <c r="AG22" s="31"/>
      <c r="AH22" s="31"/>
      <c r="AI22" s="31"/>
      <c r="AJ22" s="31"/>
      <c r="AK22" s="31"/>
      <c r="AL22" s="31"/>
      <c r="AM22" s="31"/>
      <c r="AN22" s="31"/>
      <c r="AO22" s="31"/>
      <c r="AP22" s="31"/>
      <c r="AQ22" s="31"/>
      <c r="AR22" s="31"/>
      <c r="AS22" s="31"/>
      <c r="AT22" s="31"/>
      <c r="AU22" s="31"/>
      <c r="AV22" s="31"/>
      <c r="AW22" s="31"/>
      <c r="AX22" s="31"/>
      <c r="AY22" s="7"/>
      <c r="AZ22" s="7"/>
      <c r="BA22" s="31"/>
      <c r="BB22" s="31"/>
      <c r="BC22" s="31"/>
      <c r="BD22" s="31"/>
      <c r="BE22" s="31"/>
      <c r="BF22" s="31"/>
      <c r="BG22" s="31"/>
      <c r="BH22" s="31"/>
      <c r="BI22" s="31"/>
      <c r="BJ22" s="31"/>
      <c r="BK22" s="9"/>
      <c r="BL22" s="30"/>
      <c r="BM22" s="31"/>
      <c r="BN22" s="31"/>
      <c r="BO22" s="31"/>
      <c r="BP22" s="31"/>
      <c r="BQ22" s="31"/>
      <c r="BR22" s="31"/>
      <c r="BS22" s="31"/>
      <c r="BT22" s="31"/>
      <c r="BU22" s="31"/>
      <c r="BV22" s="31"/>
      <c r="BW22" s="9"/>
      <c r="BX22" s="9"/>
      <c r="BY22" s="31"/>
      <c r="BZ22" s="31"/>
      <c r="CA22" s="31"/>
      <c r="CB22" s="31"/>
      <c r="CC22" s="31"/>
      <c r="CD22" s="31"/>
      <c r="CE22" s="31"/>
      <c r="CF22" s="31"/>
      <c r="CG22" s="31"/>
      <c r="CH22" s="31"/>
      <c r="CI22" s="9"/>
      <c r="CJ22" s="9"/>
      <c r="CK22" s="9"/>
      <c r="CL22" s="9"/>
      <c r="CM22" s="31"/>
      <c r="CN22" s="31"/>
      <c r="CO22" s="31"/>
      <c r="CP22" s="31"/>
      <c r="CQ22" s="31"/>
      <c r="CR22" s="31"/>
      <c r="CS22" s="31"/>
      <c r="CT22" s="31"/>
      <c r="CU22" s="31"/>
      <c r="CV22" s="31"/>
      <c r="CW22" s="31"/>
      <c r="CX22" s="31"/>
      <c r="CY22" s="31"/>
      <c r="CZ22" s="31"/>
      <c r="DA22" s="31"/>
      <c r="DB22" s="31"/>
      <c r="DC22" s="31"/>
      <c r="DD22" s="31"/>
      <c r="DE22" s="90"/>
      <c r="DF22" s="90"/>
      <c r="DG22" s="90"/>
      <c r="DH22" s="90"/>
      <c r="DI22" s="90"/>
      <c r="DJ22" s="31"/>
      <c r="DK22" s="17">
        <f t="shared" si="15"/>
        <v>0</v>
      </c>
      <c r="DL22" s="31"/>
      <c r="DM22" s="31"/>
      <c r="DN22" s="31"/>
      <c r="DO22" s="31"/>
      <c r="DP22" s="31"/>
      <c r="DQ22" s="31"/>
      <c r="DR22" s="31"/>
      <c r="DS22" s="31"/>
      <c r="DT22" s="31"/>
      <c r="DU22" s="31"/>
      <c r="DV22" s="31"/>
      <c r="DW22" s="31"/>
      <c r="DX22" s="31"/>
      <c r="DY22" s="31"/>
      <c r="DZ22" s="31"/>
      <c r="EA22" s="31"/>
      <c r="EB22" s="31"/>
      <c r="EC22" s="31"/>
      <c r="ED22" s="31"/>
      <c r="EE22" s="31"/>
      <c r="EF22" s="31"/>
      <c r="EG22" s="31"/>
      <c r="EH22" s="31"/>
      <c r="EI22" s="31"/>
      <c r="EJ22" s="31"/>
      <c r="EK22" s="31"/>
      <c r="EL22" s="31" t="s">
        <v>202</v>
      </c>
      <c r="EM22" s="31"/>
      <c r="EN22" s="31"/>
      <c r="EO22" s="31"/>
      <c r="EP22" s="31"/>
    </row>
    <row r="23" spans="1:146" customFormat="1" ht="32">
      <c r="A23" s="28" t="s">
        <v>1138</v>
      </c>
      <c r="B23" s="31"/>
      <c r="C23" s="14" t="s">
        <v>1139</v>
      </c>
      <c r="D23" s="36" t="s">
        <v>1162</v>
      </c>
      <c r="E23" s="38">
        <v>2026</v>
      </c>
      <c r="F23" s="38">
        <v>2027</v>
      </c>
      <c r="G23" s="37" t="s">
        <v>472</v>
      </c>
      <c r="H23" s="39" t="s">
        <v>213</v>
      </c>
      <c r="I23" s="37" t="s">
        <v>1163</v>
      </c>
      <c r="J23" s="7" t="str">
        <f t="shared" si="0"/>
        <v>Rifanda Yulio</v>
      </c>
      <c r="K23" s="31"/>
      <c r="L23" s="14" t="s">
        <v>694</v>
      </c>
      <c r="M23" s="8">
        <f t="shared" si="1"/>
        <v>46568</v>
      </c>
      <c r="N23" s="9">
        <f t="shared" si="11"/>
        <v>0</v>
      </c>
      <c r="O23" s="88"/>
      <c r="P23" s="88"/>
      <c r="Q23" s="31"/>
      <c r="R23" s="31"/>
      <c r="S23" s="89"/>
      <c r="T23" s="89"/>
      <c r="U23" s="89"/>
      <c r="V23" s="89"/>
      <c r="W23" s="89"/>
      <c r="X23" s="32">
        <v>46568</v>
      </c>
      <c r="Y23" s="31"/>
      <c r="Z23" s="7"/>
      <c r="AA23" s="7"/>
      <c r="AB23" s="7"/>
      <c r="AC23" s="31"/>
      <c r="AD23" s="31"/>
      <c r="AE23" s="31"/>
      <c r="AF23" s="31"/>
      <c r="AG23" s="31"/>
      <c r="AH23" s="31"/>
      <c r="AI23" s="31"/>
      <c r="AJ23" s="31"/>
      <c r="AK23" s="31"/>
      <c r="AL23" s="31"/>
      <c r="AM23" s="31"/>
      <c r="AN23" s="31"/>
      <c r="AO23" s="31"/>
      <c r="AP23" s="31"/>
      <c r="AQ23" s="31"/>
      <c r="AR23" s="31"/>
      <c r="AS23" s="31"/>
      <c r="AT23" s="31"/>
      <c r="AU23" s="31"/>
      <c r="AV23" s="31"/>
      <c r="AW23" s="31"/>
      <c r="AX23" s="31"/>
      <c r="AY23" s="7"/>
      <c r="AZ23" s="7"/>
      <c r="BA23" s="31"/>
      <c r="BB23" s="31"/>
      <c r="BC23" s="31"/>
      <c r="BD23" s="31"/>
      <c r="BE23" s="31"/>
      <c r="BF23" s="31"/>
      <c r="BG23" s="31"/>
      <c r="BH23" s="31"/>
      <c r="BI23" s="31"/>
      <c r="BJ23" s="31"/>
      <c r="BK23" s="9"/>
      <c r="BL23" s="30"/>
      <c r="BM23" s="31"/>
      <c r="BN23" s="31"/>
      <c r="BO23" s="31"/>
      <c r="BP23" s="31"/>
      <c r="BQ23" s="31"/>
      <c r="BR23" s="31"/>
      <c r="BS23" s="31"/>
      <c r="BT23" s="31"/>
      <c r="BU23" s="31"/>
      <c r="BV23" s="31"/>
      <c r="BW23" s="9"/>
      <c r="BX23" s="9"/>
      <c r="BY23" s="31"/>
      <c r="BZ23" s="31"/>
      <c r="CA23" s="31"/>
      <c r="CB23" s="31"/>
      <c r="CC23" s="31"/>
      <c r="CD23" s="31"/>
      <c r="CE23" s="31"/>
      <c r="CF23" s="31"/>
      <c r="CG23" s="31"/>
      <c r="CH23" s="31"/>
      <c r="CI23" s="9"/>
      <c r="CJ23" s="9"/>
      <c r="CK23" s="9"/>
      <c r="CL23" s="9"/>
      <c r="CM23" s="31"/>
      <c r="CN23" s="31"/>
      <c r="CO23" s="31"/>
      <c r="CP23" s="31"/>
      <c r="CQ23" s="31"/>
      <c r="CR23" s="31"/>
      <c r="CS23" s="31"/>
      <c r="CT23" s="31"/>
      <c r="CU23" s="31"/>
      <c r="CV23" s="31"/>
      <c r="CW23" s="31"/>
      <c r="CX23" s="31"/>
      <c r="CY23" s="31"/>
      <c r="CZ23" s="31"/>
      <c r="DA23" s="31"/>
      <c r="DB23" s="31"/>
      <c r="DC23" s="31"/>
      <c r="DD23" s="31"/>
      <c r="DE23" s="90"/>
      <c r="DF23" s="90"/>
      <c r="DG23" s="90"/>
      <c r="DH23" s="90"/>
      <c r="DI23" s="90"/>
      <c r="DJ23" s="31"/>
      <c r="DK23" s="17">
        <f t="shared" si="15"/>
        <v>0</v>
      </c>
      <c r="DL23" s="31"/>
      <c r="DM23" s="31"/>
      <c r="DN23" s="31"/>
      <c r="DO23" s="31"/>
      <c r="DP23" s="31"/>
      <c r="DQ23" s="31"/>
      <c r="DR23" s="31"/>
      <c r="DS23" s="31"/>
      <c r="DT23" s="31"/>
      <c r="DU23" s="31"/>
      <c r="DV23" s="31"/>
      <c r="DW23" s="31"/>
      <c r="DX23" s="31"/>
      <c r="DY23" s="31"/>
      <c r="DZ23" s="31"/>
      <c r="EA23" s="31"/>
      <c r="EB23" s="31"/>
      <c r="EC23" s="31"/>
      <c r="ED23" s="31"/>
      <c r="EE23" s="31"/>
      <c r="EF23" s="31"/>
      <c r="EG23" s="31"/>
      <c r="EH23" s="31"/>
      <c r="EI23" s="31"/>
      <c r="EJ23" s="31"/>
      <c r="EK23" s="31"/>
      <c r="EL23" s="31" t="s">
        <v>220</v>
      </c>
      <c r="EM23" s="31"/>
      <c r="EN23" s="31"/>
      <c r="EO23" s="31"/>
      <c r="EP23" s="31"/>
    </row>
    <row r="24" spans="1:146" customFormat="1" ht="29">
      <c r="A24" s="28" t="s">
        <v>1138</v>
      </c>
      <c r="B24" s="31"/>
      <c r="C24" s="14" t="s">
        <v>1139</v>
      </c>
      <c r="D24" s="36" t="s">
        <v>1164</v>
      </c>
      <c r="E24" s="38">
        <v>2027</v>
      </c>
      <c r="F24" s="38">
        <v>2027</v>
      </c>
      <c r="G24" s="37" t="s">
        <v>472</v>
      </c>
      <c r="H24" s="39" t="s">
        <v>213</v>
      </c>
      <c r="I24" s="37" t="s">
        <v>584</v>
      </c>
      <c r="J24" s="7" t="str">
        <f t="shared" si="0"/>
        <v>Rifanda Yulio</v>
      </c>
      <c r="K24" s="31"/>
      <c r="L24" s="14" t="s">
        <v>694</v>
      </c>
      <c r="M24" s="8">
        <f t="shared" si="1"/>
        <v>0</v>
      </c>
      <c r="N24" s="9">
        <f t="shared" si="11"/>
        <v>0</v>
      </c>
      <c r="O24" s="88"/>
      <c r="P24" s="88"/>
      <c r="Q24" s="31"/>
      <c r="R24" s="31"/>
      <c r="S24" s="89"/>
      <c r="T24" s="89"/>
      <c r="U24" s="89"/>
      <c r="V24" s="89"/>
      <c r="W24" s="89"/>
      <c r="X24" s="89"/>
      <c r="Y24" s="31"/>
      <c r="Z24" s="7"/>
      <c r="AA24" s="7"/>
      <c r="AB24" s="7"/>
      <c r="AC24" s="31"/>
      <c r="AD24" s="31"/>
      <c r="AE24" s="31"/>
      <c r="AF24" s="31"/>
      <c r="AG24" s="31"/>
      <c r="AH24" s="31"/>
      <c r="AI24" s="31"/>
      <c r="AJ24" s="31"/>
      <c r="AK24" s="31"/>
      <c r="AL24" s="31"/>
      <c r="AM24" s="31"/>
      <c r="AN24" s="31"/>
      <c r="AO24" s="31"/>
      <c r="AP24" s="31"/>
      <c r="AQ24" s="31"/>
      <c r="AR24" s="31"/>
      <c r="AS24" s="31"/>
      <c r="AT24" s="31"/>
      <c r="AU24" s="31"/>
      <c r="AV24" s="31"/>
      <c r="AW24" s="31"/>
      <c r="AX24" s="31"/>
      <c r="AY24" s="7"/>
      <c r="AZ24" s="7"/>
      <c r="BA24" s="31"/>
      <c r="BB24" s="31"/>
      <c r="BC24" s="31"/>
      <c r="BD24" s="31"/>
      <c r="BE24" s="31"/>
      <c r="BF24" s="31"/>
      <c r="BG24" s="31"/>
      <c r="BH24" s="31"/>
      <c r="BI24" s="31"/>
      <c r="BJ24" s="31"/>
      <c r="BK24" s="9"/>
      <c r="BL24" s="30"/>
      <c r="BM24" s="31"/>
      <c r="BN24" s="31"/>
      <c r="BO24" s="31"/>
      <c r="BP24" s="31"/>
      <c r="BQ24" s="31"/>
      <c r="BR24" s="31"/>
      <c r="BS24" s="31"/>
      <c r="BT24" s="31"/>
      <c r="BU24" s="31"/>
      <c r="BV24" s="31"/>
      <c r="BW24" s="9"/>
      <c r="BX24" s="9"/>
      <c r="BY24" s="31"/>
      <c r="BZ24" s="31"/>
      <c r="CA24" s="31"/>
      <c r="CB24" s="31"/>
      <c r="CC24" s="31"/>
      <c r="CD24" s="31"/>
      <c r="CE24" s="31"/>
      <c r="CF24" s="31"/>
      <c r="CG24" s="31"/>
      <c r="CH24" s="31"/>
      <c r="CI24" s="9"/>
      <c r="CJ24" s="9"/>
      <c r="CK24" s="9"/>
      <c r="CL24" s="9"/>
      <c r="CM24" s="31"/>
      <c r="CN24" s="31"/>
      <c r="CO24" s="31"/>
      <c r="CP24" s="31"/>
      <c r="CQ24" s="31"/>
      <c r="CR24" s="31"/>
      <c r="CS24" s="31"/>
      <c r="CT24" s="31"/>
      <c r="CU24" s="31"/>
      <c r="CV24" s="31"/>
      <c r="CW24" s="31"/>
      <c r="CX24" s="31"/>
      <c r="CY24" s="31"/>
      <c r="CZ24" s="31"/>
      <c r="DA24" s="31"/>
      <c r="DB24" s="31"/>
      <c r="DC24" s="31"/>
      <c r="DD24" s="31"/>
      <c r="DE24" s="90"/>
      <c r="DF24" s="90"/>
      <c r="DG24" s="90"/>
      <c r="DH24" s="90"/>
      <c r="DI24" s="90"/>
      <c r="DJ24" s="31"/>
      <c r="DK24" s="17">
        <f t="shared" si="15"/>
        <v>0</v>
      </c>
      <c r="DL24" s="31"/>
      <c r="DM24" s="31"/>
      <c r="DN24" s="31"/>
      <c r="DO24" s="31"/>
      <c r="DP24" s="31"/>
      <c r="DQ24" s="31"/>
      <c r="DR24" s="31"/>
      <c r="DS24" s="31"/>
      <c r="DT24" s="31"/>
      <c r="DU24" s="31"/>
      <c r="DV24" s="31"/>
      <c r="DW24" s="31"/>
      <c r="DX24" s="31"/>
      <c r="DY24" s="31"/>
      <c r="DZ24" s="31"/>
      <c r="EA24" s="31"/>
      <c r="EB24" s="31"/>
      <c r="EC24" s="31"/>
      <c r="ED24" s="31"/>
      <c r="EE24" s="31"/>
      <c r="EF24" s="31"/>
      <c r="EG24" s="31"/>
      <c r="EH24" s="31"/>
      <c r="EI24" s="31"/>
      <c r="EJ24" s="31"/>
      <c r="EK24" s="31"/>
      <c r="EL24" s="31" t="s">
        <v>220</v>
      </c>
      <c r="EM24" s="31"/>
      <c r="EN24" s="31"/>
      <c r="EO24" s="31"/>
      <c r="EP24" s="31"/>
    </row>
    <row r="25" spans="1:146" customFormat="1" ht="29">
      <c r="A25" s="28" t="s">
        <v>1138</v>
      </c>
      <c r="B25" s="31"/>
      <c r="C25" s="14" t="s">
        <v>1139</v>
      </c>
      <c r="D25" s="36" t="s">
        <v>1165</v>
      </c>
      <c r="E25" s="38">
        <v>2026</v>
      </c>
      <c r="F25" s="38">
        <v>2026</v>
      </c>
      <c r="G25" s="37" t="s">
        <v>472</v>
      </c>
      <c r="H25" s="39" t="s">
        <v>673</v>
      </c>
      <c r="I25" s="37" t="s">
        <v>744</v>
      </c>
      <c r="J25" s="7" t="str">
        <f t="shared" si="0"/>
        <v>Rangga Dhaniarto</v>
      </c>
      <c r="K25" s="31"/>
      <c r="L25" s="14" t="s">
        <v>694</v>
      </c>
      <c r="M25" s="8">
        <f t="shared" si="1"/>
        <v>46295</v>
      </c>
      <c r="N25" s="9">
        <f t="shared" si="11"/>
        <v>0</v>
      </c>
      <c r="O25" s="88"/>
      <c r="P25" s="88"/>
      <c r="Q25" s="31"/>
      <c r="R25" s="31"/>
      <c r="S25" s="89"/>
      <c r="T25" s="89"/>
      <c r="U25" s="89"/>
      <c r="V25" s="89"/>
      <c r="W25" s="89"/>
      <c r="X25" s="32">
        <v>46295</v>
      </c>
      <c r="Y25" s="31"/>
      <c r="Z25" s="7"/>
      <c r="AA25" s="7"/>
      <c r="AB25" s="7"/>
      <c r="AC25" s="31"/>
      <c r="AD25" s="31"/>
      <c r="AE25" s="31"/>
      <c r="AF25" s="31"/>
      <c r="AG25" s="31"/>
      <c r="AH25" s="31"/>
      <c r="AI25" s="31"/>
      <c r="AJ25" s="31"/>
      <c r="AK25" s="31"/>
      <c r="AL25" s="31"/>
      <c r="AM25" s="31"/>
      <c r="AN25" s="31"/>
      <c r="AO25" s="31"/>
      <c r="AP25" s="31"/>
      <c r="AQ25" s="31"/>
      <c r="AR25" s="31"/>
      <c r="AS25" s="31"/>
      <c r="AT25" s="31"/>
      <c r="AU25" s="31"/>
      <c r="AV25" s="31"/>
      <c r="AW25" s="31"/>
      <c r="AX25" s="31"/>
      <c r="AY25" s="7"/>
      <c r="AZ25" s="7"/>
      <c r="BA25" s="31"/>
      <c r="BB25" s="31"/>
      <c r="BC25" s="31"/>
      <c r="BD25" s="31"/>
      <c r="BE25" s="31"/>
      <c r="BF25" s="31"/>
      <c r="BG25" s="31"/>
      <c r="BH25" s="31"/>
      <c r="BI25" s="31"/>
      <c r="BJ25" s="31"/>
      <c r="BK25" s="9"/>
      <c r="BL25" s="30"/>
      <c r="BM25" s="31"/>
      <c r="BN25" s="31"/>
      <c r="BO25" s="31"/>
      <c r="BP25" s="31"/>
      <c r="BQ25" s="31"/>
      <c r="BR25" s="31"/>
      <c r="BS25" s="31"/>
      <c r="BT25" s="31"/>
      <c r="BU25" s="31"/>
      <c r="BV25" s="31"/>
      <c r="BW25" s="9"/>
      <c r="BX25" s="9"/>
      <c r="BY25" s="31"/>
      <c r="BZ25" s="31"/>
      <c r="CA25" s="31"/>
      <c r="CB25" s="31"/>
      <c r="CC25" s="31"/>
      <c r="CD25" s="31"/>
      <c r="CE25" s="31"/>
      <c r="CF25" s="31"/>
      <c r="CG25" s="31"/>
      <c r="CH25" s="31"/>
      <c r="CI25" s="9"/>
      <c r="CJ25" s="9"/>
      <c r="CK25" s="9"/>
      <c r="CL25" s="9"/>
      <c r="CM25" s="31"/>
      <c r="CN25" s="31"/>
      <c r="CO25" s="31"/>
      <c r="CP25" s="31"/>
      <c r="CQ25" s="31"/>
      <c r="CR25" s="31"/>
      <c r="CS25" s="31"/>
      <c r="CT25" s="31"/>
      <c r="CU25" s="31"/>
      <c r="CV25" s="31"/>
      <c r="CW25" s="31"/>
      <c r="CX25" s="31"/>
      <c r="CY25" s="31"/>
      <c r="CZ25" s="31"/>
      <c r="DA25" s="31"/>
      <c r="DB25" s="31"/>
      <c r="DC25" s="31"/>
      <c r="DD25" s="31"/>
      <c r="DE25" s="90"/>
      <c r="DF25" s="90"/>
      <c r="DG25" s="90"/>
      <c r="DH25" s="90"/>
      <c r="DI25" s="90"/>
      <c r="DJ25" s="31"/>
      <c r="DK25" s="17">
        <f t="shared" si="15"/>
        <v>0</v>
      </c>
      <c r="DL25" s="31"/>
      <c r="DM25" s="31"/>
      <c r="DN25" s="31"/>
      <c r="DO25" s="31"/>
      <c r="DP25" s="31"/>
      <c r="DQ25" s="31"/>
      <c r="DR25" s="31"/>
      <c r="DS25" s="31"/>
      <c r="DT25" s="31"/>
      <c r="DU25" s="31"/>
      <c r="DV25" s="31"/>
      <c r="DW25" s="31"/>
      <c r="DX25" s="31"/>
      <c r="DY25" s="31"/>
      <c r="DZ25" s="31"/>
      <c r="EA25" s="31"/>
      <c r="EB25" s="31"/>
      <c r="EC25" s="31"/>
      <c r="ED25" s="31"/>
      <c r="EE25" s="31"/>
      <c r="EF25" s="31"/>
      <c r="EG25" s="31"/>
      <c r="EH25" s="31"/>
      <c r="EI25" s="31"/>
      <c r="EJ25" s="31"/>
      <c r="EK25" s="31"/>
      <c r="EL25" s="14" t="s">
        <v>563</v>
      </c>
      <c r="EM25" s="31"/>
      <c r="EN25" s="31"/>
      <c r="EO25" s="31"/>
      <c r="EP25" s="31"/>
    </row>
    <row r="26" spans="1:146" ht="145.5" customHeight="1">
      <c r="A26" s="7" t="s">
        <v>1166</v>
      </c>
      <c r="B26" s="14"/>
      <c r="C26" s="14" t="s">
        <v>1167</v>
      </c>
      <c r="D26" s="14" t="s">
        <v>1168</v>
      </c>
      <c r="E26" s="38">
        <v>2026</v>
      </c>
      <c r="F26" s="38">
        <v>2026</v>
      </c>
      <c r="G26" s="14"/>
      <c r="H26" s="39" t="s">
        <v>558</v>
      </c>
      <c r="I26" s="37" t="s">
        <v>1169</v>
      </c>
      <c r="J26" s="7" t="str">
        <f t="shared" si="0"/>
        <v>Muhamad Fahmi Ridwan</v>
      </c>
      <c r="K26" s="14"/>
      <c r="L26" s="120" t="s">
        <v>1119</v>
      </c>
      <c r="M26" s="8">
        <v>46174</v>
      </c>
      <c r="N26" s="9">
        <f t="shared" si="11"/>
        <v>0.71250000000000002</v>
      </c>
      <c r="O26" s="14"/>
      <c r="P26" s="14"/>
      <c r="Q26" s="14"/>
      <c r="R26" s="14"/>
      <c r="S26" s="14"/>
      <c r="T26" s="14"/>
      <c r="U26" s="14"/>
      <c r="V26" s="14"/>
      <c r="W26" s="14" t="s">
        <v>1520</v>
      </c>
      <c r="X26" s="32">
        <v>46081</v>
      </c>
      <c r="Y26" s="14"/>
      <c r="Z26" s="14"/>
      <c r="AA26" s="14"/>
      <c r="AB26" s="7" t="str">
        <f>IF(AN26=0%,"Not Started",IF(AN26&lt;5%,"Proses CD",IF(AN26=5%,"Selesai CD",IF(AN26&lt;10%,"Proses BRD",IF(AN26=10%,"Selesai BRD",IF(AN26&lt;20%,"Proses Solusi SI",IF(AN26=20%,"Selesai Solusi SI",IF(AN26&lt;25%,"Proses KAK",IF(AN26=25%,"Selesai KAK",IF(AN26&lt;30%,"Proses SPK",IF(AN26=30%,"Selesai SPK",IF(AN26&lt;45%, "Proses Desain", IF(AN26=45%, "Selesai Desain", IF(AN26&lt;60%,"Proses Coding",IF(AN26=60%,"Selesai Coding",IF(AN26&lt;75%,"Proses SIT", IF(AN26=75%,"Selesai SIT", IF(AN26&lt;90%,"Proses UAT",IF(AN26=90%,"Selesai UAT",IF(AN26&lt;100%,"Proses Implementasi","Selesai Implementasi"))))))))))))))))))))</f>
        <v>Not Started</v>
      </c>
      <c r="AC26" s="31"/>
      <c r="AD26" s="31"/>
      <c r="AE26" s="31"/>
      <c r="AF26" s="31"/>
      <c r="AG26" s="31"/>
      <c r="AH26" s="31"/>
      <c r="AI26" s="31"/>
      <c r="AJ26" s="31"/>
      <c r="AK26" s="14"/>
      <c r="AL26" s="14"/>
      <c r="AM26" s="14"/>
      <c r="AN26" s="31"/>
      <c r="AO26" s="31"/>
      <c r="AP26" s="31"/>
      <c r="AQ26" s="31"/>
      <c r="AR26" s="31"/>
      <c r="AS26" s="31"/>
      <c r="AT26" s="31"/>
      <c r="AU26" s="31"/>
      <c r="AV26" s="31"/>
      <c r="AW26" s="14"/>
      <c r="AX26" s="14"/>
      <c r="AY26" s="14"/>
      <c r="AZ26" s="7" t="str">
        <f>IF(BL26=0%,"Not Started",IF(BL26&lt;5%,"Proses CD",IF(BL26=5%,"Selesai CD",IF(BL26&lt;10%,"Proses BRD",IF(BL26=10%,"Selesai BRD",IF(BL26&lt;20%,"Proses Solusi SI",IF(BL26=20%,"Selesai Solusi SI",IF(BL26&lt;25%,"Proses KAK",IF(BL26=25%,"Selesai KAK",IF(BL26&lt;30%,"Proses SPK",IF(BL26=30%,"Selesai SPK",IF(BL26&lt;45%, "Proses Desain", IF(BL26=45%, "Selesai Desain", IF(BL26&lt;60%,"Proses Coding",IF(BL26=60%,"Selesai Coding",IF(BL26&lt;75%,"Proses SIT", IF(BL26=75%,"Selesai SIT", IF(BL26&lt;90%,"Proses UAT",IF(BL26=90%,"Selesai UAT",IF(BL26&lt;100%,"Proses Implementasi","Selesai Implementasi"))))))))))))))))))))</f>
        <v>Selesai KAK</v>
      </c>
      <c r="BA26" s="31"/>
      <c r="BB26" s="31"/>
      <c r="BC26" s="31"/>
      <c r="BD26" s="31"/>
      <c r="BE26" s="31"/>
      <c r="BF26" s="31"/>
      <c r="BG26" s="31"/>
      <c r="BH26" s="31"/>
      <c r="BI26" s="14"/>
      <c r="BJ26" s="14"/>
      <c r="BK26" s="14"/>
      <c r="BL26" s="30">
        <v>0.25</v>
      </c>
      <c r="BM26" s="31"/>
      <c r="BN26" s="31"/>
      <c r="BO26" s="31"/>
      <c r="BP26" s="31"/>
      <c r="BQ26" s="31"/>
      <c r="BR26" s="31"/>
      <c r="BS26" s="31"/>
      <c r="BT26" s="31"/>
      <c r="BU26" s="14"/>
      <c r="BV26" s="14"/>
      <c r="BW26" s="14"/>
      <c r="BX26" s="9">
        <f>IF(AN26=0%, 100%, (BL26/AN26))</f>
        <v>1</v>
      </c>
      <c r="BY26" s="31"/>
      <c r="BZ26" s="31"/>
      <c r="CA26" s="31"/>
      <c r="CB26" s="31"/>
      <c r="CC26" s="31"/>
      <c r="CD26" s="31"/>
      <c r="CE26" s="31"/>
      <c r="CF26" s="31"/>
      <c r="CG26" s="14"/>
      <c r="CH26" s="14"/>
      <c r="CI26" s="14"/>
      <c r="CJ26" s="9" t="str">
        <f t="shared" ref="CJ26:CL32" si="17">IF(AT26=0%,"NS",IF(BL26=100%,"DONE",IF(BX26&gt;100%,"AS",IF(BX26&lt;75%,"BS",IF(AZ26&lt;&gt;AB26,"BS",IF(BX26&lt;89.9%,"AR","OS"))))))</f>
        <v>NS</v>
      </c>
      <c r="CK26" s="9" t="str">
        <f t="shared" si="17"/>
        <v>NS</v>
      </c>
      <c r="CL26" s="9" t="str">
        <f t="shared" si="17"/>
        <v>NS</v>
      </c>
      <c r="CM26" s="31"/>
      <c r="CN26" s="31"/>
      <c r="CO26" s="31"/>
      <c r="CP26" s="31"/>
      <c r="CQ26" s="31"/>
      <c r="CR26" s="31"/>
      <c r="CS26" s="14"/>
      <c r="CT26" s="14"/>
      <c r="CU26" s="14"/>
      <c r="CV26" s="31"/>
      <c r="CW26" s="31"/>
      <c r="CX26" s="31"/>
      <c r="CY26" s="31"/>
      <c r="CZ26" s="31"/>
      <c r="DA26" s="31"/>
      <c r="DB26" s="31"/>
      <c r="DC26" s="31"/>
      <c r="DD26" s="31"/>
      <c r="DE26" s="33">
        <v>1</v>
      </c>
      <c r="DF26" s="29">
        <v>1</v>
      </c>
      <c r="DG26" s="29">
        <v>0.85</v>
      </c>
      <c r="DH26" s="14"/>
      <c r="DI26" s="203" t="s">
        <v>1521</v>
      </c>
      <c r="DJ26" s="14"/>
      <c r="DK26" s="17" t="str">
        <f t="shared" si="15"/>
        <v>Februari2026</v>
      </c>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t="s">
        <v>1170</v>
      </c>
      <c r="EL26" s="14" t="s">
        <v>1131</v>
      </c>
      <c r="EM26" s="14" t="s">
        <v>1171</v>
      </c>
      <c r="EN26" s="14"/>
      <c r="EO26" s="14" t="s">
        <v>1172</v>
      </c>
      <c r="EP26" s="14" t="s">
        <v>1173</v>
      </c>
    </row>
    <row r="27" spans="1:146" ht="81.75" customHeight="1">
      <c r="A27" s="7" t="s">
        <v>1166</v>
      </c>
      <c r="B27" s="14"/>
      <c r="C27" s="14" t="s">
        <v>1167</v>
      </c>
      <c r="D27" s="14" t="s">
        <v>1174</v>
      </c>
      <c r="E27" s="38">
        <v>2025</v>
      </c>
      <c r="F27" s="38">
        <v>2025</v>
      </c>
      <c r="G27" s="14"/>
      <c r="H27" s="39" t="s">
        <v>558</v>
      </c>
      <c r="I27" s="37" t="s">
        <v>1175</v>
      </c>
      <c r="J27" s="7" t="str">
        <f t="shared" si="0"/>
        <v>Muhamad Fahmi Ridwan</v>
      </c>
      <c r="K27" s="14"/>
      <c r="L27" s="14" t="s">
        <v>1129</v>
      </c>
      <c r="M27" s="8">
        <f t="shared" si="1"/>
        <v>0</v>
      </c>
      <c r="N27" s="9">
        <f t="shared" si="11"/>
        <v>1</v>
      </c>
      <c r="O27" s="14"/>
      <c r="P27" s="14"/>
      <c r="Q27" s="14"/>
      <c r="R27" s="14"/>
      <c r="S27" s="14"/>
      <c r="T27" s="14"/>
      <c r="U27" s="14"/>
      <c r="V27" s="14"/>
      <c r="W27" s="14"/>
      <c r="X27" s="14"/>
      <c r="Y27" s="14"/>
      <c r="Z27" s="14"/>
      <c r="AA27" s="14"/>
      <c r="AB27" s="7"/>
      <c r="AC27" s="31"/>
      <c r="AD27" s="31"/>
      <c r="AE27" s="31"/>
      <c r="AF27" s="31"/>
      <c r="AG27" s="31"/>
      <c r="AH27" s="31"/>
      <c r="AI27" s="31"/>
      <c r="AJ27" s="31"/>
      <c r="AK27" s="14"/>
      <c r="AL27" s="14"/>
      <c r="AM27" s="14"/>
      <c r="AN27" s="31"/>
      <c r="AO27" s="31"/>
      <c r="AP27" s="31"/>
      <c r="AQ27" s="31"/>
      <c r="AR27" s="31"/>
      <c r="AS27" s="31"/>
      <c r="AT27" s="31"/>
      <c r="AU27" s="31"/>
      <c r="AV27" s="31"/>
      <c r="AW27" s="14"/>
      <c r="AX27" s="14"/>
      <c r="AY27" s="14"/>
      <c r="AZ27" s="7"/>
      <c r="BA27" s="31"/>
      <c r="BB27" s="31"/>
      <c r="BC27" s="31"/>
      <c r="BD27" s="31"/>
      <c r="BE27" s="31"/>
      <c r="BF27" s="31"/>
      <c r="BG27" s="31"/>
      <c r="BH27" s="31"/>
      <c r="BI27" s="14"/>
      <c r="BJ27" s="14"/>
      <c r="BK27" s="14"/>
      <c r="BL27" s="30"/>
      <c r="BM27" s="31"/>
      <c r="BN27" s="31"/>
      <c r="BO27" s="31"/>
      <c r="BP27" s="31"/>
      <c r="BQ27" s="31"/>
      <c r="BR27" s="31"/>
      <c r="BS27" s="31"/>
      <c r="BT27" s="31"/>
      <c r="BU27" s="14"/>
      <c r="BV27" s="14"/>
      <c r="BW27" s="14"/>
      <c r="BX27" s="9"/>
      <c r="BY27" s="31"/>
      <c r="BZ27" s="31"/>
      <c r="CA27" s="31"/>
      <c r="CB27" s="31"/>
      <c r="CC27" s="31"/>
      <c r="CD27" s="31"/>
      <c r="CE27" s="31"/>
      <c r="CF27" s="31"/>
      <c r="CG27" s="14"/>
      <c r="CH27" s="14"/>
      <c r="CI27" s="14"/>
      <c r="CJ27" s="9" t="str">
        <f t="shared" si="17"/>
        <v>NS</v>
      </c>
      <c r="CK27" s="9" t="str">
        <f t="shared" si="17"/>
        <v>NS</v>
      </c>
      <c r="CL27" s="9" t="str">
        <f t="shared" si="17"/>
        <v>NS</v>
      </c>
      <c r="CM27" s="31"/>
      <c r="CN27" s="31"/>
      <c r="CO27" s="31"/>
      <c r="CP27" s="31"/>
      <c r="CQ27" s="31"/>
      <c r="CR27" s="31"/>
      <c r="CS27" s="14"/>
      <c r="CT27" s="14"/>
      <c r="CU27" s="14"/>
      <c r="CV27" s="31"/>
      <c r="CW27" s="31"/>
      <c r="CX27" s="31"/>
      <c r="CY27" s="31"/>
      <c r="CZ27" s="31"/>
      <c r="DA27" s="31"/>
      <c r="DB27" s="31"/>
      <c r="DC27" s="31"/>
      <c r="DD27" s="31"/>
      <c r="DE27" s="33">
        <v>1</v>
      </c>
      <c r="DF27" s="29">
        <v>1</v>
      </c>
      <c r="DG27" s="29">
        <v>1</v>
      </c>
      <c r="DH27" s="29">
        <v>1</v>
      </c>
      <c r="DI27" s="202" t="s">
        <v>1176</v>
      </c>
      <c r="DJ27" s="14"/>
      <c r="DK27" s="17">
        <f t="shared" si="15"/>
        <v>0</v>
      </c>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t="s">
        <v>562</v>
      </c>
      <c r="EL27" s="14" t="s">
        <v>1131</v>
      </c>
      <c r="EM27" s="14"/>
      <c r="EN27" s="14"/>
      <c r="EO27" s="14"/>
      <c r="EP27" s="14"/>
    </row>
    <row r="28" spans="1:146" ht="69" customHeight="1">
      <c r="A28" s="7" t="s">
        <v>1166</v>
      </c>
      <c r="B28" s="14"/>
      <c r="C28" s="14" t="s">
        <v>1167</v>
      </c>
      <c r="D28" s="14" t="s">
        <v>1177</v>
      </c>
      <c r="E28" s="38">
        <v>2025</v>
      </c>
      <c r="F28" s="38">
        <v>2025</v>
      </c>
      <c r="G28" s="14"/>
      <c r="H28" s="39" t="s">
        <v>558</v>
      </c>
      <c r="I28" s="37" t="s">
        <v>1175</v>
      </c>
      <c r="J28" s="7" t="str">
        <f t="shared" si="0"/>
        <v>Muhamad Fahmi Ridwan</v>
      </c>
      <c r="K28" s="14"/>
      <c r="L28" s="14" t="s">
        <v>1129</v>
      </c>
      <c r="M28" s="8">
        <f t="shared" si="1"/>
        <v>45839</v>
      </c>
      <c r="N28" s="9">
        <f t="shared" si="11"/>
        <v>1</v>
      </c>
      <c r="O28" s="14"/>
      <c r="P28" s="14"/>
      <c r="Q28" s="14"/>
      <c r="R28" s="14"/>
      <c r="S28" s="14"/>
      <c r="T28" s="14"/>
      <c r="U28" s="14"/>
      <c r="V28" s="14"/>
      <c r="W28" s="14"/>
      <c r="X28" s="32">
        <v>45839</v>
      </c>
      <c r="Y28" s="14"/>
      <c r="Z28" s="14"/>
      <c r="AA28" s="14"/>
      <c r="AB28" s="7" t="str">
        <f>IF(AN28=0%,"Not Started",IF(AN28&lt;5%,"Proses CD",IF(AN28=5%,"Selesai CD",IF(AN28&lt;10%,"Proses BRD",IF(AN28=10%,"Selesai BRD",IF(AN28&lt;20%,"Proses Solusi SI",IF(AN28=20%,"Selesai Solusi SI",IF(AN28&lt;25%,"Proses KAK",IF(AN28=25%,"Selesai KAK",IF(AN28&lt;30%,"Proses SPK",IF(AN28=30%,"Selesai SPK",IF(AN28&lt;45%, "Proses Desain", IF(AN28=45%, "Selesai Desain", IF(AN28&lt;60%,"Proses Coding",IF(AN28=60%,"Selesai Coding",IF(AN28&lt;75%,"Proses SIT", IF(AN28=75%,"Selesai SIT", IF(AN28&lt;90%,"Proses UAT",IF(AN28=90%,"Selesai UAT",IF(AN28&lt;100%,"Proses Implementasi","Selesai Implementasi"))))))))))))))))))))</f>
        <v>Not Started</v>
      </c>
      <c r="AC28" s="31"/>
      <c r="AD28" s="31"/>
      <c r="AE28" s="31"/>
      <c r="AF28" s="31"/>
      <c r="AG28" s="31"/>
      <c r="AH28" s="31"/>
      <c r="AI28" s="31"/>
      <c r="AJ28" s="31"/>
      <c r="AK28" s="14"/>
      <c r="AL28" s="14"/>
      <c r="AM28" s="14"/>
      <c r="AN28" s="31"/>
      <c r="AO28" s="31"/>
      <c r="AP28" s="31"/>
      <c r="AQ28" s="31"/>
      <c r="AR28" s="31"/>
      <c r="AS28" s="31"/>
      <c r="AT28" s="31"/>
      <c r="AU28" s="31"/>
      <c r="AV28" s="31"/>
      <c r="AW28" s="14"/>
      <c r="AX28" s="14"/>
      <c r="AY28" s="14"/>
      <c r="AZ28" s="7" t="str">
        <f>IF(BL28=0%,"Not Started",IF(BL28&lt;5%,"Proses CD",IF(BL28=5%,"Selesai CD",IF(BL28&lt;10%,"Proses BRD",IF(BL28=10%,"Selesai BRD",IF(BL28&lt;20%,"Proses Solusi SI",IF(BL28=20%,"Selesai Solusi SI",IF(BL28&lt;25%,"Proses KAK",IF(BL28=25%,"Selesai KAK",IF(BL28&lt;30%,"Proses SPK",IF(BL28=30%,"Selesai SPK",IF(BL28&lt;45%, "Proses Desain", IF(BL28=45%, "Selesai Desain", IF(BL28&lt;60%,"Proses Coding",IF(BL28=60%,"Selesai Coding",IF(BL28&lt;75%,"Proses SIT", IF(BL28=75%,"Selesai SIT", IF(BL28&lt;90%,"Proses UAT",IF(BL28=90%,"Selesai UAT",IF(BL28&lt;100%,"Proses Implementasi","Selesai Implementasi"))))))))))))))))))))</f>
        <v>Selesai KAK</v>
      </c>
      <c r="BA28" s="31"/>
      <c r="BB28" s="31"/>
      <c r="BC28" s="31"/>
      <c r="BD28" s="31"/>
      <c r="BE28" s="31"/>
      <c r="BF28" s="31"/>
      <c r="BG28" s="31"/>
      <c r="BH28" s="31"/>
      <c r="BI28" s="14"/>
      <c r="BJ28" s="14"/>
      <c r="BK28" s="14"/>
      <c r="BL28" s="30">
        <v>0.25</v>
      </c>
      <c r="BM28" s="31"/>
      <c r="BN28" s="31"/>
      <c r="BO28" s="31"/>
      <c r="BP28" s="31"/>
      <c r="BQ28" s="31"/>
      <c r="BR28" s="31"/>
      <c r="BS28" s="31"/>
      <c r="BT28" s="31"/>
      <c r="BU28" s="14"/>
      <c r="BV28" s="14"/>
      <c r="BW28" s="14"/>
      <c r="BX28" s="9">
        <f>IF(AN28=0%, 100%, (BL28/AN28))</f>
        <v>1</v>
      </c>
      <c r="BY28" s="31"/>
      <c r="BZ28" s="31"/>
      <c r="CA28" s="31"/>
      <c r="CB28" s="31"/>
      <c r="CC28" s="31"/>
      <c r="CD28" s="31"/>
      <c r="CE28" s="31"/>
      <c r="CF28" s="31"/>
      <c r="CG28" s="14"/>
      <c r="CH28" s="14"/>
      <c r="CI28" s="14"/>
      <c r="CJ28" s="9" t="str">
        <f t="shared" si="17"/>
        <v>NS</v>
      </c>
      <c r="CK28" s="9" t="str">
        <f t="shared" si="17"/>
        <v>NS</v>
      </c>
      <c r="CL28" s="9" t="str">
        <f t="shared" si="17"/>
        <v>NS</v>
      </c>
      <c r="CM28" s="31"/>
      <c r="CN28" s="31"/>
      <c r="CO28" s="31"/>
      <c r="CP28" s="31"/>
      <c r="CQ28" s="31"/>
      <c r="CR28" s="31"/>
      <c r="CS28" s="14"/>
      <c r="CT28" s="14"/>
      <c r="CU28" s="14"/>
      <c r="CV28" s="31"/>
      <c r="CW28" s="31"/>
      <c r="CX28" s="31"/>
      <c r="CY28" s="31"/>
      <c r="CZ28" s="31"/>
      <c r="DA28" s="31"/>
      <c r="DB28" s="31"/>
      <c r="DC28" s="31"/>
      <c r="DD28" s="31"/>
      <c r="DE28" s="33">
        <v>1</v>
      </c>
      <c r="DF28" s="33">
        <v>1</v>
      </c>
      <c r="DG28" s="33">
        <v>1</v>
      </c>
      <c r="DH28" s="33">
        <v>1</v>
      </c>
      <c r="DI28" s="34" t="s">
        <v>1178</v>
      </c>
      <c r="DJ28" s="14"/>
      <c r="DK28" s="17">
        <f t="shared" si="15"/>
        <v>0</v>
      </c>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t="s">
        <v>562</v>
      </c>
      <c r="EL28" s="14" t="s">
        <v>1131</v>
      </c>
      <c r="EM28" s="14"/>
      <c r="EN28" s="14"/>
      <c r="EO28" s="14"/>
      <c r="EP28" s="14"/>
    </row>
    <row r="29" spans="1:146" ht="51.65" customHeight="1">
      <c r="A29" s="7" t="s">
        <v>1166</v>
      </c>
      <c r="B29" s="14"/>
      <c r="C29" s="14" t="s">
        <v>1167</v>
      </c>
      <c r="D29" s="35" t="s">
        <v>1179</v>
      </c>
      <c r="E29" s="38">
        <v>2025</v>
      </c>
      <c r="F29" s="38">
        <v>2025</v>
      </c>
      <c r="G29" s="14"/>
      <c r="H29" s="39" t="s">
        <v>558</v>
      </c>
      <c r="I29" s="37" t="s">
        <v>1180</v>
      </c>
      <c r="J29" s="7" t="str">
        <f t="shared" si="0"/>
        <v>Muhamad Fahmi Ridwan</v>
      </c>
      <c r="K29" s="14"/>
      <c r="L29" s="14" t="s">
        <v>1129</v>
      </c>
      <c r="M29" s="8">
        <f t="shared" si="1"/>
        <v>45747</v>
      </c>
      <c r="N29" s="9">
        <f t="shared" si="11"/>
        <v>1</v>
      </c>
      <c r="O29" s="7">
        <v>0</v>
      </c>
      <c r="P29" s="7">
        <v>0</v>
      </c>
      <c r="Q29" s="14"/>
      <c r="R29" s="14"/>
      <c r="S29" s="14"/>
      <c r="T29" s="14"/>
      <c r="U29" s="14"/>
      <c r="V29" s="14"/>
      <c r="W29" s="14"/>
      <c r="X29" s="8">
        <v>45747</v>
      </c>
      <c r="Y29" s="14"/>
      <c r="Z29" s="7"/>
      <c r="AA29" s="7" t="str">
        <f>IF(AM29=0%,"Not Started",IF(AM29&lt;30%,"Proses Asesmen",IF(AM29=30%,"Selesai Asesmen",IF(AM29&lt;70%,"Proses Konfigurasi",IF(AM29=70%,"Selesai Konfigurasi",IF(AM29&lt;90%,"Proses Pengujian",IF(AM29=90%,"Selesai Pengujian",IF(AM29&lt;100%,"Proses Implementasi","Selesai Implementasi"))))))))</f>
        <v>Proses Konfigurasi</v>
      </c>
      <c r="AB29" s="7" t="str">
        <f>IF(AN29=0%,"Not Started",IF(AN29&lt;5%,"Proses CD",IF(AN29=5%,"Selesai CD",IF(AN29&lt;10%,"Proses BRD",IF(AN29=10%,"Selesai BRD",IF(AN29&lt;20%,"Proses Solusi SI",IF(AN29=20%,"Selesai Solusi SI",IF(AN29&lt;25%,"Proses KAK",IF(AN29=25%,"Selesai KAK",IF(AN29&lt;30%,"Proses SPK",IF(AN29=30%,"Selesai SPK",IF(AN29&lt;45%, "Proses Desain", IF(AN29=45%, "Selesai Desain", IF(AN29&lt;60%,"Proses Coding",IF(AN29=60%,"Selesai Coding",IF(AN29&lt;75%,"Proses SIT", IF(AN29=75%,"Selesai SIT", IF(AN29&lt;90%,"Proses UAT",IF(AN29=90%,"Selesai UAT",IF(AN29&lt;100%,"Proses Implementasi","Selesai Implementasi"))))))))))))))))))))</f>
        <v>Not Started</v>
      </c>
      <c r="AC29" s="31"/>
      <c r="AD29" s="31"/>
      <c r="AE29" s="31"/>
      <c r="AF29" s="31"/>
      <c r="AG29" s="31"/>
      <c r="AH29" s="31"/>
      <c r="AI29" s="31"/>
      <c r="AJ29" s="31"/>
      <c r="AK29" s="14"/>
      <c r="AL29" s="14"/>
      <c r="AM29" s="29">
        <v>0.55000000000000004</v>
      </c>
      <c r="AN29" s="31"/>
      <c r="AO29" s="31"/>
      <c r="AP29" s="31"/>
      <c r="AQ29" s="31"/>
      <c r="AR29" s="31"/>
      <c r="AS29" s="31"/>
      <c r="AT29" s="31"/>
      <c r="AU29" s="31"/>
      <c r="AV29" s="31"/>
      <c r="AW29" s="14"/>
      <c r="AX29" s="14"/>
      <c r="AY29" s="7" t="str">
        <f>IF(BK29=0%,"Not Started",IF(BK29&lt;30%,"Proses Asesmen",IF(BK29=30%,"Selesai Asesmen",IF(BK29&lt;70%,"Proses Konfigurasi",IF(BK29=70%,"Selesai Konfigurasi",IF(BK29&lt;90%,"Proses Pengujian",IF(BK29=90%,"Selesai Pengujian",IF(BK29&lt;100%,"Proses Implementasi","Selesai Implementasi"))))))))</f>
        <v>Selesai Implementasi</v>
      </c>
      <c r="AZ29" s="7" t="str">
        <f>IF(BL29=0%,"Not Started",IF(BL29&lt;5%,"Proses CD",IF(BL29=5%,"Selesai CD",IF(BL29&lt;10%,"Proses BRD",IF(BL29=10%,"Selesai BRD",IF(BL29&lt;20%,"Proses Solusi SI",IF(BL29=20%,"Selesai Solusi SI",IF(BL29&lt;25%,"Proses KAK",IF(BL29=25%,"Selesai KAK",IF(BL29&lt;30%,"Proses SPK",IF(BL29=30%,"Selesai SPK",IF(BL29&lt;45%, "Proses Desain", IF(BL29=45%, "Selesai Desain", IF(BL29&lt;60%,"Proses Coding",IF(BL29=60%,"Selesai Coding",IF(BL29&lt;75%,"Proses SIT", IF(BL29=75%,"Selesai SIT", IF(BL29&lt;90%,"Proses UAT",IF(BL29=90%,"Selesai UAT",IF(BL29&lt;100%,"Proses Implementasi","Selesai Implementasi"))))))))))))))))))))</f>
        <v>Selesai KAK</v>
      </c>
      <c r="BA29" s="31"/>
      <c r="BB29" s="31"/>
      <c r="BC29" s="31"/>
      <c r="BD29" s="31"/>
      <c r="BE29" s="31"/>
      <c r="BF29" s="31"/>
      <c r="BG29" s="31"/>
      <c r="BH29" s="31"/>
      <c r="BI29" s="14"/>
      <c r="BJ29" s="14"/>
      <c r="BK29" s="9">
        <f>(($DE29/100%)*30%)+(($DF29/100%)*40%)+(($DG29/100%)*20%)+(($DH29/100%)*10%)</f>
        <v>0.99999999999999989</v>
      </c>
      <c r="BL29" s="30">
        <v>0.25</v>
      </c>
      <c r="BM29" s="31"/>
      <c r="BN29" s="31"/>
      <c r="BO29" s="31"/>
      <c r="BP29" s="31"/>
      <c r="BQ29" s="31"/>
      <c r="BR29" s="31"/>
      <c r="BS29" s="31"/>
      <c r="BT29" s="31"/>
      <c r="BU29" s="14"/>
      <c r="BV29" s="14"/>
      <c r="BW29" s="9">
        <f>IF(AM29=0%, 100%, (BK29/AM29))</f>
        <v>1.8181818181818179</v>
      </c>
      <c r="BX29" s="9">
        <f>IF(AN29=0%, 100%, (BL29/AN29))</f>
        <v>1</v>
      </c>
      <c r="BY29" s="31"/>
      <c r="BZ29" s="31"/>
      <c r="CA29" s="31"/>
      <c r="CB29" s="31"/>
      <c r="CC29" s="31"/>
      <c r="CD29" s="31"/>
      <c r="CE29" s="31"/>
      <c r="CF29" s="31"/>
      <c r="CG29" s="14"/>
      <c r="CH29" s="14"/>
      <c r="CI29" s="9" t="str">
        <f>IF(AM29=0%,"NS",IF(BK29=100%,"DONE",IF(BW29&gt;100%,"AS",IF(BW29&lt;75%,"BS",IF(AY29&lt;&gt;AA29,"BS",IF(BW29&lt;89.9%,"AR","OS"))))))</f>
        <v>DONE</v>
      </c>
      <c r="CJ29" s="9" t="str">
        <f t="shared" si="17"/>
        <v>NS</v>
      </c>
      <c r="CK29" s="9" t="str">
        <f t="shared" si="17"/>
        <v>NS</v>
      </c>
      <c r="CL29" s="9" t="str">
        <f t="shared" si="17"/>
        <v>NS</v>
      </c>
      <c r="CM29" s="31"/>
      <c r="CN29" s="31"/>
      <c r="CO29" s="31"/>
      <c r="CP29" s="31"/>
      <c r="CQ29" s="31"/>
      <c r="CR29" s="31"/>
      <c r="CS29" s="14"/>
      <c r="CT29" s="14"/>
      <c r="CU29" s="14"/>
      <c r="CV29" s="31"/>
      <c r="CW29" s="31"/>
      <c r="CX29" s="31"/>
      <c r="CY29" s="31"/>
      <c r="CZ29" s="31"/>
      <c r="DA29" s="31"/>
      <c r="DB29" s="31"/>
      <c r="DC29" s="31"/>
      <c r="DD29" s="31"/>
      <c r="DE29" s="33">
        <v>1</v>
      </c>
      <c r="DF29" s="33">
        <v>1</v>
      </c>
      <c r="DG29" s="33">
        <v>1</v>
      </c>
      <c r="DH29" s="33">
        <v>1</v>
      </c>
      <c r="DI29" s="34" t="s">
        <v>1181</v>
      </c>
      <c r="DJ29" s="14"/>
      <c r="DK29" s="17">
        <f t="shared" si="15"/>
        <v>0</v>
      </c>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t="s">
        <v>562</v>
      </c>
      <c r="EL29" s="14" t="s">
        <v>1131</v>
      </c>
      <c r="EM29" s="14"/>
      <c r="EN29" s="14"/>
      <c r="EO29" s="14"/>
      <c r="EP29" s="14"/>
    </row>
    <row r="30" spans="1:146" ht="47.9" customHeight="1">
      <c r="A30" s="7" t="s">
        <v>1166</v>
      </c>
      <c r="B30" s="14"/>
      <c r="C30" s="14" t="s">
        <v>1167</v>
      </c>
      <c r="D30" s="35" t="s">
        <v>1182</v>
      </c>
      <c r="E30" s="38">
        <v>2025</v>
      </c>
      <c r="F30" s="38">
        <v>2025</v>
      </c>
      <c r="G30" s="14"/>
      <c r="H30" s="39" t="s">
        <v>558</v>
      </c>
      <c r="I30" s="37" t="s">
        <v>1183</v>
      </c>
      <c r="J30" s="7" t="str">
        <f t="shared" si="0"/>
        <v>Muhamad Fahmi Ridwan</v>
      </c>
      <c r="K30" s="14"/>
      <c r="L30" s="14" t="s">
        <v>1129</v>
      </c>
      <c r="M30" s="8">
        <f t="shared" si="1"/>
        <v>45777</v>
      </c>
      <c r="N30" s="9">
        <f t="shared" si="11"/>
        <v>1</v>
      </c>
      <c r="O30" s="7">
        <v>0</v>
      </c>
      <c r="P30" s="7">
        <v>0</v>
      </c>
      <c r="Q30" s="14"/>
      <c r="R30" s="14"/>
      <c r="S30" s="14"/>
      <c r="T30" s="14"/>
      <c r="U30" s="14"/>
      <c r="V30" s="14"/>
      <c r="W30" s="14"/>
      <c r="X30" s="8">
        <v>45777</v>
      </c>
      <c r="Y30" s="14"/>
      <c r="Z30" s="7"/>
      <c r="AA30" s="7" t="str">
        <f>IF(AM30=0%,"Not Started",IF(AM30&lt;30%,"Proses Asesmen",IF(AM30=30%,"Selesai Asesmen",IF(AM30&lt;70%,"Proses Konfigurasi",IF(AM30=70%,"Selesai Konfigurasi",IF(AM30&lt;90%,"Proses Pengujian",IF(AM30=90%,"Selesai Pengujian",IF(AM30&lt;100%,"Proses Implementasi","Selesai Implementasi"))))))))</f>
        <v>Proses Konfigurasi</v>
      </c>
      <c r="AB30" s="7" t="str">
        <f>IF(AN30=0%,"Not Started",IF(AN30&lt;5%,"Proses CD",IF(AN30=5%,"Selesai CD",IF(AN30&lt;10%,"Proses BRD",IF(AN30=10%,"Selesai BRD",IF(AN30&lt;20%,"Proses Solusi SI",IF(AN30=20%,"Selesai Solusi SI",IF(AN30&lt;25%,"Proses KAK",IF(AN30=25%,"Selesai KAK",IF(AN30&lt;30%,"Proses SPK",IF(AN30=30%,"Selesai SPK",IF(AN30&lt;45%, "Proses Desain", IF(AN30=45%, "Selesai Desain", IF(AN30&lt;60%,"Proses Coding",IF(AN30=60%,"Selesai Coding",IF(AN30&lt;75%,"Proses SIT", IF(AN30=75%,"Selesai SIT", IF(AN30&lt;90%,"Proses UAT",IF(AN30=90%,"Selesai UAT",IF(AN30&lt;100%,"Proses Implementasi","Selesai Implementasi"))))))))))))))))))))</f>
        <v>Not Started</v>
      </c>
      <c r="AC30" s="31"/>
      <c r="AD30" s="31"/>
      <c r="AE30" s="31"/>
      <c r="AF30" s="31"/>
      <c r="AG30" s="31"/>
      <c r="AH30" s="31"/>
      <c r="AI30" s="31"/>
      <c r="AJ30" s="31"/>
      <c r="AK30" s="14"/>
      <c r="AL30" s="14"/>
      <c r="AM30" s="29">
        <v>0.55000000000000004</v>
      </c>
      <c r="AN30" s="31"/>
      <c r="AO30" s="31"/>
      <c r="AP30" s="31"/>
      <c r="AQ30" s="31"/>
      <c r="AR30" s="31"/>
      <c r="AS30" s="31"/>
      <c r="AT30" s="31"/>
      <c r="AU30" s="31"/>
      <c r="AV30" s="31"/>
      <c r="AW30" s="14"/>
      <c r="AX30" s="14"/>
      <c r="AY30" s="7" t="str">
        <f>IF(BK30=0%,"Not Started",IF(BK30&lt;30%,"Proses Asesmen",IF(BK30=30%,"Selesai Asesmen",IF(BK30&lt;70%,"Proses Konfigurasi",IF(BK30=70%,"Selesai Konfigurasi",IF(BK30&lt;90%,"Proses Pengujian",IF(BK30=90%,"Selesai Pengujian",IF(BK30&lt;100%,"Proses Implementasi","Selesai Implementasi"))))))))</f>
        <v>Selesai Implementasi</v>
      </c>
      <c r="AZ30" s="7" t="str">
        <f>IF(BL30=0%,"Not Started",IF(BL30&lt;5%,"Proses CD",IF(BL30=5%,"Selesai CD",IF(BL30&lt;10%,"Proses BRD",IF(BL30=10%,"Selesai BRD",IF(BL30&lt;20%,"Proses Solusi SI",IF(BL30=20%,"Selesai Solusi SI",IF(BL30&lt;25%,"Proses KAK",IF(BL30=25%,"Selesai KAK",IF(BL30&lt;30%,"Proses SPK",IF(BL30=30%,"Selesai SPK",IF(BL30&lt;45%, "Proses Desain", IF(BL30=45%, "Selesai Desain", IF(BL30&lt;60%,"Proses Coding",IF(BL30=60%,"Selesai Coding",IF(BL30&lt;75%,"Proses SIT", IF(BL30=75%,"Selesai SIT", IF(BL30&lt;90%,"Proses UAT",IF(BL30=90%,"Selesai UAT",IF(BL30&lt;100%,"Proses Implementasi","Selesai Implementasi"))))))))))))))))))))</f>
        <v>Selesai KAK</v>
      </c>
      <c r="BA30" s="31"/>
      <c r="BB30" s="31"/>
      <c r="BC30" s="31"/>
      <c r="BD30" s="31"/>
      <c r="BE30" s="31"/>
      <c r="BF30" s="31"/>
      <c r="BG30" s="31"/>
      <c r="BH30" s="31"/>
      <c r="BI30" s="14"/>
      <c r="BJ30" s="14"/>
      <c r="BK30" s="9">
        <f>(($DE30/100%)*30%)+(($DF30/100%)*40%)+(($DG30/100%)*20%)+(($DH30/100%)*10%)</f>
        <v>0.99999999999999989</v>
      </c>
      <c r="BL30" s="30">
        <v>0.25</v>
      </c>
      <c r="BM30" s="31"/>
      <c r="BN30" s="31"/>
      <c r="BO30" s="31"/>
      <c r="BP30" s="31"/>
      <c r="BQ30" s="31"/>
      <c r="BR30" s="31"/>
      <c r="BS30" s="31"/>
      <c r="BT30" s="31"/>
      <c r="BU30" s="14"/>
      <c r="BV30" s="14"/>
      <c r="BW30" s="9">
        <f>IF(AM30=0%, 100%, (BK30/AM30))</f>
        <v>1.8181818181818179</v>
      </c>
      <c r="BX30" s="9">
        <f>IF(AN30=0%, 100%, (BL30/AN30))</f>
        <v>1</v>
      </c>
      <c r="BY30" s="31"/>
      <c r="BZ30" s="31"/>
      <c r="CA30" s="31"/>
      <c r="CB30" s="31"/>
      <c r="CC30" s="31"/>
      <c r="CD30" s="31"/>
      <c r="CE30" s="31"/>
      <c r="CF30" s="31"/>
      <c r="CG30" s="14"/>
      <c r="CH30" s="14"/>
      <c r="CI30" s="9" t="str">
        <f>IF(AM30=0%,"NS",IF(BK30=100%,"DONE",IF(BW30&gt;100%,"AS",IF(BW30&lt;75%,"BS",IF(AY30&lt;&gt;AA30,"BS",IF(BW30&lt;89.9%,"AR","OS"))))))</f>
        <v>DONE</v>
      </c>
      <c r="CJ30" s="9" t="str">
        <f t="shared" si="17"/>
        <v>NS</v>
      </c>
      <c r="CK30" s="9" t="str">
        <f t="shared" si="17"/>
        <v>NS</v>
      </c>
      <c r="CL30" s="9" t="str">
        <f t="shared" si="17"/>
        <v>NS</v>
      </c>
      <c r="CM30" s="31"/>
      <c r="CN30" s="31"/>
      <c r="CO30" s="31"/>
      <c r="CP30" s="31"/>
      <c r="CQ30" s="31"/>
      <c r="CR30" s="31"/>
      <c r="CS30" s="14"/>
      <c r="CT30" s="14"/>
      <c r="CU30" s="14"/>
      <c r="CV30" s="31"/>
      <c r="CW30" s="31"/>
      <c r="CX30" s="31"/>
      <c r="CY30" s="31"/>
      <c r="CZ30" s="31"/>
      <c r="DA30" s="31"/>
      <c r="DB30" s="31"/>
      <c r="DC30" s="31"/>
      <c r="DD30" s="31"/>
      <c r="DE30" s="33">
        <v>1</v>
      </c>
      <c r="DF30" s="33">
        <v>1</v>
      </c>
      <c r="DG30" s="33">
        <v>1</v>
      </c>
      <c r="DH30" s="33">
        <v>1</v>
      </c>
      <c r="DI30" s="34" t="s">
        <v>1181</v>
      </c>
      <c r="DJ30" s="14"/>
      <c r="DK30" s="17">
        <f t="shared" si="15"/>
        <v>0</v>
      </c>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t="s">
        <v>562</v>
      </c>
      <c r="EL30" s="14" t="s">
        <v>1131</v>
      </c>
      <c r="EM30" s="14"/>
      <c r="EN30" s="14"/>
      <c r="EO30" s="14"/>
      <c r="EP30" s="14"/>
    </row>
    <row r="31" spans="1:146" ht="55.5" customHeight="1">
      <c r="A31" s="7" t="s">
        <v>1166</v>
      </c>
      <c r="B31" s="14"/>
      <c r="C31" s="14" t="s">
        <v>1167</v>
      </c>
      <c r="D31" s="35" t="s">
        <v>1184</v>
      </c>
      <c r="E31" s="38">
        <v>2025</v>
      </c>
      <c r="F31" s="38">
        <v>2025</v>
      </c>
      <c r="G31" s="14"/>
      <c r="H31" s="39" t="s">
        <v>558</v>
      </c>
      <c r="I31" s="37" t="s">
        <v>1185</v>
      </c>
      <c r="J31" s="7" t="str">
        <f t="shared" si="0"/>
        <v>Muhamad Fahmi Ridwan</v>
      </c>
      <c r="K31" s="14"/>
      <c r="L31" s="14" t="s">
        <v>1129</v>
      </c>
      <c r="M31" s="8">
        <f t="shared" si="1"/>
        <v>45747</v>
      </c>
      <c r="N31" s="9">
        <f t="shared" si="11"/>
        <v>1</v>
      </c>
      <c r="O31" s="7">
        <v>0</v>
      </c>
      <c r="P31" s="7">
        <v>0</v>
      </c>
      <c r="Q31" s="14"/>
      <c r="R31" s="14"/>
      <c r="S31" s="14"/>
      <c r="T31" s="14"/>
      <c r="U31" s="14"/>
      <c r="V31" s="14"/>
      <c r="W31" s="14"/>
      <c r="X31" s="8">
        <v>45747</v>
      </c>
      <c r="Y31" s="14"/>
      <c r="Z31" s="7"/>
      <c r="AA31" s="7" t="str">
        <f>IF(AM31=0%,"Not Started",IF(AM31&lt;30%,"Proses Asesmen",IF(AM31=30%,"Selesai Asesmen",IF(AM31&lt;70%,"Proses Konfigurasi",IF(AM31=70%,"Selesai Konfigurasi",IF(AM31&lt;90%,"Proses Pengujian",IF(AM31=90%,"Selesai Pengujian",IF(AM31&lt;100%,"Proses Implementasi","Selesai Implementasi"))))))))</f>
        <v>Selesai Konfigurasi</v>
      </c>
      <c r="AB31" s="7" t="str">
        <f>IF(AN31=0%,"Not Started",IF(AN31&lt;5%,"Proses CD",IF(AN31=5%,"Selesai CD",IF(AN31&lt;10%,"Proses BRD",IF(AN31=10%,"Selesai BRD",IF(AN31&lt;20%,"Proses Solusi SI",IF(AN31=20%,"Selesai Solusi SI",IF(AN31&lt;25%,"Proses KAK",IF(AN31=25%,"Selesai KAK",IF(AN31&lt;30%,"Proses SPK",IF(AN31=30%,"Selesai SPK",IF(AN31&lt;45%, "Proses Desain", IF(AN31=45%, "Selesai Desain", IF(AN31&lt;60%,"Proses Coding",IF(AN31=60%,"Selesai Coding",IF(AN31&lt;75%,"Proses SIT", IF(AN31=75%,"Selesai SIT", IF(AN31&lt;90%,"Proses UAT",IF(AN31=90%,"Selesai UAT",IF(AN31&lt;100%,"Proses Implementasi","Selesai Implementasi"))))))))))))))))))))</f>
        <v>Not Started</v>
      </c>
      <c r="AC31" s="31"/>
      <c r="AD31" s="31"/>
      <c r="AE31" s="31"/>
      <c r="AF31" s="31"/>
      <c r="AG31" s="31"/>
      <c r="AH31" s="31"/>
      <c r="AI31" s="31"/>
      <c r="AJ31" s="31"/>
      <c r="AK31" s="14"/>
      <c r="AL31" s="14"/>
      <c r="AM31" s="29">
        <v>0.7</v>
      </c>
      <c r="AN31" s="31"/>
      <c r="AO31" s="31"/>
      <c r="AP31" s="31"/>
      <c r="AQ31" s="31"/>
      <c r="AR31" s="31"/>
      <c r="AS31" s="31"/>
      <c r="AT31" s="31"/>
      <c r="AU31" s="31"/>
      <c r="AV31" s="31"/>
      <c r="AW31" s="14"/>
      <c r="AX31" s="14"/>
      <c r="AY31" s="7" t="str">
        <f>IF(BK31=0%,"Not Started",IF(BK31&lt;30%,"Proses Asesmen",IF(BK31=30%,"Selesai Asesmen",IF(BK31&lt;70%,"Proses Konfigurasi",IF(BK31=70%,"Selesai Konfigurasi",IF(BK31&lt;90%,"Proses Pengujian",IF(BK31=90%,"Selesai Pengujian",IF(BK31&lt;100%,"Proses Implementasi","Selesai Implementasi"))))))))</f>
        <v>Selesai Implementasi</v>
      </c>
      <c r="AZ31" s="7" t="str">
        <f>IF(BL31=0%,"Not Started",IF(BL31&lt;5%,"Proses CD",IF(BL31=5%,"Selesai CD",IF(BL31&lt;10%,"Proses BRD",IF(BL31=10%,"Selesai BRD",IF(BL31&lt;20%,"Proses Solusi SI",IF(BL31=20%,"Selesai Solusi SI",IF(BL31&lt;25%,"Proses KAK",IF(BL31=25%,"Selesai KAK",IF(BL31&lt;30%,"Proses SPK",IF(BL31=30%,"Selesai SPK",IF(BL31&lt;45%, "Proses Desain", IF(BL31=45%, "Selesai Desain", IF(BL31&lt;60%,"Proses Coding",IF(BL31=60%,"Selesai Coding",IF(BL31&lt;75%,"Proses SIT", IF(BL31=75%,"Selesai SIT", IF(BL31&lt;90%,"Proses UAT",IF(BL31=90%,"Selesai UAT",IF(BL31&lt;100%,"Proses Implementasi","Selesai Implementasi"))))))))))))))))))))</f>
        <v>Selesai KAK</v>
      </c>
      <c r="BA31" s="31"/>
      <c r="BB31" s="31"/>
      <c r="BC31" s="31"/>
      <c r="BD31" s="31"/>
      <c r="BE31" s="31"/>
      <c r="BF31" s="31"/>
      <c r="BG31" s="31"/>
      <c r="BH31" s="31"/>
      <c r="BI31" s="14"/>
      <c r="BJ31" s="14"/>
      <c r="BK31" s="9">
        <f>(($DE31/100%)*30%)+(($DF31/100%)*40%)+(($DG31/100%)*20%)+(($DH31/100%)*10%)</f>
        <v>0.99999999999999989</v>
      </c>
      <c r="BL31" s="30">
        <v>0.25</v>
      </c>
      <c r="BM31" s="31"/>
      <c r="BN31" s="31"/>
      <c r="BO31" s="31"/>
      <c r="BP31" s="31"/>
      <c r="BQ31" s="31"/>
      <c r="BR31" s="31"/>
      <c r="BS31" s="31"/>
      <c r="BT31" s="31"/>
      <c r="BU31" s="14"/>
      <c r="BV31" s="14"/>
      <c r="BW31" s="9">
        <f>IF(AM31=0%, 100%, (BK31/AM31))</f>
        <v>1.4285714285714286</v>
      </c>
      <c r="BX31" s="9">
        <f>IF(AN31=0%, 100%, (BL31/AN31))</f>
        <v>1</v>
      </c>
      <c r="BY31" s="31"/>
      <c r="BZ31" s="31"/>
      <c r="CA31" s="31"/>
      <c r="CB31" s="31"/>
      <c r="CC31" s="31"/>
      <c r="CD31" s="31"/>
      <c r="CE31" s="31"/>
      <c r="CF31" s="31"/>
      <c r="CG31" s="14"/>
      <c r="CH31" s="14"/>
      <c r="CI31" s="9" t="str">
        <f>IF(AM31=0%,"NS",IF(BK31=100%,"DONE",IF(BW31&gt;100%,"AS",IF(BW31&lt;75%,"BS",IF(AY31&lt;&gt;AA31,"BS",IF(BW31&lt;89.9%,"AR","OS"))))))</f>
        <v>DONE</v>
      </c>
      <c r="CJ31" s="9" t="str">
        <f t="shared" si="17"/>
        <v>NS</v>
      </c>
      <c r="CK31" s="9" t="str">
        <f t="shared" si="17"/>
        <v>NS</v>
      </c>
      <c r="CL31" s="9" t="str">
        <f t="shared" si="17"/>
        <v>NS</v>
      </c>
      <c r="CM31" s="31"/>
      <c r="CN31" s="31"/>
      <c r="CO31" s="31"/>
      <c r="CP31" s="31"/>
      <c r="CQ31" s="31"/>
      <c r="CR31" s="31"/>
      <c r="CS31" s="14"/>
      <c r="CT31" s="14"/>
      <c r="CU31" s="14"/>
      <c r="CV31" s="31"/>
      <c r="CW31" s="31"/>
      <c r="CX31" s="31"/>
      <c r="CY31" s="31"/>
      <c r="CZ31" s="31"/>
      <c r="DA31" s="31"/>
      <c r="DB31" s="31"/>
      <c r="DC31" s="31"/>
      <c r="DD31" s="31"/>
      <c r="DE31" s="33">
        <v>1</v>
      </c>
      <c r="DF31" s="33">
        <v>1</v>
      </c>
      <c r="DG31" s="33">
        <v>1</v>
      </c>
      <c r="DH31" s="33">
        <v>1</v>
      </c>
      <c r="DI31" s="34" t="s">
        <v>1181</v>
      </c>
      <c r="DJ31" s="14"/>
      <c r="DK31" s="17">
        <f t="shared" si="15"/>
        <v>0</v>
      </c>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t="s">
        <v>562</v>
      </c>
      <c r="EL31" s="14" t="s">
        <v>1131</v>
      </c>
      <c r="EM31" s="14"/>
      <c r="EN31" s="14"/>
      <c r="EO31" s="14"/>
      <c r="EP31" s="14"/>
    </row>
    <row r="32" spans="1:146" ht="123" customHeight="1">
      <c r="A32" s="7" t="s">
        <v>1166</v>
      </c>
      <c r="B32" s="14"/>
      <c r="C32" s="14" t="s">
        <v>1167</v>
      </c>
      <c r="D32" s="35" t="s">
        <v>1186</v>
      </c>
      <c r="E32" s="38">
        <v>2025</v>
      </c>
      <c r="F32" s="38">
        <v>2025</v>
      </c>
      <c r="G32" s="14"/>
      <c r="H32" s="39" t="s">
        <v>558</v>
      </c>
      <c r="I32" s="37" t="s">
        <v>1180</v>
      </c>
      <c r="J32" s="7" t="str">
        <f t="shared" si="0"/>
        <v>Rangga Dhaniarto</v>
      </c>
      <c r="K32" s="14"/>
      <c r="L32" s="14" t="s">
        <v>1129</v>
      </c>
      <c r="M32" s="8">
        <f t="shared" si="1"/>
        <v>45716</v>
      </c>
      <c r="N32" s="9">
        <f t="shared" si="11"/>
        <v>1</v>
      </c>
      <c r="O32" s="7"/>
      <c r="P32" s="7"/>
      <c r="Q32" s="14"/>
      <c r="R32" s="14"/>
      <c r="S32" s="8">
        <v>45660</v>
      </c>
      <c r="T32" s="8">
        <v>45695</v>
      </c>
      <c r="U32" s="8">
        <v>45698</v>
      </c>
      <c r="V32" s="8">
        <v>45709</v>
      </c>
      <c r="W32" s="8">
        <v>45712</v>
      </c>
      <c r="X32" s="8">
        <v>45716</v>
      </c>
      <c r="Y32" s="14"/>
      <c r="Z32" s="7"/>
      <c r="AA32" s="7" t="str">
        <f>IF(AM32=0%,"Not Started",IF(AM32&lt;30%,"Proses Asesmen",IF(AM32=30%,"Selesai Asesmen",IF(AM32&lt;70%,"Proses Konfigurasi",IF(AM32=70%,"Selesai Konfigurasi",IF(AM32&lt;90%,"Proses Pengujian",IF(AM32=90%,"Selesai Pengujian",IF(AM32&lt;100%,"Proses Implementasi","Selesai Implementasi"))))))))</f>
        <v>Selesai Implementasi</v>
      </c>
      <c r="AB32" s="7" t="str">
        <f>IF(AN32=0%,"Not Started",IF(AN32&lt;5%,"Proses CD",IF(AN32=5%,"Selesai CD",IF(AN32&lt;10%,"Proses BRD",IF(AN32=10%,"Selesai BRD",IF(AN32&lt;20%,"Proses Solusi SI",IF(AN32=20%,"Selesai Solusi SI",IF(AN32&lt;25%,"Proses KAK",IF(AN32=25%,"Selesai KAK",IF(AN32&lt;30%,"Proses SPK",IF(AN32=30%,"Selesai SPK",IF(AN32&lt;45%, "Proses Desain", IF(AN32=45%, "Selesai Desain", IF(AN32&lt;60%,"Proses Coding",IF(AN32=60%,"Selesai Coding",IF(AN32&lt;75%,"Proses SIT", IF(AN32=75%,"Selesai SIT", IF(AN32&lt;90%,"Proses UAT",IF(AN32=90%,"Selesai UAT",IF(AN32&lt;100%,"Proses Implementasi","Selesai Implementasi"))))))))))))))))))))</f>
        <v>Selesai Implementasi</v>
      </c>
      <c r="AC32" s="31"/>
      <c r="AD32" s="31"/>
      <c r="AE32" s="31"/>
      <c r="AF32" s="31"/>
      <c r="AG32" s="31"/>
      <c r="AH32" s="31"/>
      <c r="AI32" s="31"/>
      <c r="AJ32" s="31"/>
      <c r="AK32" s="14"/>
      <c r="AL32" s="14"/>
      <c r="AM32" s="29">
        <v>1</v>
      </c>
      <c r="AN32" s="29">
        <v>1</v>
      </c>
      <c r="AO32" s="31"/>
      <c r="AP32" s="31"/>
      <c r="AQ32" s="31"/>
      <c r="AR32" s="31"/>
      <c r="AS32" s="31"/>
      <c r="AT32" s="31"/>
      <c r="AU32" s="31"/>
      <c r="AV32" s="31"/>
      <c r="AW32" s="14"/>
      <c r="AX32" s="14"/>
      <c r="AY32" s="7" t="str">
        <f>IF(BK32=0%,"Not Started",IF(BK32&lt;30%,"Proses Asesmen",IF(BK32=30%,"Selesai Asesmen",IF(BK32&lt;70%,"Proses Konfigurasi",IF(BK32=70%,"Selesai Konfigurasi",IF(BK32&lt;90%,"Proses Pengujian",IF(BK32=90%,"Selesai Pengujian",IF(BK32&lt;100%,"Proses Implementasi","Selesai Implementasi"))))))))</f>
        <v>Selesai Implementasi</v>
      </c>
      <c r="AZ32" s="7" t="str">
        <f>IF(BL32=0%,"Not Started",IF(BL32&lt;5%,"Proses CD",IF(BL32=5%,"Selesai CD",IF(BL32&lt;10%,"Proses BRD",IF(BL32=10%,"Selesai BRD",IF(BL32&lt;20%,"Proses Solusi SI",IF(BL32=20%,"Selesai Solusi SI",IF(BL32&lt;25%,"Proses KAK",IF(BL32=25%,"Selesai KAK",IF(BL32&lt;30%,"Proses SPK",IF(BL32=30%,"Selesai SPK",IF(BL32&lt;45%, "Proses Desain", IF(BL32=45%, "Selesai Desain", IF(BL32&lt;60%,"Proses Coding",IF(BL32=60%,"Selesai Coding",IF(BL32&lt;75%,"Proses SIT", IF(BL32=75%,"Selesai SIT", IF(BL32&lt;90%,"Proses UAT",IF(BL32=90%,"Selesai UAT",IF(BL32&lt;100%,"Proses Implementasi","Selesai Implementasi"))))))))))))))))))))</f>
        <v>Selesai KAK</v>
      </c>
      <c r="BA32" s="31"/>
      <c r="BB32" s="31"/>
      <c r="BC32" s="31"/>
      <c r="BD32" s="31"/>
      <c r="BE32" s="31"/>
      <c r="BF32" s="31"/>
      <c r="BG32" s="31"/>
      <c r="BH32" s="31"/>
      <c r="BI32" s="14"/>
      <c r="BJ32" s="14"/>
      <c r="BK32" s="9">
        <f>(($DE32/100%)*30%)+(($DF32/100%)*40%)+(($DG32/100%)*20%)+(($DH32/100%)*10%)</f>
        <v>0.99999999999999989</v>
      </c>
      <c r="BL32" s="30">
        <v>0.25</v>
      </c>
      <c r="BM32" s="31"/>
      <c r="BN32" s="31"/>
      <c r="BO32" s="31"/>
      <c r="BP32" s="31"/>
      <c r="BQ32" s="31"/>
      <c r="BR32" s="31"/>
      <c r="BS32" s="31"/>
      <c r="BT32" s="31"/>
      <c r="BU32" s="14"/>
      <c r="BV32" s="14"/>
      <c r="BW32" s="9">
        <f>IF(AM32=0%, 100%, (BK32/AM32))</f>
        <v>0.99999999999999989</v>
      </c>
      <c r="BX32" s="9">
        <f>IF(AN32=0%, 100%, (BL32/AN32))</f>
        <v>0.25</v>
      </c>
      <c r="BY32" s="31"/>
      <c r="BZ32" s="31"/>
      <c r="CA32" s="31"/>
      <c r="CB32" s="31"/>
      <c r="CC32" s="31"/>
      <c r="CD32" s="31"/>
      <c r="CE32" s="31"/>
      <c r="CF32" s="31"/>
      <c r="CG32" s="14"/>
      <c r="CH32" s="14"/>
      <c r="CI32" s="9" t="str">
        <f>IF(AM32=0%,"NS",IF(BK32=100%,"DONE",IF(BW32&gt;100%,"AS",IF(BW32&lt;75%,"BS",IF(AY32&lt;&gt;AA32,"BS",IF(BW32&lt;89.9%,"AR","OS"))))))</f>
        <v>DONE</v>
      </c>
      <c r="CJ32" s="9" t="str">
        <f t="shared" si="17"/>
        <v>NS</v>
      </c>
      <c r="CK32" s="9" t="str">
        <f t="shared" si="17"/>
        <v>NS</v>
      </c>
      <c r="CL32" s="9" t="str">
        <f t="shared" si="17"/>
        <v>NS</v>
      </c>
      <c r="CM32" s="31"/>
      <c r="CN32" s="31"/>
      <c r="CO32" s="31"/>
      <c r="CP32" s="31"/>
      <c r="CQ32" s="31"/>
      <c r="CR32" s="31"/>
      <c r="CS32" s="14"/>
      <c r="CT32" s="14"/>
      <c r="CU32" s="14"/>
      <c r="CV32" s="31"/>
      <c r="CW32" s="31"/>
      <c r="CX32" s="31"/>
      <c r="CY32" s="31"/>
      <c r="CZ32" s="31"/>
      <c r="DA32" s="31"/>
      <c r="DB32" s="31"/>
      <c r="DC32" s="31"/>
      <c r="DD32" s="31"/>
      <c r="DE32" s="33">
        <v>1</v>
      </c>
      <c r="DF32" s="33">
        <v>1</v>
      </c>
      <c r="DG32" s="33">
        <v>1</v>
      </c>
      <c r="DH32" s="33">
        <v>1</v>
      </c>
      <c r="DI32" s="20" t="s">
        <v>1187</v>
      </c>
      <c r="DJ32" s="32">
        <v>45716</v>
      </c>
      <c r="DK32" s="17">
        <f t="shared" si="15"/>
        <v>45712</v>
      </c>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t="s">
        <v>562</v>
      </c>
      <c r="EL32" s="14" t="s">
        <v>563</v>
      </c>
      <c r="EM32" s="14"/>
      <c r="EN32" s="14"/>
      <c r="EO32" s="14"/>
      <c r="EP32" s="14"/>
    </row>
    <row r="33" spans="1:146" ht="74.75" customHeight="1">
      <c r="A33" s="7" t="s">
        <v>1166</v>
      </c>
      <c r="B33" s="14"/>
      <c r="C33" s="14" t="s">
        <v>1167</v>
      </c>
      <c r="D33" s="35" t="s">
        <v>1188</v>
      </c>
      <c r="E33" s="38">
        <v>2025</v>
      </c>
      <c r="F33" s="38">
        <v>2025</v>
      </c>
      <c r="G33" s="14"/>
      <c r="H33" s="39" t="s">
        <v>558</v>
      </c>
      <c r="I33" s="37" t="s">
        <v>1152</v>
      </c>
      <c r="J33" s="7" t="str">
        <f t="shared" si="0"/>
        <v>Muhamad Fahmi Ridwan</v>
      </c>
      <c r="K33" s="14"/>
      <c r="L33" s="14" t="s">
        <v>1129</v>
      </c>
      <c r="M33" s="8" t="s">
        <v>1189</v>
      </c>
      <c r="N33" s="9">
        <f t="shared" si="11"/>
        <v>1</v>
      </c>
      <c r="O33" s="7"/>
      <c r="P33" s="7"/>
      <c r="Q33" s="14"/>
      <c r="R33" s="14"/>
      <c r="S33" s="8"/>
      <c r="T33" s="8"/>
      <c r="U33" s="8"/>
      <c r="V33" s="8"/>
      <c r="W33" s="8"/>
      <c r="X33" s="8"/>
      <c r="Y33" s="14"/>
      <c r="Z33" s="7"/>
      <c r="AA33" s="7"/>
      <c r="AB33" s="7"/>
      <c r="AC33" s="31"/>
      <c r="AD33" s="31"/>
      <c r="AE33" s="31"/>
      <c r="AF33" s="31"/>
      <c r="AG33" s="31"/>
      <c r="AH33" s="31"/>
      <c r="AI33" s="31"/>
      <c r="AJ33" s="31"/>
      <c r="AK33" s="14"/>
      <c r="AL33" s="14"/>
      <c r="AM33" s="29"/>
      <c r="AN33" s="29"/>
      <c r="AO33" s="31"/>
      <c r="AP33" s="31"/>
      <c r="AQ33" s="31"/>
      <c r="AR33" s="31"/>
      <c r="AS33" s="31"/>
      <c r="AT33" s="31"/>
      <c r="AU33" s="31"/>
      <c r="AV33" s="31"/>
      <c r="AW33" s="14"/>
      <c r="AX33" s="14"/>
      <c r="AY33" s="7"/>
      <c r="AZ33" s="7"/>
      <c r="BA33" s="31"/>
      <c r="BB33" s="31"/>
      <c r="BC33" s="31"/>
      <c r="BD33" s="31"/>
      <c r="BE33" s="31"/>
      <c r="BF33" s="31"/>
      <c r="BG33" s="31"/>
      <c r="BH33" s="31"/>
      <c r="BI33" s="14"/>
      <c r="BJ33" s="14"/>
      <c r="BK33" s="9"/>
      <c r="BL33" s="30"/>
      <c r="BM33" s="31"/>
      <c r="BN33" s="31"/>
      <c r="BO33" s="31"/>
      <c r="BP33" s="31"/>
      <c r="BQ33" s="31"/>
      <c r="BR33" s="31"/>
      <c r="BS33" s="31"/>
      <c r="BT33" s="31"/>
      <c r="BU33" s="14"/>
      <c r="BV33" s="14"/>
      <c r="BW33" s="9"/>
      <c r="BX33" s="9"/>
      <c r="BY33" s="31"/>
      <c r="BZ33" s="31"/>
      <c r="CA33" s="31"/>
      <c r="CB33" s="31"/>
      <c r="CC33" s="31"/>
      <c r="CD33" s="31"/>
      <c r="CE33" s="31"/>
      <c r="CF33" s="31"/>
      <c r="CG33" s="14"/>
      <c r="CH33" s="14"/>
      <c r="CI33" s="9"/>
      <c r="CJ33" s="9"/>
      <c r="CK33" s="9"/>
      <c r="CL33" s="9"/>
      <c r="CM33" s="31"/>
      <c r="CN33" s="31"/>
      <c r="CO33" s="31"/>
      <c r="CP33" s="31"/>
      <c r="CQ33" s="31"/>
      <c r="CR33" s="31"/>
      <c r="CS33" s="14"/>
      <c r="CT33" s="14"/>
      <c r="CU33" s="14"/>
      <c r="CV33" s="31"/>
      <c r="CW33" s="31"/>
      <c r="CX33" s="31"/>
      <c r="CY33" s="31"/>
      <c r="CZ33" s="31"/>
      <c r="DA33" s="31"/>
      <c r="DB33" s="31"/>
      <c r="DC33" s="31"/>
      <c r="DD33" s="31"/>
      <c r="DE33" s="33">
        <v>1</v>
      </c>
      <c r="DF33" s="33">
        <v>1</v>
      </c>
      <c r="DG33" s="33">
        <v>1</v>
      </c>
      <c r="DH33" s="33">
        <v>1</v>
      </c>
      <c r="DI33" s="34" t="s">
        <v>1190</v>
      </c>
      <c r="DJ33" s="32"/>
      <c r="DK33" s="17" t="s">
        <v>1191</v>
      </c>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14" t="s">
        <v>1131</v>
      </c>
      <c r="EM33" s="14"/>
      <c r="EN33" s="14"/>
      <c r="EO33" s="14"/>
      <c r="EP33" s="14"/>
    </row>
    <row r="34" spans="1:146" ht="44.9" customHeight="1">
      <c r="A34" s="7" t="s">
        <v>1166</v>
      </c>
      <c r="B34" s="14"/>
      <c r="C34" s="14" t="s">
        <v>1167</v>
      </c>
      <c r="D34" s="35" t="s">
        <v>1192</v>
      </c>
      <c r="E34" s="38">
        <v>2025</v>
      </c>
      <c r="F34" s="38">
        <v>2025</v>
      </c>
      <c r="G34" s="14"/>
      <c r="H34" s="39" t="s">
        <v>558</v>
      </c>
      <c r="I34" s="37" t="s">
        <v>1175</v>
      </c>
      <c r="J34" s="7" t="str">
        <f t="shared" si="0"/>
        <v>Muhamad Fahmi Ridwan</v>
      </c>
      <c r="K34" s="14"/>
      <c r="L34" s="14" t="s">
        <v>1129</v>
      </c>
      <c r="M34" s="8">
        <f t="shared" ref="M34:M48" si="18">X34</f>
        <v>45716</v>
      </c>
      <c r="N34" s="9">
        <f t="shared" si="11"/>
        <v>1</v>
      </c>
      <c r="O34" s="7">
        <v>0</v>
      </c>
      <c r="P34" s="7">
        <v>0</v>
      </c>
      <c r="Q34" s="14"/>
      <c r="R34" s="14"/>
      <c r="S34" s="14"/>
      <c r="T34" s="14"/>
      <c r="U34" s="14"/>
      <c r="V34" s="14"/>
      <c r="W34" s="8">
        <v>45712</v>
      </c>
      <c r="X34" s="8">
        <v>45716</v>
      </c>
      <c r="Y34" s="14"/>
      <c r="Z34" s="7"/>
      <c r="AA34" s="7" t="str">
        <f>IF(AM34=0%,"Not Started",IF(AM34&lt;30%,"Proses Asesmen",IF(AM34=30%,"Selesai Asesmen",IF(AM34&lt;70%,"Proses Konfigurasi",IF(AM34=70%,"Selesai Konfigurasi",IF(AM34&lt;90%,"Proses Pengujian",IF(AM34=90%,"Selesai Pengujian",IF(AM34&lt;100%,"Proses Implementasi","Selesai Implementasi"))))))))</f>
        <v>Selesai Implementasi</v>
      </c>
      <c r="AB34" s="7" t="str">
        <f>IF(AN34=0%,"Not Started",IF(AN34&lt;5%,"Proses CD",IF(AN34=5%,"Selesai CD",IF(AN34&lt;10%,"Proses BRD",IF(AN34=10%,"Selesai BRD",IF(AN34&lt;20%,"Proses Solusi SI",IF(AN34=20%,"Selesai Solusi SI",IF(AN34&lt;25%,"Proses KAK",IF(AN34=25%,"Selesai KAK",IF(AN34&lt;30%,"Proses SPK",IF(AN34=30%,"Selesai SPK",IF(AN34&lt;45%, "Proses Desain", IF(AN34=45%, "Selesai Desain", IF(AN34&lt;60%,"Proses Coding",IF(AN34=60%,"Selesai Coding",IF(AN34&lt;75%,"Proses SIT", IF(AN34=75%,"Selesai SIT", IF(AN34&lt;90%,"Proses UAT",IF(AN34=90%,"Selesai UAT",IF(AN34&lt;100%,"Proses Implementasi","Selesai Implementasi"))))))))))))))))))))</f>
        <v>Not Started</v>
      </c>
      <c r="AC34" s="31"/>
      <c r="AD34" s="31"/>
      <c r="AE34" s="31"/>
      <c r="AF34" s="31"/>
      <c r="AG34" s="31"/>
      <c r="AH34" s="31"/>
      <c r="AI34" s="31"/>
      <c r="AJ34" s="31"/>
      <c r="AK34" s="14"/>
      <c r="AL34" s="14"/>
      <c r="AM34" s="29">
        <v>1</v>
      </c>
      <c r="AN34" s="31"/>
      <c r="AO34" s="31"/>
      <c r="AP34" s="31"/>
      <c r="AQ34" s="31"/>
      <c r="AR34" s="31"/>
      <c r="AS34" s="31"/>
      <c r="AT34" s="31"/>
      <c r="AU34" s="31"/>
      <c r="AV34" s="31"/>
      <c r="AW34" s="14"/>
      <c r="AX34" s="14"/>
      <c r="AY34" s="7" t="str">
        <f>IF(BK34=0%,"Not Started",IF(BK34&lt;30%,"Proses Asesmen",IF(BK34=30%,"Selesai Asesmen",IF(BK34&lt;70%,"Proses Konfigurasi",IF(BK34=70%,"Selesai Konfigurasi",IF(BK34&lt;90%,"Proses Pengujian",IF(BK34=90%,"Selesai Pengujian",IF(BK34&lt;100%,"Proses Implementasi","Selesai Implementasi"))))))))</f>
        <v>Selesai Implementasi</v>
      </c>
      <c r="AZ34" s="7" t="str">
        <f>IF(BL34=0%,"Not Started",IF(BL34&lt;5%,"Proses CD",IF(BL34=5%,"Selesai CD",IF(BL34&lt;10%,"Proses BRD",IF(BL34=10%,"Selesai BRD",IF(BL34&lt;20%,"Proses Solusi SI",IF(BL34=20%,"Selesai Solusi SI",IF(BL34&lt;25%,"Proses KAK",IF(BL34=25%,"Selesai KAK",IF(BL34&lt;30%,"Proses SPK",IF(BL34=30%,"Selesai SPK",IF(BL34&lt;45%, "Proses Desain", IF(BL34=45%, "Selesai Desain", IF(BL34&lt;60%,"Proses Coding",IF(BL34=60%,"Selesai Coding",IF(BL34&lt;75%,"Proses SIT", IF(BL34=75%,"Selesai SIT", IF(BL34&lt;90%,"Proses UAT",IF(BL34=90%,"Selesai UAT",IF(BL34&lt;100%,"Proses Implementasi","Selesai Implementasi"))))))))))))))))))))</f>
        <v>Selesai KAK</v>
      </c>
      <c r="BA34" s="31"/>
      <c r="BB34" s="31"/>
      <c r="BC34" s="31"/>
      <c r="BD34" s="31"/>
      <c r="BE34" s="31"/>
      <c r="BF34" s="31"/>
      <c r="BG34" s="31"/>
      <c r="BH34" s="31"/>
      <c r="BI34" s="14"/>
      <c r="BJ34" s="14"/>
      <c r="BK34" s="9">
        <f>(($DE34/100%)*30%)+(($DF34/100%)*40%)+(($DG34/100%)*20%)+(($DH34/100%)*10%)</f>
        <v>0.99999999999999989</v>
      </c>
      <c r="BL34" s="30">
        <v>0.25</v>
      </c>
      <c r="BM34" s="31"/>
      <c r="BN34" s="31"/>
      <c r="BO34" s="31"/>
      <c r="BP34" s="31"/>
      <c r="BQ34" s="31"/>
      <c r="BR34" s="31"/>
      <c r="BS34" s="31"/>
      <c r="BT34" s="31"/>
      <c r="BU34" s="14"/>
      <c r="BV34" s="14"/>
      <c r="BW34" s="9">
        <f>IF(AM34=0%, 100%, (BK34/AM34))</f>
        <v>0.99999999999999989</v>
      </c>
      <c r="BX34" s="9">
        <f>IF(AN34=0%, 100%, (BL34/AN34))</f>
        <v>1</v>
      </c>
      <c r="BY34" s="31"/>
      <c r="BZ34" s="31"/>
      <c r="CA34" s="31"/>
      <c r="CB34" s="31"/>
      <c r="CC34" s="31"/>
      <c r="CD34" s="31"/>
      <c r="CE34" s="31"/>
      <c r="CF34" s="31"/>
      <c r="CG34" s="14"/>
      <c r="CH34" s="14"/>
      <c r="CI34" s="9" t="str">
        <f>IF(AM34=0%,"NS",IF(BK34=100%,"DONE",IF(BW34&gt;100%,"AS",IF(BW34&lt;75%,"BS",IF(AY34&lt;&gt;AA34,"BS",IF(BW34&lt;89.9%,"AR","OS"))))))</f>
        <v>DONE</v>
      </c>
      <c r="CJ34" s="9" t="str">
        <f>IF(AT34=0%,"NS",IF(BL34=100%,"DONE",IF(BX34&gt;100%,"AS",IF(BX34&lt;75%,"BS",IF(AZ34&lt;&gt;AB34,"BS",IF(BX34&lt;89.9%,"AR","OS"))))))</f>
        <v>NS</v>
      </c>
      <c r="CK34" s="9" t="str">
        <f>IF(AU34=0%,"NS",IF(BM34=100%,"DONE",IF(BY34&gt;100%,"AS",IF(BY34&lt;75%,"BS",IF(BA34&lt;&gt;AC34,"BS",IF(BY34&lt;89.9%,"AR","OS"))))))</f>
        <v>NS</v>
      </c>
      <c r="CL34" s="9" t="str">
        <f>IF(AV34=0%,"NS",IF(BN34=100%,"DONE",IF(BZ34&gt;100%,"AS",IF(BZ34&lt;75%,"BS",IF(BB34&lt;&gt;AD34,"BS",IF(BZ34&lt;89.9%,"AR","OS"))))))</f>
        <v>NS</v>
      </c>
      <c r="CM34" s="31"/>
      <c r="CN34" s="31"/>
      <c r="CO34" s="31"/>
      <c r="CP34" s="31"/>
      <c r="CQ34" s="31"/>
      <c r="CR34" s="31"/>
      <c r="CS34" s="14"/>
      <c r="CT34" s="14"/>
      <c r="CU34" s="14"/>
      <c r="CV34" s="31"/>
      <c r="CW34" s="31"/>
      <c r="CX34" s="31"/>
      <c r="CY34" s="31"/>
      <c r="CZ34" s="31"/>
      <c r="DA34" s="31"/>
      <c r="DB34" s="31"/>
      <c r="DC34" s="31"/>
      <c r="DD34" s="31"/>
      <c r="DE34" s="33">
        <v>1</v>
      </c>
      <c r="DF34" s="33">
        <v>1</v>
      </c>
      <c r="DG34" s="33">
        <v>1</v>
      </c>
      <c r="DH34" s="33">
        <v>1</v>
      </c>
      <c r="DI34" s="34" t="s">
        <v>1193</v>
      </c>
      <c r="DJ34" s="8">
        <v>45716</v>
      </c>
      <c r="DK34" s="17">
        <f t="shared" ref="DK34:DK45" si="19">W34</f>
        <v>45712</v>
      </c>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t="s">
        <v>562</v>
      </c>
      <c r="EL34" s="14" t="s">
        <v>1131</v>
      </c>
      <c r="EM34" s="14"/>
      <c r="EN34" s="14"/>
      <c r="EO34" s="14"/>
      <c r="EP34" s="14"/>
    </row>
    <row r="35" spans="1:146" ht="212.25" customHeight="1">
      <c r="A35" s="7" t="s">
        <v>1166</v>
      </c>
      <c r="B35" s="14"/>
      <c r="C35" s="14" t="s">
        <v>1167</v>
      </c>
      <c r="D35" s="407" t="s">
        <v>1194</v>
      </c>
      <c r="E35" s="7">
        <v>2025</v>
      </c>
      <c r="F35" s="7">
        <v>2025</v>
      </c>
      <c r="G35" s="14"/>
      <c r="H35" s="14"/>
      <c r="I35" s="14"/>
      <c r="J35" s="7" t="str">
        <f t="shared" si="0"/>
        <v>Muhamad Fahmi Ridwan</v>
      </c>
      <c r="K35" s="14"/>
      <c r="L35" s="14"/>
      <c r="M35" s="8">
        <f t="shared" si="18"/>
        <v>0</v>
      </c>
      <c r="N35" s="9">
        <f t="shared" si="11"/>
        <v>0.875</v>
      </c>
      <c r="O35" s="14"/>
      <c r="P35" s="14"/>
      <c r="Q35" s="14"/>
      <c r="R35" s="14"/>
      <c r="S35" s="14"/>
      <c r="T35" s="14"/>
      <c r="U35" s="14"/>
      <c r="V35" s="14"/>
      <c r="W35" s="14"/>
      <c r="X35" s="14"/>
      <c r="Y35" s="14"/>
      <c r="Z35" s="14"/>
      <c r="AA35" s="14"/>
      <c r="AB35" s="7"/>
      <c r="AC35" s="31"/>
      <c r="AD35" s="31"/>
      <c r="AE35" s="31"/>
      <c r="AF35" s="31"/>
      <c r="AG35" s="31"/>
      <c r="AH35" s="31"/>
      <c r="AI35" s="31"/>
      <c r="AJ35" s="31"/>
      <c r="AK35" s="14"/>
      <c r="AL35" s="14"/>
      <c r="AM35" s="14"/>
      <c r="AN35" s="31"/>
      <c r="AO35" s="31"/>
      <c r="AP35" s="31"/>
      <c r="AQ35" s="31"/>
      <c r="AR35" s="31"/>
      <c r="AS35" s="31"/>
      <c r="AT35" s="31"/>
      <c r="AU35" s="31"/>
      <c r="AV35" s="31"/>
      <c r="AW35" s="14"/>
      <c r="AX35" s="14"/>
      <c r="AY35" s="14"/>
      <c r="AZ35" s="7"/>
      <c r="BA35" s="31"/>
      <c r="BB35" s="31"/>
      <c r="BC35" s="31"/>
      <c r="BD35" s="31"/>
      <c r="BE35" s="31"/>
      <c r="BF35" s="31"/>
      <c r="BG35" s="31"/>
      <c r="BH35" s="31"/>
      <c r="BI35" s="14"/>
      <c r="BJ35" s="14"/>
      <c r="BK35" s="14"/>
      <c r="BL35" s="30"/>
      <c r="BM35" s="31"/>
      <c r="BN35" s="31"/>
      <c r="BO35" s="31"/>
      <c r="BP35" s="31"/>
      <c r="BQ35" s="31"/>
      <c r="BR35" s="31"/>
      <c r="BS35" s="31"/>
      <c r="BT35" s="31"/>
      <c r="BU35" s="14"/>
      <c r="BV35" s="14"/>
      <c r="BW35" s="14"/>
      <c r="BX35" s="9"/>
      <c r="BY35" s="31"/>
      <c r="BZ35" s="31"/>
      <c r="CA35" s="31"/>
      <c r="CB35" s="31"/>
      <c r="CC35" s="31"/>
      <c r="CD35" s="31"/>
      <c r="CE35" s="31"/>
      <c r="CF35" s="31"/>
      <c r="CG35" s="14"/>
      <c r="CH35" s="14"/>
      <c r="CI35" s="14"/>
      <c r="CJ35" s="9"/>
      <c r="CK35" s="9"/>
      <c r="CL35" s="9"/>
      <c r="CM35" s="31"/>
      <c r="CN35" s="31"/>
      <c r="CO35" s="31"/>
      <c r="CP35" s="31"/>
      <c r="CQ35" s="31"/>
      <c r="CR35" s="31"/>
      <c r="CS35" s="14"/>
      <c r="CT35" s="14"/>
      <c r="CU35" s="14"/>
      <c r="CV35" s="31"/>
      <c r="CW35" s="31"/>
      <c r="CX35" s="31"/>
      <c r="CY35" s="31"/>
      <c r="CZ35" s="31"/>
      <c r="DA35" s="31"/>
      <c r="DB35" s="31"/>
      <c r="DC35" s="31"/>
      <c r="DD35" s="31"/>
      <c r="DE35" s="33">
        <v>1</v>
      </c>
      <c r="DF35" s="29">
        <v>1</v>
      </c>
      <c r="DG35" s="29">
        <v>1</v>
      </c>
      <c r="DH35" s="29">
        <v>0.5</v>
      </c>
      <c r="DI35" s="14" t="s">
        <v>1627</v>
      </c>
      <c r="DJ35" s="14">
        <v>2026</v>
      </c>
      <c r="DK35" s="17">
        <f t="shared" si="19"/>
        <v>0</v>
      </c>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t="s">
        <v>562</v>
      </c>
      <c r="EL35" s="14" t="s">
        <v>1131</v>
      </c>
      <c r="EM35" s="14"/>
      <c r="EN35" s="14"/>
      <c r="EO35" s="14"/>
      <c r="EP35" s="14"/>
    </row>
    <row r="36" spans="1:146" ht="59.75" customHeight="1">
      <c r="A36" s="7" t="s">
        <v>1166</v>
      </c>
      <c r="B36" s="14"/>
      <c r="C36" s="14" t="s">
        <v>1167</v>
      </c>
      <c r="D36" s="14" t="s">
        <v>1195</v>
      </c>
      <c r="E36" s="38">
        <v>2025</v>
      </c>
      <c r="F36" s="38">
        <v>2025</v>
      </c>
      <c r="G36" s="14"/>
      <c r="H36" s="39" t="s">
        <v>1196</v>
      </c>
      <c r="I36" s="37" t="s">
        <v>1197</v>
      </c>
      <c r="J36" s="7" t="str">
        <f t="shared" si="0"/>
        <v>Muhamad Fahmi Ridwan</v>
      </c>
      <c r="K36" s="14"/>
      <c r="L36" s="14" t="s">
        <v>1129</v>
      </c>
      <c r="M36" s="8">
        <f t="shared" si="18"/>
        <v>0</v>
      </c>
      <c r="N36" s="9">
        <f t="shared" si="11"/>
        <v>1</v>
      </c>
      <c r="O36" s="14"/>
      <c r="P36" s="14"/>
      <c r="Q36" s="14"/>
      <c r="R36" s="14"/>
      <c r="S36" s="14"/>
      <c r="T36" s="14"/>
      <c r="U36" s="14"/>
      <c r="V36" s="14"/>
      <c r="W36" s="14"/>
      <c r="X36" s="14"/>
      <c r="Y36" s="14"/>
      <c r="Z36" s="14"/>
      <c r="AA36" s="14"/>
      <c r="AB36" s="7"/>
      <c r="AC36" s="31"/>
      <c r="AD36" s="31"/>
      <c r="AE36" s="31"/>
      <c r="AF36" s="31"/>
      <c r="AG36" s="31"/>
      <c r="AH36" s="31"/>
      <c r="AI36" s="31"/>
      <c r="AJ36" s="31"/>
      <c r="AK36" s="14"/>
      <c r="AL36" s="14"/>
      <c r="AM36" s="14"/>
      <c r="AN36" s="31"/>
      <c r="AO36" s="31"/>
      <c r="AP36" s="31"/>
      <c r="AQ36" s="31"/>
      <c r="AR36" s="31"/>
      <c r="AS36" s="31"/>
      <c r="AT36" s="31"/>
      <c r="AU36" s="31"/>
      <c r="AV36" s="31"/>
      <c r="AW36" s="14"/>
      <c r="AX36" s="14"/>
      <c r="AY36" s="14"/>
      <c r="AZ36" s="7"/>
      <c r="BA36" s="31"/>
      <c r="BB36" s="31"/>
      <c r="BC36" s="31"/>
      <c r="BD36" s="31"/>
      <c r="BE36" s="31"/>
      <c r="BF36" s="31"/>
      <c r="BG36" s="31"/>
      <c r="BH36" s="31"/>
      <c r="BI36" s="14"/>
      <c r="BJ36" s="14"/>
      <c r="BK36" s="14"/>
      <c r="BL36" s="30"/>
      <c r="BM36" s="31"/>
      <c r="BN36" s="31"/>
      <c r="BO36" s="31"/>
      <c r="BP36" s="31"/>
      <c r="BQ36" s="31"/>
      <c r="BR36" s="31"/>
      <c r="BS36" s="31"/>
      <c r="BT36" s="31"/>
      <c r="BU36" s="14"/>
      <c r="BV36" s="14"/>
      <c r="BW36" s="14"/>
      <c r="BX36" s="9"/>
      <c r="BY36" s="31"/>
      <c r="BZ36" s="31"/>
      <c r="CA36" s="31"/>
      <c r="CB36" s="31"/>
      <c r="CC36" s="31"/>
      <c r="CD36" s="31"/>
      <c r="CE36" s="31"/>
      <c r="CF36" s="31"/>
      <c r="CG36" s="14"/>
      <c r="CH36" s="14"/>
      <c r="CI36" s="14"/>
      <c r="CJ36" s="9"/>
      <c r="CK36" s="9"/>
      <c r="CL36" s="9"/>
      <c r="CM36" s="31"/>
      <c r="CN36" s="31"/>
      <c r="CO36" s="31"/>
      <c r="CP36" s="31"/>
      <c r="CQ36" s="31"/>
      <c r="CR36" s="31"/>
      <c r="CS36" s="14"/>
      <c r="CT36" s="14"/>
      <c r="CU36" s="14"/>
      <c r="CV36" s="31"/>
      <c r="CW36" s="31"/>
      <c r="CX36" s="31"/>
      <c r="CY36" s="31"/>
      <c r="CZ36" s="31"/>
      <c r="DA36" s="31"/>
      <c r="DB36" s="31"/>
      <c r="DC36" s="31"/>
      <c r="DD36" s="31"/>
      <c r="DE36" s="33">
        <v>1</v>
      </c>
      <c r="DF36" s="29">
        <v>1</v>
      </c>
      <c r="DG36" s="29">
        <v>1</v>
      </c>
      <c r="DH36" s="29">
        <v>1</v>
      </c>
      <c r="DI36" s="203" t="s">
        <v>1198</v>
      </c>
      <c r="DJ36" s="32">
        <v>45925</v>
      </c>
      <c r="DK36" s="17">
        <f t="shared" si="19"/>
        <v>0</v>
      </c>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t="s">
        <v>562</v>
      </c>
      <c r="EL36" s="14" t="s">
        <v>1131</v>
      </c>
      <c r="EM36" s="14"/>
      <c r="EN36" s="14"/>
      <c r="EO36" s="14"/>
      <c r="EP36" s="14"/>
    </row>
    <row r="37" spans="1:146" ht="78" customHeight="1">
      <c r="A37" s="7" t="s">
        <v>1166</v>
      </c>
      <c r="B37" s="14"/>
      <c r="C37" s="36" t="s">
        <v>1167</v>
      </c>
      <c r="D37" s="36" t="s">
        <v>1199</v>
      </c>
      <c r="E37" s="38">
        <v>2025</v>
      </c>
      <c r="F37" s="38">
        <v>2025</v>
      </c>
      <c r="G37" s="37" t="s">
        <v>227</v>
      </c>
      <c r="H37" s="39" t="s">
        <v>558</v>
      </c>
      <c r="I37" s="37" t="s">
        <v>1180</v>
      </c>
      <c r="J37" s="7" t="str">
        <f t="shared" si="0"/>
        <v>Muhamad Fahmi Ridwan</v>
      </c>
      <c r="K37" s="14"/>
      <c r="L37" s="14" t="s">
        <v>694</v>
      </c>
      <c r="M37" s="8">
        <v>45901</v>
      </c>
      <c r="N37" s="9">
        <f t="shared" si="11"/>
        <v>0</v>
      </c>
      <c r="O37" s="7"/>
      <c r="P37" s="7"/>
      <c r="Q37" s="14"/>
      <c r="R37" s="14"/>
      <c r="S37" s="14"/>
      <c r="T37" s="14"/>
      <c r="U37" s="14"/>
      <c r="V37" s="14"/>
      <c r="W37" s="8"/>
      <c r="X37" s="8"/>
      <c r="Y37" s="14"/>
      <c r="Z37" s="7"/>
      <c r="AA37" s="7"/>
      <c r="AB37" s="7"/>
      <c r="AC37" s="31"/>
      <c r="AD37" s="31"/>
      <c r="AE37" s="31"/>
      <c r="AF37" s="31"/>
      <c r="AG37" s="31"/>
      <c r="AH37" s="31"/>
      <c r="AI37" s="31"/>
      <c r="AJ37" s="31"/>
      <c r="AK37" s="14"/>
      <c r="AL37" s="14"/>
      <c r="AM37" s="29"/>
      <c r="AN37" s="31"/>
      <c r="AO37" s="31"/>
      <c r="AP37" s="31"/>
      <c r="AQ37" s="31"/>
      <c r="AR37" s="31"/>
      <c r="AS37" s="31"/>
      <c r="AT37" s="31"/>
      <c r="AU37" s="31"/>
      <c r="AV37" s="31"/>
      <c r="AW37" s="14"/>
      <c r="AX37" s="14"/>
      <c r="AY37" s="7"/>
      <c r="AZ37" s="7"/>
      <c r="BA37" s="31"/>
      <c r="BB37" s="31"/>
      <c r="BC37" s="31"/>
      <c r="BD37" s="31"/>
      <c r="BE37" s="31"/>
      <c r="BF37" s="31"/>
      <c r="BG37" s="31"/>
      <c r="BH37" s="31"/>
      <c r="BI37" s="14"/>
      <c r="BJ37" s="14"/>
      <c r="BK37" s="9"/>
      <c r="BL37" s="30"/>
      <c r="BM37" s="31"/>
      <c r="BN37" s="31"/>
      <c r="BO37" s="31"/>
      <c r="BP37" s="31"/>
      <c r="BQ37" s="31"/>
      <c r="BR37" s="31"/>
      <c r="BS37" s="31"/>
      <c r="BT37" s="31"/>
      <c r="BU37" s="14"/>
      <c r="BV37" s="14"/>
      <c r="BW37" s="9"/>
      <c r="BX37" s="9"/>
      <c r="BY37" s="31"/>
      <c r="BZ37" s="31"/>
      <c r="CA37" s="31"/>
      <c r="CB37" s="31"/>
      <c r="CC37" s="31"/>
      <c r="CD37" s="31"/>
      <c r="CE37" s="31"/>
      <c r="CF37" s="31"/>
      <c r="CG37" s="14"/>
      <c r="CH37" s="14"/>
      <c r="CI37" s="9"/>
      <c r="CJ37" s="9"/>
      <c r="CK37" s="9"/>
      <c r="CL37" s="9"/>
      <c r="CM37" s="31"/>
      <c r="CN37" s="31"/>
      <c r="CO37" s="31"/>
      <c r="CP37" s="31"/>
      <c r="CQ37" s="31"/>
      <c r="CR37" s="31"/>
      <c r="CS37" s="14"/>
      <c r="CT37" s="14"/>
      <c r="CU37" s="14"/>
      <c r="CV37" s="31"/>
      <c r="CW37" s="31"/>
      <c r="CX37" s="31"/>
      <c r="CY37" s="31"/>
      <c r="CZ37" s="31"/>
      <c r="DA37" s="31"/>
      <c r="DB37" s="31"/>
      <c r="DC37" s="31"/>
      <c r="DD37" s="31"/>
      <c r="DE37" s="33"/>
      <c r="DF37" s="33"/>
      <c r="DG37" s="33"/>
      <c r="DH37" s="33"/>
      <c r="DI37" s="34"/>
      <c r="DJ37" s="8"/>
      <c r="DK37" s="17">
        <f t="shared" si="19"/>
        <v>0</v>
      </c>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4" t="s">
        <v>1131</v>
      </c>
      <c r="EM37" s="14"/>
      <c r="EN37" s="14"/>
      <c r="EO37" s="14"/>
      <c r="EP37" s="14"/>
    </row>
    <row r="38" spans="1:146" ht="213" customHeight="1">
      <c r="A38" s="7" t="s">
        <v>1166</v>
      </c>
      <c r="B38" s="14"/>
      <c r="C38" s="14" t="s">
        <v>1167</v>
      </c>
      <c r="D38" s="407" t="s">
        <v>1200</v>
      </c>
      <c r="E38" s="7">
        <v>2025</v>
      </c>
      <c r="F38" s="7">
        <v>2025</v>
      </c>
      <c r="G38" s="14"/>
      <c r="H38" s="14"/>
      <c r="I38" s="14"/>
      <c r="J38" s="7" t="str">
        <f t="shared" si="0"/>
        <v>Muhamad Fahmi Ridwan</v>
      </c>
      <c r="K38" s="14"/>
      <c r="L38" s="14"/>
      <c r="M38" s="8">
        <f t="shared" si="18"/>
        <v>0</v>
      </c>
      <c r="N38" s="9">
        <f t="shared" si="11"/>
        <v>0.875</v>
      </c>
      <c r="O38" s="14"/>
      <c r="P38" s="14"/>
      <c r="Q38" s="14"/>
      <c r="R38" s="14"/>
      <c r="S38" s="14"/>
      <c r="T38" s="14"/>
      <c r="U38" s="14"/>
      <c r="V38" s="14"/>
      <c r="W38" s="14"/>
      <c r="X38" s="14"/>
      <c r="Y38" s="14"/>
      <c r="Z38" s="14"/>
      <c r="AA38" s="14"/>
      <c r="AB38" s="7"/>
      <c r="AC38" s="31"/>
      <c r="AD38" s="31"/>
      <c r="AE38" s="31"/>
      <c r="AF38" s="31"/>
      <c r="AG38" s="31"/>
      <c r="AH38" s="31"/>
      <c r="AI38" s="31"/>
      <c r="AJ38" s="31"/>
      <c r="AK38" s="14"/>
      <c r="AL38" s="14"/>
      <c r="AM38" s="14"/>
      <c r="AN38" s="31"/>
      <c r="AO38" s="31"/>
      <c r="AP38" s="31"/>
      <c r="AQ38" s="31"/>
      <c r="AR38" s="31"/>
      <c r="AS38" s="31"/>
      <c r="AT38" s="31"/>
      <c r="AU38" s="31"/>
      <c r="AV38" s="31"/>
      <c r="AW38" s="14"/>
      <c r="AX38" s="14"/>
      <c r="AY38" s="14"/>
      <c r="AZ38" s="7"/>
      <c r="BA38" s="31"/>
      <c r="BB38" s="31"/>
      <c r="BC38" s="31"/>
      <c r="BD38" s="31"/>
      <c r="BE38" s="31"/>
      <c r="BF38" s="31"/>
      <c r="BG38" s="31"/>
      <c r="BH38" s="31"/>
      <c r="BI38" s="14"/>
      <c r="BJ38" s="14"/>
      <c r="BK38" s="14"/>
      <c r="BL38" s="30"/>
      <c r="BM38" s="31"/>
      <c r="BN38" s="31"/>
      <c r="BO38" s="31"/>
      <c r="BP38" s="31"/>
      <c r="BQ38" s="31"/>
      <c r="BR38" s="31"/>
      <c r="BS38" s="31"/>
      <c r="BT38" s="31"/>
      <c r="BU38" s="14"/>
      <c r="BV38" s="14"/>
      <c r="BW38" s="14"/>
      <c r="BX38" s="9"/>
      <c r="BY38" s="31"/>
      <c r="BZ38" s="31"/>
      <c r="CA38" s="31"/>
      <c r="CB38" s="31"/>
      <c r="CC38" s="31"/>
      <c r="CD38" s="31"/>
      <c r="CE38" s="31"/>
      <c r="CF38" s="31"/>
      <c r="CG38" s="14"/>
      <c r="CH38" s="14"/>
      <c r="CI38" s="14"/>
      <c r="CJ38" s="9"/>
      <c r="CK38" s="9"/>
      <c r="CL38" s="9"/>
      <c r="CM38" s="31"/>
      <c r="CN38" s="31"/>
      <c r="CO38" s="31"/>
      <c r="CP38" s="31"/>
      <c r="CQ38" s="31"/>
      <c r="CR38" s="31"/>
      <c r="CS38" s="14"/>
      <c r="CT38" s="14"/>
      <c r="CU38" s="14"/>
      <c r="CV38" s="31"/>
      <c r="CW38" s="31"/>
      <c r="CX38" s="31"/>
      <c r="CY38" s="31"/>
      <c r="CZ38" s="31"/>
      <c r="DA38" s="31"/>
      <c r="DB38" s="31"/>
      <c r="DC38" s="31"/>
      <c r="DD38" s="31"/>
      <c r="DE38" s="33">
        <v>1</v>
      </c>
      <c r="DF38" s="29">
        <v>1</v>
      </c>
      <c r="DG38" s="29">
        <v>1</v>
      </c>
      <c r="DH38" s="29">
        <v>0.5</v>
      </c>
      <c r="DI38" s="80" t="s">
        <v>1629</v>
      </c>
      <c r="DJ38" s="14" t="s">
        <v>1201</v>
      </c>
      <c r="DK38" s="17">
        <f t="shared" si="19"/>
        <v>0</v>
      </c>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t="s">
        <v>1202</v>
      </c>
      <c r="EL38" s="14" t="s">
        <v>1131</v>
      </c>
      <c r="EM38" s="14"/>
      <c r="EN38" s="14"/>
      <c r="EO38" s="14"/>
      <c r="EP38" s="14"/>
    </row>
    <row r="39" spans="1:146" ht="203">
      <c r="A39" s="5" t="s">
        <v>1592</v>
      </c>
      <c r="B39" s="14"/>
      <c r="C39" s="14" t="s">
        <v>1203</v>
      </c>
      <c r="D39" s="14" t="s">
        <v>1204</v>
      </c>
      <c r="E39" s="38">
        <v>2025</v>
      </c>
      <c r="F39" s="38">
        <v>2025</v>
      </c>
      <c r="G39" s="37" t="s">
        <v>1205</v>
      </c>
      <c r="H39" s="39" t="s">
        <v>199</v>
      </c>
      <c r="I39" s="37" t="s">
        <v>1206</v>
      </c>
      <c r="J39" s="7" t="str">
        <f t="shared" si="0"/>
        <v>Rangga Dhaniarto</v>
      </c>
      <c r="K39" s="14"/>
      <c r="L39" s="14" t="s">
        <v>1129</v>
      </c>
      <c r="M39" s="8">
        <f t="shared" si="18"/>
        <v>45803</v>
      </c>
      <c r="N39" s="9">
        <f t="shared" si="11"/>
        <v>1</v>
      </c>
      <c r="O39" s="14"/>
      <c r="P39" s="14"/>
      <c r="Q39" s="14"/>
      <c r="R39" s="14"/>
      <c r="S39" s="8">
        <v>45791</v>
      </c>
      <c r="T39" s="8">
        <v>45791</v>
      </c>
      <c r="U39" s="8">
        <v>45792</v>
      </c>
      <c r="V39" s="8">
        <v>45799</v>
      </c>
      <c r="W39" s="8">
        <v>45800</v>
      </c>
      <c r="X39" s="8">
        <v>45803</v>
      </c>
      <c r="Y39" s="14"/>
      <c r="Z39" s="14"/>
      <c r="AA39" s="14"/>
      <c r="AB39" s="31"/>
      <c r="AC39" s="31"/>
      <c r="AD39" s="31"/>
      <c r="AE39" s="31"/>
      <c r="AF39" s="31"/>
      <c r="AG39" s="31"/>
      <c r="AH39" s="31"/>
      <c r="AI39" s="31"/>
      <c r="AJ39" s="31"/>
      <c r="AK39" s="14"/>
      <c r="AL39" s="14"/>
      <c r="AM39" s="14"/>
      <c r="AN39" s="31"/>
      <c r="AO39" s="31"/>
      <c r="AP39" s="31"/>
      <c r="AQ39" s="31"/>
      <c r="AR39" s="31"/>
      <c r="AS39" s="31"/>
      <c r="AT39" s="31"/>
      <c r="AU39" s="31"/>
      <c r="AV39" s="31"/>
      <c r="AW39" s="14"/>
      <c r="AX39" s="14"/>
      <c r="AY39" s="14"/>
      <c r="AZ39" s="31"/>
      <c r="BA39" s="31"/>
      <c r="BB39" s="31"/>
      <c r="BC39" s="31"/>
      <c r="BD39" s="31"/>
      <c r="BE39" s="31"/>
      <c r="BF39" s="31"/>
      <c r="BG39" s="31"/>
      <c r="BH39" s="31"/>
      <c r="BI39" s="14"/>
      <c r="BJ39" s="14"/>
      <c r="BK39" s="14"/>
      <c r="BL39" s="31"/>
      <c r="BM39" s="31"/>
      <c r="BN39" s="31"/>
      <c r="BO39" s="31"/>
      <c r="BP39" s="31"/>
      <c r="BQ39" s="31"/>
      <c r="BR39" s="31"/>
      <c r="BS39" s="31"/>
      <c r="BT39" s="31"/>
      <c r="BU39" s="14"/>
      <c r="BV39" s="14"/>
      <c r="BW39" s="14"/>
      <c r="BX39" s="31"/>
      <c r="BY39" s="31"/>
      <c r="BZ39" s="31"/>
      <c r="CA39" s="31"/>
      <c r="CB39" s="31"/>
      <c r="CC39" s="31"/>
      <c r="CD39" s="31"/>
      <c r="CE39" s="31"/>
      <c r="CF39" s="31"/>
      <c r="CG39" s="14"/>
      <c r="CH39" s="14"/>
      <c r="CI39" s="14"/>
      <c r="CJ39" s="31"/>
      <c r="CK39" s="31"/>
      <c r="CL39" s="31"/>
      <c r="CM39" s="31"/>
      <c r="CN39" s="31"/>
      <c r="CO39" s="31"/>
      <c r="CP39" s="31"/>
      <c r="CQ39" s="31"/>
      <c r="CR39" s="31"/>
      <c r="CS39" s="14"/>
      <c r="CT39" s="14"/>
      <c r="CU39" s="14"/>
      <c r="CV39" s="31"/>
      <c r="CW39" s="31"/>
      <c r="CX39" s="31"/>
      <c r="CY39" s="31"/>
      <c r="CZ39" s="31"/>
      <c r="DA39" s="31"/>
      <c r="DB39" s="31"/>
      <c r="DC39" s="31"/>
      <c r="DD39" s="31"/>
      <c r="DE39" s="33">
        <v>1</v>
      </c>
      <c r="DF39" s="33">
        <v>1</v>
      </c>
      <c r="DG39" s="33">
        <v>1</v>
      </c>
      <c r="DH39" s="33">
        <v>1</v>
      </c>
      <c r="DI39" s="34" t="s">
        <v>1207</v>
      </c>
      <c r="DJ39" s="14" t="s">
        <v>1208</v>
      </c>
      <c r="DK39" s="17">
        <f t="shared" si="19"/>
        <v>45800</v>
      </c>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4" t="s">
        <v>563</v>
      </c>
      <c r="EM39" s="14" t="s">
        <v>1209</v>
      </c>
      <c r="EN39" s="14"/>
      <c r="EO39" s="14"/>
      <c r="EP39" s="14"/>
    </row>
    <row r="40" spans="1:146" ht="44.9" customHeight="1">
      <c r="A40" s="7" t="s">
        <v>1210</v>
      </c>
      <c r="B40" s="14"/>
      <c r="C40" s="35" t="s">
        <v>1211</v>
      </c>
      <c r="D40" s="35" t="s">
        <v>1212</v>
      </c>
      <c r="E40" s="38">
        <v>2026</v>
      </c>
      <c r="F40" s="38">
        <v>2026</v>
      </c>
      <c r="G40" s="37" t="s">
        <v>643</v>
      </c>
      <c r="H40" s="39" t="s">
        <v>199</v>
      </c>
      <c r="I40" s="37" t="s">
        <v>605</v>
      </c>
      <c r="J40" s="7" t="str">
        <f t="shared" si="0"/>
        <v>Muhamad Fahmi Ridwan</v>
      </c>
      <c r="K40" s="14"/>
      <c r="L40" s="14" t="s">
        <v>694</v>
      </c>
      <c r="M40" s="8">
        <f t="shared" si="18"/>
        <v>46387</v>
      </c>
      <c r="N40" s="9">
        <f t="shared" si="11"/>
        <v>0</v>
      </c>
      <c r="O40" s="7"/>
      <c r="P40" s="7"/>
      <c r="Q40" s="14"/>
      <c r="R40" s="14"/>
      <c r="S40" s="14"/>
      <c r="T40" s="14"/>
      <c r="U40" s="14"/>
      <c r="V40" s="14"/>
      <c r="W40" s="8"/>
      <c r="X40" s="32">
        <v>46387</v>
      </c>
      <c r="Y40" s="14"/>
      <c r="Z40" s="7"/>
      <c r="AA40" s="7"/>
      <c r="AB40" s="7"/>
      <c r="AC40" s="31"/>
      <c r="AD40" s="31"/>
      <c r="AE40" s="31"/>
      <c r="AF40" s="31"/>
      <c r="AG40" s="31"/>
      <c r="AH40" s="31"/>
      <c r="AI40" s="31"/>
      <c r="AJ40" s="31"/>
      <c r="AK40" s="14"/>
      <c r="AL40" s="14"/>
      <c r="AM40" s="29"/>
      <c r="AN40" s="31"/>
      <c r="AO40" s="31"/>
      <c r="AP40" s="31"/>
      <c r="AQ40" s="31"/>
      <c r="AR40" s="31"/>
      <c r="AS40" s="31"/>
      <c r="AT40" s="31"/>
      <c r="AU40" s="31"/>
      <c r="AV40" s="31"/>
      <c r="AW40" s="14"/>
      <c r="AX40" s="14"/>
      <c r="AY40" s="7"/>
      <c r="AZ40" s="7"/>
      <c r="BA40" s="31"/>
      <c r="BB40" s="31"/>
      <c r="BC40" s="31"/>
      <c r="BD40" s="31"/>
      <c r="BE40" s="31"/>
      <c r="BF40" s="31"/>
      <c r="BG40" s="31"/>
      <c r="BH40" s="31"/>
      <c r="BI40" s="14"/>
      <c r="BJ40" s="14"/>
      <c r="BK40" s="9"/>
      <c r="BL40" s="30"/>
      <c r="BM40" s="31"/>
      <c r="BN40" s="31"/>
      <c r="BO40" s="31"/>
      <c r="BP40" s="31"/>
      <c r="BQ40" s="31"/>
      <c r="BR40" s="31"/>
      <c r="BS40" s="31"/>
      <c r="BT40" s="31"/>
      <c r="BU40" s="14"/>
      <c r="BV40" s="14"/>
      <c r="BW40" s="9"/>
      <c r="BX40" s="9"/>
      <c r="BY40" s="31"/>
      <c r="BZ40" s="31"/>
      <c r="CA40" s="31"/>
      <c r="CB40" s="31"/>
      <c r="CC40" s="31"/>
      <c r="CD40" s="31"/>
      <c r="CE40" s="31"/>
      <c r="CF40" s="31"/>
      <c r="CG40" s="14"/>
      <c r="CH40" s="14"/>
      <c r="CI40" s="9"/>
      <c r="CJ40" s="9"/>
      <c r="CK40" s="9"/>
      <c r="CL40" s="9"/>
      <c r="CM40" s="31"/>
      <c r="CN40" s="31"/>
      <c r="CO40" s="31"/>
      <c r="CP40" s="31"/>
      <c r="CQ40" s="31"/>
      <c r="CR40" s="31"/>
      <c r="CS40" s="14"/>
      <c r="CT40" s="14"/>
      <c r="CU40" s="14"/>
      <c r="CV40" s="31"/>
      <c r="CW40" s="31"/>
      <c r="CX40" s="31"/>
      <c r="CY40" s="31"/>
      <c r="CZ40" s="31"/>
      <c r="DA40" s="31"/>
      <c r="DB40" s="31"/>
      <c r="DC40" s="31"/>
      <c r="DD40" s="31"/>
      <c r="DE40" s="33"/>
      <c r="DF40" s="33"/>
      <c r="DG40" s="33"/>
      <c r="DH40" s="33"/>
      <c r="DI40" s="34" t="s">
        <v>1213</v>
      </c>
      <c r="DJ40" s="8"/>
      <c r="DK40" s="17">
        <f t="shared" si="19"/>
        <v>0</v>
      </c>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4" t="s">
        <v>1131</v>
      </c>
      <c r="EM40" s="14"/>
      <c r="EN40" s="14"/>
      <c r="EO40" s="14"/>
      <c r="EP40" s="14"/>
    </row>
    <row r="41" spans="1:146" ht="71.900000000000006" customHeight="1">
      <c r="A41" s="7" t="s">
        <v>1210</v>
      </c>
      <c r="B41" s="14"/>
      <c r="C41" s="14" t="s">
        <v>1211</v>
      </c>
      <c r="D41" s="35" t="s">
        <v>1214</v>
      </c>
      <c r="E41" s="38">
        <v>2025</v>
      </c>
      <c r="F41" s="38">
        <v>2025</v>
      </c>
      <c r="G41" s="37" t="s">
        <v>1215</v>
      </c>
      <c r="H41" s="39" t="s">
        <v>199</v>
      </c>
      <c r="I41" s="37" t="s">
        <v>605</v>
      </c>
      <c r="J41" s="7" t="str">
        <f t="shared" si="0"/>
        <v>Muhamad Fahmi Ridwan</v>
      </c>
      <c r="K41" s="14"/>
      <c r="L41" s="14" t="s">
        <v>1129</v>
      </c>
      <c r="M41" s="8">
        <f t="shared" si="18"/>
        <v>45692</v>
      </c>
      <c r="N41" s="9">
        <f t="shared" si="11"/>
        <v>1</v>
      </c>
      <c r="O41" s="7">
        <v>0</v>
      </c>
      <c r="P41" s="7">
        <v>0</v>
      </c>
      <c r="Q41" s="14"/>
      <c r="R41" s="14"/>
      <c r="S41" s="14"/>
      <c r="T41" s="14"/>
      <c r="U41" s="14"/>
      <c r="V41" s="14"/>
      <c r="W41" s="32">
        <v>45688</v>
      </c>
      <c r="X41" s="32">
        <v>45692</v>
      </c>
      <c r="Y41" s="14"/>
      <c r="Z41" s="14"/>
      <c r="AA41" s="7" t="str">
        <f>IF(AM41=0%,"Not Started",IF(AM41&lt;30%,"Proses Asesmen",IF(AM41=30%,"Selesai Asesmen",IF(AM41&lt;70%,"Proses Konfigurasi",IF(AM41=70%,"Selesai Konfigurasi",IF(AM41&lt;90%,"Proses Pengujian",IF(AM41=90%,"Selesai Pengujian",IF(AM41&lt;100%,"Proses Implementasi","Selesai Implementasi"))))))))</f>
        <v>Selesai Implementasi</v>
      </c>
      <c r="AB41" s="7" t="str">
        <f>IF(AN41=0%,"Not Started",IF(AN41&lt;5%,"Proses CD",IF(AN41=5%,"Selesai CD",IF(AN41&lt;10%,"Proses BRD",IF(AN41=10%,"Selesai BRD",IF(AN41&lt;20%,"Proses Solusi SI",IF(AN41=20%,"Selesai Solusi SI",IF(AN41&lt;25%,"Proses KAK",IF(AN41=25%,"Selesai KAK",IF(AN41&lt;30%,"Proses SPK",IF(AN41=30%,"Selesai SPK",IF(AN41&lt;45%, "Proses Desain", IF(AN41=45%, "Selesai Desain", IF(AN41&lt;60%,"Proses Coding",IF(AN41=60%,"Selesai Coding",IF(AN41&lt;75%,"Proses SIT", IF(AN41=75%,"Selesai SIT", IF(AN41&lt;90%,"Proses UAT",IF(AN41=90%,"Selesai UAT",IF(AN41&lt;100%,"Proses Implementasi","Selesai Implementasi"))))))))))))))))))))</f>
        <v>Not Started</v>
      </c>
      <c r="AC41" s="31"/>
      <c r="AD41" s="31"/>
      <c r="AE41" s="31"/>
      <c r="AF41" s="31"/>
      <c r="AG41" s="31"/>
      <c r="AH41" s="31"/>
      <c r="AI41" s="31"/>
      <c r="AJ41" s="31"/>
      <c r="AK41" s="14"/>
      <c r="AL41" s="14"/>
      <c r="AM41" s="29">
        <v>1</v>
      </c>
      <c r="AN41" s="31"/>
      <c r="AO41" s="31"/>
      <c r="AP41" s="31"/>
      <c r="AQ41" s="31"/>
      <c r="AR41" s="31"/>
      <c r="AS41" s="31"/>
      <c r="AT41" s="31"/>
      <c r="AU41" s="31"/>
      <c r="AV41" s="31"/>
      <c r="AW41" s="14"/>
      <c r="AX41" s="14"/>
      <c r="AY41" s="7" t="str">
        <f>IF(BK41=0%,"Not Started",IF(BK41&lt;30%,"Proses Asesmen",IF(BK41=30%,"Selesai Asesmen",IF(BK41&lt;70%,"Proses Konfigurasi",IF(BK41=70%,"Selesai Konfigurasi",IF(BK41&lt;90%,"Proses Pengujian",IF(BK41=90%,"Selesai Pengujian",IF(BK41&lt;100%,"Proses Implementasi","Selesai Implementasi"))))))))</f>
        <v>Selesai Implementasi</v>
      </c>
      <c r="AZ41" s="7" t="str">
        <f>IF(BL41=0%,"Not Started",IF(BL41&lt;5%,"Proses CD",IF(BL41=5%,"Selesai CD",IF(BL41&lt;10%,"Proses BRD",IF(BL41=10%,"Selesai BRD",IF(BL41&lt;20%,"Proses Solusi SI",IF(BL41=20%,"Selesai Solusi SI",IF(BL41&lt;25%,"Proses KAK",IF(BL41=25%,"Selesai KAK",IF(BL41&lt;30%,"Proses SPK",IF(BL41=30%,"Selesai SPK",IF(BL41&lt;45%, "Proses Desain", IF(BL41=45%, "Selesai Desain", IF(BL41&lt;60%,"Proses Coding",IF(BL41=60%,"Selesai Coding",IF(BL41&lt;75%,"Proses SIT", IF(BL41=75%,"Selesai SIT", IF(BL41&lt;90%,"Proses UAT",IF(BL41=90%,"Selesai UAT",IF(BL41&lt;100%,"Proses Implementasi","Selesai Implementasi"))))))))))))))))))))</f>
        <v>Selesai KAK</v>
      </c>
      <c r="BA41" s="31"/>
      <c r="BB41" s="31"/>
      <c r="BC41" s="31"/>
      <c r="BD41" s="31"/>
      <c r="BE41" s="31"/>
      <c r="BF41" s="31"/>
      <c r="BG41" s="31"/>
      <c r="BH41" s="31"/>
      <c r="BI41" s="14"/>
      <c r="BJ41" s="14"/>
      <c r="BK41" s="9">
        <f>(($DE41/100%)*30%)+(($DF41/100%)*40%)+(($DG41/100%)*20%)+(($DH41/100%)*10%)</f>
        <v>0.99999999999999989</v>
      </c>
      <c r="BL41" s="30">
        <v>0.25</v>
      </c>
      <c r="BM41" s="31"/>
      <c r="BN41" s="31"/>
      <c r="BO41" s="31"/>
      <c r="BP41" s="31"/>
      <c r="BQ41" s="31"/>
      <c r="BR41" s="31"/>
      <c r="BS41" s="31"/>
      <c r="BT41" s="31"/>
      <c r="BU41" s="14"/>
      <c r="BV41" s="14"/>
      <c r="BW41" s="9">
        <f>IF(AM41=0%, 100%, (BK41/AM41))</f>
        <v>0.99999999999999989</v>
      </c>
      <c r="BX41" s="9">
        <f>IF(AN41=0%, 100%, (BL41/AN41))</f>
        <v>1</v>
      </c>
      <c r="BY41" s="31"/>
      <c r="BZ41" s="31"/>
      <c r="CA41" s="31"/>
      <c r="CB41" s="31"/>
      <c r="CC41" s="31"/>
      <c r="CD41" s="31"/>
      <c r="CE41" s="31"/>
      <c r="CF41" s="31"/>
      <c r="CG41" s="14"/>
      <c r="CH41" s="14"/>
      <c r="CI41" s="9" t="str">
        <f>IF(AM41=0%,"NS",IF(BK41=100%,"DONE",IF(BW41&gt;100%,"AS",IF(BW41&lt;75%,"BS",IF(AY41&lt;&gt;AA41,"BS",IF(BW41&lt;89.9%,"AR","OS"))))))</f>
        <v>DONE</v>
      </c>
      <c r="CJ41" s="9" t="str">
        <f>IF(AT41=0%,"NS",IF(BL41=100%,"DONE",IF(BX41&gt;100%,"AS",IF(BX41&lt;75%,"BS",IF(AZ41&lt;&gt;AB41,"BS",IF(BX41&lt;89.9%,"AR","OS"))))))</f>
        <v>NS</v>
      </c>
      <c r="CK41" s="9" t="str">
        <f>IF(AU41=0%,"NS",IF(BM41=100%,"DONE",IF(BY41&gt;100%,"AS",IF(BY41&lt;75%,"BS",IF(BA41&lt;&gt;AC41,"BS",IF(BY41&lt;89.9%,"AR","OS"))))))</f>
        <v>NS</v>
      </c>
      <c r="CL41" s="9" t="str">
        <f>IF(AV41=0%,"NS",IF(BN41=100%,"DONE",IF(BZ41&gt;100%,"AS",IF(BZ41&lt;75%,"BS",IF(BB41&lt;&gt;AD41,"BS",IF(BZ41&lt;89.9%,"AR","OS"))))))</f>
        <v>NS</v>
      </c>
      <c r="CM41" s="31"/>
      <c r="CN41" s="31"/>
      <c r="CO41" s="31"/>
      <c r="CP41" s="31"/>
      <c r="CQ41" s="31"/>
      <c r="CR41" s="31"/>
      <c r="CS41" s="14"/>
      <c r="CT41" s="14"/>
      <c r="CU41" s="14"/>
      <c r="CV41" s="31"/>
      <c r="CW41" s="31"/>
      <c r="CX41" s="31"/>
      <c r="CY41" s="31"/>
      <c r="CZ41" s="31"/>
      <c r="DA41" s="31"/>
      <c r="DB41" s="31"/>
      <c r="DC41" s="31"/>
      <c r="DD41" s="31"/>
      <c r="DE41" s="33">
        <v>1</v>
      </c>
      <c r="DF41" s="33">
        <v>1</v>
      </c>
      <c r="DG41" s="33">
        <v>1</v>
      </c>
      <c r="DH41" s="33">
        <v>1</v>
      </c>
      <c r="DI41" s="18" t="s">
        <v>1216</v>
      </c>
      <c r="DJ41" s="32">
        <v>45692</v>
      </c>
      <c r="DK41" s="17">
        <f t="shared" si="19"/>
        <v>45688</v>
      </c>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4" t="s">
        <v>1131</v>
      </c>
      <c r="EM41" s="14"/>
      <c r="EN41" s="14"/>
      <c r="EO41" s="14"/>
      <c r="EP41" s="14"/>
    </row>
    <row r="42" spans="1:146" s="16" customFormat="1" ht="107.75" customHeight="1">
      <c r="A42" s="7" t="s">
        <v>1217</v>
      </c>
      <c r="B42" s="7"/>
      <c r="C42" s="14" t="s">
        <v>1218</v>
      </c>
      <c r="D42" s="14" t="s">
        <v>1219</v>
      </c>
      <c r="E42" s="91">
        <v>2025</v>
      </c>
      <c r="F42" s="91">
        <v>2025</v>
      </c>
      <c r="G42" s="7" t="s">
        <v>472</v>
      </c>
      <c r="H42" s="7" t="s">
        <v>199</v>
      </c>
      <c r="I42" s="7" t="s">
        <v>1220</v>
      </c>
      <c r="J42" s="7" t="str">
        <f t="shared" si="0"/>
        <v>Elnestor</v>
      </c>
      <c r="K42" s="121"/>
      <c r="L42" s="14" t="s">
        <v>1129</v>
      </c>
      <c r="M42" s="8">
        <f t="shared" si="18"/>
        <v>0</v>
      </c>
      <c r="N42" s="9">
        <f t="shared" si="11"/>
        <v>1</v>
      </c>
      <c r="O42" s="17">
        <f>AH42</f>
        <v>45991</v>
      </c>
      <c r="P42" s="91" t="s">
        <v>381</v>
      </c>
      <c r="Q42" s="92">
        <v>45870</v>
      </c>
      <c r="R42" s="92">
        <v>45900</v>
      </c>
      <c r="S42" s="92">
        <v>45870</v>
      </c>
      <c r="T42" s="92">
        <v>45900</v>
      </c>
      <c r="U42" s="92"/>
      <c r="V42" s="92"/>
      <c r="W42" s="92"/>
      <c r="X42" s="92"/>
      <c r="Y42" s="92">
        <v>45901</v>
      </c>
      <c r="Z42" s="92">
        <v>45930</v>
      </c>
      <c r="AA42" s="92">
        <v>45901</v>
      </c>
      <c r="AB42" s="92">
        <v>45930</v>
      </c>
      <c r="AC42" s="92">
        <v>45931</v>
      </c>
      <c r="AD42" s="92">
        <v>45945</v>
      </c>
      <c r="AE42" s="92">
        <v>45946</v>
      </c>
      <c r="AF42" s="92">
        <v>45961</v>
      </c>
      <c r="AG42" s="92">
        <v>45962</v>
      </c>
      <c r="AH42" s="93">
        <v>45991</v>
      </c>
      <c r="AI42" s="94" t="s">
        <v>694</v>
      </c>
      <c r="AJ42" s="94" t="s">
        <v>1221</v>
      </c>
      <c r="AK42" s="94" t="s">
        <v>1222</v>
      </c>
      <c r="AL42" s="7" t="s">
        <v>1223</v>
      </c>
      <c r="AM42" s="7" t="str">
        <f t="shared" ref="AM42:AT42" si="20">IF(AY42=0%,"Not Started",IF(AY42&lt;5%,"Proses RBT-RBB",IF(AY42=5%,"Selesai RBT-RBB",IF(AY42&lt;10%,"Proses RBT-RBL",IF(AY42=10%,"Selesai RBT-RBL",IF(AY42&lt;15%,"Proses RBT-RBTD",IF(AY42=15%,"Selesai RBT-RBTD",IF(AY42&lt;20%,"Proses RPP",IF(AY42=20%,"Selesai RPP",IF(AY42&lt;25%,"Proses KAK",IF(AY42=25%,"Selesai KAK",IF(AY42&lt;30%,"Proses Pengadaan",IF(AY42=30%,"Selesai Pengadaan",IF(AY42&lt;45%,"Proses Desain",IF(AY42=45%,"Selesai Desain",IF(AY42&lt;80%,"Proses Pengembangan",IF(AY42=80%,"Selesai Pengembangan",IF(AY42&lt;87.5%,"Proses SIT",IF(AY42=87.5%,"Selesai SIT",IF(AY42&lt;95%,"Proses UAT",IF(AY42=95%,"Selesai UAT",IF(AY42&lt;100%,"Proses Implementasi","Selesai Implementasi"))))))))))))))))))))))</f>
        <v>Not Started</v>
      </c>
      <c r="AN42" s="7" t="str">
        <f t="shared" si="20"/>
        <v>Not Started</v>
      </c>
      <c r="AO42" s="7" t="str">
        <f t="shared" si="20"/>
        <v>Not Started</v>
      </c>
      <c r="AP42" s="7" t="str">
        <f t="shared" si="20"/>
        <v>Not Started</v>
      </c>
      <c r="AQ42" s="7" t="str">
        <f t="shared" si="20"/>
        <v>Not Started</v>
      </c>
      <c r="AR42" s="7" t="str">
        <f t="shared" si="20"/>
        <v>Not Started</v>
      </c>
      <c r="AS42" s="7" t="str">
        <f t="shared" si="20"/>
        <v>Not Started</v>
      </c>
      <c r="AT42" s="7" t="str">
        <f t="shared" si="20"/>
        <v>Not Started</v>
      </c>
      <c r="AU42" s="95"/>
      <c r="AV42" s="95"/>
      <c r="AW42" s="95">
        <v>0</v>
      </c>
      <c r="AX42" s="96">
        <v>0</v>
      </c>
      <c r="AY42" s="97">
        <v>0</v>
      </c>
      <c r="AZ42" s="96"/>
      <c r="BA42" s="96"/>
      <c r="BB42" s="98">
        <v>0</v>
      </c>
      <c r="BC42" s="98"/>
      <c r="BD42" s="98"/>
      <c r="BE42" s="98"/>
      <c r="BF42" s="98"/>
      <c r="BG42" s="94" t="str">
        <f t="shared" ref="BG42:BR43" si="21">IF(BS42=0%,"Not Started",IF(BS42&lt;5%,"Proses RBT-RBB",IF(BS42=5%,"Selesai RBT-RBB",IF(BS42&lt;10%,"Proses RBT-RBL",IF(BS42=10%,"Selesai RBT-RBL",IF(BS42&lt;15%,"Proses RBT-RBTD",IF(BS42=15%,"Selesai RBT-RBTD",IF(BS42&lt;20%,"Proses RPP",IF(BS42=20%,"Selesai RPP",IF(BS42&lt;25%,"Proses KAK",IF(BS42=25%,"Selesai KAK",IF(BS42&lt;30%,"Proses Pengadaan",IF(BS42=30%,"Selesai Pengadaan",IF(BS42&lt;45%,"Proses Desain",IF(BS42=45%,"Selesai Desain",IF(BS42&lt;80%,"Proses Pengembangan",IF(BS42=80%,"Selesai Pengembangan",IF(BS42&lt;87.5%,"Proses SIT",IF(BS42=87.5%,"Selesai SIT",IF(BS42&lt;95%,"Proses UAT",IF(BS42=95%,"Selesai UAT",IF(BS42&lt;100%,"Proses Implementasi","Selesai Implementasi"))))))))))))))))))))))</f>
        <v>Not Started</v>
      </c>
      <c r="BH42" s="94" t="str">
        <f t="shared" si="21"/>
        <v>Not Started</v>
      </c>
      <c r="BI42" s="94" t="str">
        <f t="shared" si="21"/>
        <v>Not Started</v>
      </c>
      <c r="BJ42" s="7" t="str">
        <f t="shared" si="21"/>
        <v>Not Started</v>
      </c>
      <c r="BK42" s="7" t="str">
        <f t="shared" si="21"/>
        <v>Not Started</v>
      </c>
      <c r="BL42" s="7" t="str">
        <f t="shared" si="21"/>
        <v>Not Started</v>
      </c>
      <c r="BM42" s="7" t="str">
        <f t="shared" si="21"/>
        <v>Not Started</v>
      </c>
      <c r="BN42" s="7" t="str">
        <f t="shared" si="21"/>
        <v>Not Started</v>
      </c>
      <c r="BO42" s="7" t="str">
        <f t="shared" si="21"/>
        <v>Not Started</v>
      </c>
      <c r="BP42" s="7" t="str">
        <f t="shared" si="21"/>
        <v>Not Started</v>
      </c>
      <c r="BQ42" s="7" t="str">
        <f t="shared" si="21"/>
        <v>Not Started</v>
      </c>
      <c r="BR42" s="7" t="str">
        <f t="shared" si="21"/>
        <v>Not Started</v>
      </c>
      <c r="BS42" s="99">
        <v>0</v>
      </c>
      <c r="BT42" s="99">
        <v>0</v>
      </c>
      <c r="BU42" s="99">
        <v>0</v>
      </c>
      <c r="BV42" s="99">
        <v>0</v>
      </c>
      <c r="BW42" s="99">
        <v>0</v>
      </c>
      <c r="BX42" s="100"/>
      <c r="BY42" s="100">
        <v>0</v>
      </c>
      <c r="BZ42" s="100">
        <f>(($DL42/100%)*15%)+(($DM42/100%)*5%)+(($DN42/100%)*5%)+(($DO42/100%)*5%)+(($DP42/100%)*15%)+(($DQ42/100%)*35%)+(($DR42/100%)*7.5%)+(($DS42/100%)*7.5%)+(($DT42/100%)*5%)</f>
        <v>0</v>
      </c>
      <c r="CA42" s="100"/>
      <c r="CB42" s="100"/>
      <c r="CC42" s="100"/>
      <c r="CD42" s="100"/>
      <c r="CE42" s="101" t="e">
        <f>IF(#REF!=0%, 100%, (BS42/#REF!))</f>
        <v>#REF!</v>
      </c>
      <c r="CF42" s="101" t="e">
        <f>IF(#REF!=0%, 100%, (BT42/#REF!))</f>
        <v>#REF!</v>
      </c>
      <c r="CG42" s="101" t="e">
        <f>IF(#REF!=0%, 100%, (BU42/#REF!))</f>
        <v>#REF!</v>
      </c>
      <c r="CH42" s="9">
        <f t="shared" ref="CH42:CL43" si="22">IF(AX42=0%, 100%, (BV42/AX42))</f>
        <v>1</v>
      </c>
      <c r="CI42" s="9">
        <f t="shared" si="22"/>
        <v>1</v>
      </c>
      <c r="CJ42" s="9">
        <f t="shared" si="22"/>
        <v>1</v>
      </c>
      <c r="CK42" s="9">
        <f t="shared" si="22"/>
        <v>1</v>
      </c>
      <c r="CL42" s="9">
        <f t="shared" si="22"/>
        <v>1</v>
      </c>
      <c r="CM42" s="9"/>
      <c r="CN42" s="9"/>
      <c r="CO42" s="9"/>
      <c r="CP42" s="9"/>
      <c r="CQ42" s="101" t="str">
        <f>IF(AU42=0%,"NS",IF(BS42=100%,"DONE",IF(CE42&gt;100%,"AS",IF(CE42&lt;75%,"BS",IF(BG42&lt;&gt;#REF!,"BS",IF(CE42&lt;89.9%,"AR","OS"))))))</f>
        <v>NS</v>
      </c>
      <c r="CR42" s="101" t="str">
        <f>IF(AV42=0%,"NS",IF(BT42=100%,"DONE",IF(CF42&gt;100%,"AS",IF(CF42&lt;75%,"BS",IF(BH42&lt;&gt;#REF!,"BS",IF(CF42&lt;89.9%,"AR","OS"))))))</f>
        <v>NS</v>
      </c>
      <c r="CS42" s="9" t="str">
        <f>IF(AW42=0%,"NS",IF(BU42=100%,"DONE",IF(CG42&gt;100%,"AS",IF(CG42&lt;75%,"BS",IF(CG42&lt;89.9%,"AR","OS")))))</f>
        <v>NS</v>
      </c>
      <c r="CT42" s="9" t="str">
        <f>IF(AX42=0%,"NS",IF(BV42=100%,"DONE",IF(CH42&gt;=105%,"AS",IF(CH42&gt;=94.5%,"OS",IF(CH42&lt;=94.45%,"BS")))))</f>
        <v>NS</v>
      </c>
      <c r="CU42" s="9" t="str">
        <f>IF(AY42=0%,"NS",IF(BW42=100%,"DONE",IF(CI42&gt;=105%,"AS",IF(CI42&gt;=94.5%,"OS",IF(CI42&lt;=94.45%,"BS")))))</f>
        <v>NS</v>
      </c>
      <c r="CV42" s="9" t="str">
        <f>IF(AZ42=0%,"NS",IF(BX42=100%,"DONE",IF(CJ42&gt;=105%,"AS",IF(CJ42&gt;=94.5%,"OS",IF(CJ42&lt;=94.45%,"BS")))))</f>
        <v>NS</v>
      </c>
      <c r="CW42" s="9" t="str">
        <f>IF(BA42=0%,"NS",IF(BY42=100%,"DONE",IF(CK42&gt;=105%,"AS",IF(CK42&gt;=94.5%,"OS",IF(CK42&lt;=94.45%,"BS")))))</f>
        <v>NS</v>
      </c>
      <c r="CX42" s="9" t="str">
        <f>IF(BB42=0%,"NS",IF(BZ42=100%,"DONE",IF(CL42&gt;=105%,"AS",IF(CL42&gt;=94.5%,"OS",IF(CL42&lt;=94.45%,"BS")))))</f>
        <v>NS</v>
      </c>
      <c r="CY42" s="9"/>
      <c r="CZ42" s="9"/>
      <c r="DA42" s="9"/>
      <c r="DB42" s="9"/>
      <c r="DC42" s="101" t="e">
        <f>BS42/$BF42</f>
        <v>#DIV/0!</v>
      </c>
      <c r="DD42" s="101" t="e">
        <f>BT42/$BF42</f>
        <v>#DIV/0!</v>
      </c>
      <c r="DE42" s="33">
        <v>1</v>
      </c>
      <c r="DF42" s="33">
        <v>1</v>
      </c>
      <c r="DG42" s="33">
        <v>1</v>
      </c>
      <c r="DH42" s="33">
        <v>1</v>
      </c>
      <c r="DI42" s="80" t="s">
        <v>1224</v>
      </c>
      <c r="DJ42" s="10"/>
      <c r="DK42" s="17">
        <f t="shared" si="19"/>
        <v>0</v>
      </c>
      <c r="DL42" s="102"/>
      <c r="DM42" s="102"/>
      <c r="DN42" s="102"/>
      <c r="DO42" s="102"/>
      <c r="DP42" s="102"/>
      <c r="DQ42" s="102"/>
      <c r="DR42" s="102"/>
      <c r="DS42" s="102"/>
      <c r="DT42" s="102"/>
      <c r="DU42" s="103" t="s">
        <v>1225</v>
      </c>
      <c r="DV42" s="103"/>
      <c r="DW42" s="104" t="e">
        <f>#REF!</f>
        <v>#REF!</v>
      </c>
      <c r="DX42" s="104"/>
      <c r="DY42" s="105"/>
      <c r="DZ42" s="106"/>
      <c r="EA42" s="107"/>
      <c r="EB42" s="108"/>
      <c r="EC42" s="84"/>
      <c r="ED42" s="109"/>
      <c r="EE42" s="110"/>
      <c r="EF42" s="111"/>
      <c r="EG42" s="111"/>
      <c r="EH42" s="111"/>
      <c r="EI42" s="111"/>
      <c r="EJ42" s="111"/>
      <c r="EK42" s="112"/>
      <c r="EL42" s="14" t="s">
        <v>497</v>
      </c>
      <c r="EM42" s="112"/>
      <c r="EN42" s="112"/>
      <c r="EO42" s="112"/>
      <c r="EP42" s="112"/>
    </row>
    <row r="43" spans="1:146" customFormat="1" ht="43.5">
      <c r="A43" s="7" t="s">
        <v>1217</v>
      </c>
      <c r="B43" s="88"/>
      <c r="C43" s="14" t="s">
        <v>1218</v>
      </c>
      <c r="D43" s="14" t="s">
        <v>1226</v>
      </c>
      <c r="E43" s="91">
        <v>2026</v>
      </c>
      <c r="F43" s="91">
        <v>2026</v>
      </c>
      <c r="G43" s="7" t="s">
        <v>472</v>
      </c>
      <c r="H43" s="7" t="s">
        <v>199</v>
      </c>
      <c r="I43" s="7" t="s">
        <v>1227</v>
      </c>
      <c r="J43" s="7" t="str">
        <f t="shared" si="0"/>
        <v>Elnestor</v>
      </c>
      <c r="K43" s="121"/>
      <c r="L43" s="7" t="s">
        <v>694</v>
      </c>
      <c r="M43" s="8">
        <f t="shared" si="18"/>
        <v>46356</v>
      </c>
      <c r="N43" s="9">
        <f t="shared" si="11"/>
        <v>0</v>
      </c>
      <c r="O43" s="17">
        <f>AH43</f>
        <v>46356</v>
      </c>
      <c r="P43" s="91" t="s">
        <v>381</v>
      </c>
      <c r="Q43" s="8">
        <v>46235</v>
      </c>
      <c r="R43" s="8">
        <v>46265</v>
      </c>
      <c r="S43" s="8">
        <v>46235</v>
      </c>
      <c r="T43" s="8">
        <v>46265</v>
      </c>
      <c r="U43" s="8"/>
      <c r="V43" s="8"/>
      <c r="W43" s="8"/>
      <c r="X43" s="32">
        <v>46356</v>
      </c>
      <c r="Y43" s="8"/>
      <c r="Z43" s="8"/>
      <c r="AA43" s="8">
        <v>46266</v>
      </c>
      <c r="AB43" s="8">
        <v>46295</v>
      </c>
      <c r="AC43" s="8">
        <v>46296</v>
      </c>
      <c r="AD43" s="8">
        <v>46310</v>
      </c>
      <c r="AE43" s="8">
        <v>46311</v>
      </c>
      <c r="AF43" s="8">
        <v>46326</v>
      </c>
      <c r="AG43" s="8">
        <v>46327</v>
      </c>
      <c r="AH43" s="17">
        <v>46356</v>
      </c>
      <c r="AI43" s="8"/>
      <c r="AJ43" s="8"/>
      <c r="AK43" s="8"/>
      <c r="AL43" s="8"/>
      <c r="AM43" s="8"/>
      <c r="AN43" s="7" t="str">
        <f t="shared" ref="AN43:AT43" si="23">IF(AZ43=0%,"Not Started",IF(AZ43&lt;5%,"Proses RBT-RBB",IF(AZ43=5%,"Selesai RBT-RBB",IF(AZ43&lt;10%,"Proses RBT-RBL",IF(AZ43=10%,"Selesai RBT-RBL",IF(AZ43&lt;15%,"Proses RBT-RBTD",IF(AZ43=15%,"Selesai RBT-RBTD",IF(AZ43&lt;20%,"Proses RPP",IF(AZ43=20%,"Selesai RPP",IF(AZ43&lt;25%,"Proses KAK",IF(AZ43=25%,"Selesai KAK",IF(AZ43&lt;30%,"Proses Pengadaan",IF(AZ43=30%,"Selesai Pengadaan",IF(AZ43&lt;45%,"Proses Desain",IF(AZ43=45%,"Selesai Desain",IF(AZ43&lt;80%,"Proses Pengembangan",IF(AZ43=80%,"Selesai Pengembangan",IF(AZ43&lt;87.5%,"Proses SIT",IF(AZ43=87.5%,"Selesai SIT",IF(AZ43&lt;95%,"Proses UAT",IF(AZ43=95%,"Selesai UAT",IF(AZ43&lt;100%,"Proses Implementasi","Selesai Implementasi"))))))))))))))))))))))</f>
        <v>Not Started</v>
      </c>
      <c r="AO43" s="7" t="str">
        <f t="shared" si="23"/>
        <v>Not Started</v>
      </c>
      <c r="AP43" s="7" t="str">
        <f t="shared" si="23"/>
        <v>Not Started</v>
      </c>
      <c r="AQ43" s="7" t="str">
        <f t="shared" si="23"/>
        <v>Not Started</v>
      </c>
      <c r="AR43" s="7" t="str">
        <f t="shared" si="23"/>
        <v>Not Started</v>
      </c>
      <c r="AS43" s="7" t="str">
        <f t="shared" si="23"/>
        <v>Not Started</v>
      </c>
      <c r="AT43" s="7" t="str">
        <f t="shared" si="23"/>
        <v>Not Started</v>
      </c>
      <c r="AU43" s="96"/>
      <c r="AV43" s="96"/>
      <c r="AW43" s="96">
        <v>0</v>
      </c>
      <c r="AX43" s="96">
        <v>0</v>
      </c>
      <c r="AY43" s="96"/>
      <c r="AZ43" s="96"/>
      <c r="BA43" s="96"/>
      <c r="BB43" s="96"/>
      <c r="BC43" s="96"/>
      <c r="BD43" s="96"/>
      <c r="BE43" s="96"/>
      <c r="BF43" s="96"/>
      <c r="BG43" s="7" t="str">
        <f t="shared" si="21"/>
        <v>Not Started</v>
      </c>
      <c r="BH43" s="7" t="str">
        <f t="shared" si="21"/>
        <v>Not Started</v>
      </c>
      <c r="BI43" s="7" t="str">
        <f t="shared" si="21"/>
        <v>Not Started</v>
      </c>
      <c r="BJ43" s="7" t="str">
        <f t="shared" si="21"/>
        <v>Not Started</v>
      </c>
      <c r="BK43" s="7" t="str">
        <f t="shared" si="21"/>
        <v>Not Started</v>
      </c>
      <c r="BL43" s="7" t="str">
        <f t="shared" si="21"/>
        <v>Selesai Implementasi</v>
      </c>
      <c r="BM43" s="7" t="str">
        <f t="shared" si="21"/>
        <v>Not Started</v>
      </c>
      <c r="BN43" s="7" t="str">
        <f t="shared" si="21"/>
        <v>Not Started</v>
      </c>
      <c r="BO43" s="7" t="str">
        <f t="shared" si="21"/>
        <v>Not Started</v>
      </c>
      <c r="BP43" s="7" t="str">
        <f t="shared" si="21"/>
        <v>Not Started</v>
      </c>
      <c r="BQ43" s="7" t="str">
        <f t="shared" si="21"/>
        <v>Not Started</v>
      </c>
      <c r="BR43" s="7" t="str">
        <f t="shared" si="21"/>
        <v>Not Started</v>
      </c>
      <c r="BS43" s="100">
        <v>0</v>
      </c>
      <c r="BT43" s="100">
        <v>0</v>
      </c>
      <c r="BU43" s="100">
        <v>0</v>
      </c>
      <c r="BV43" s="100">
        <v>0</v>
      </c>
      <c r="BW43" s="100">
        <v>0</v>
      </c>
      <c r="BX43" s="113">
        <v>0.99999999999999989</v>
      </c>
      <c r="BY43" s="100">
        <v>0</v>
      </c>
      <c r="BZ43" s="100">
        <f>(($DL43/100%)*15%)+(($DM43/100%)*5%)+(($DN43/100%)*5%)+(($DO43/100%)*5%)+(($DP43/100%)*15%)+(($DQ43/100%)*35%)+(($DR43/100%)*7.5%)+(($DS43/100%)*7.5%)+(($DT43/100%)*5%)</f>
        <v>0</v>
      </c>
      <c r="CA43" s="100"/>
      <c r="CB43" s="100"/>
      <c r="CC43" s="100"/>
      <c r="CD43" s="100"/>
      <c r="CE43" s="9">
        <f>IF(AU43=0%, 100%, (BS43/AU43))</f>
        <v>1</v>
      </c>
      <c r="CF43" s="9">
        <f>IF(AV43=0%, 100%, (BT43/AV43))</f>
        <v>1</v>
      </c>
      <c r="CG43" s="9">
        <f>IF(AW43=0%, 100%, (BU43/AW43))</f>
        <v>1</v>
      </c>
      <c r="CH43" s="9">
        <f t="shared" si="22"/>
        <v>1</v>
      </c>
      <c r="CI43" s="9">
        <f t="shared" si="22"/>
        <v>1</v>
      </c>
      <c r="CJ43" s="9">
        <f t="shared" si="22"/>
        <v>1</v>
      </c>
      <c r="CK43" s="9">
        <f t="shared" si="22"/>
        <v>1</v>
      </c>
      <c r="CL43" s="9">
        <f t="shared" si="22"/>
        <v>1</v>
      </c>
      <c r="CM43" s="9"/>
      <c r="CN43" s="9"/>
      <c r="CO43" s="9"/>
      <c r="CP43" s="9"/>
      <c r="CQ43" s="9" t="str">
        <f>IF(AU43=0%,"NS",IF(BS43=100%,"DONE",IF(CE43&gt;100%,"AS",IF(CE43&lt;75%,"BS",IF(BG43&lt;&gt;#REF!,"BS",IF(CE43&lt;89.9%,"AR","OS"))))))</f>
        <v>NS</v>
      </c>
      <c r="CR43" s="9" t="str">
        <f>IF(AV43=0%,"NS",IF(BT43=100%,"DONE",IF(CF43&gt;100%,"AS",IF(CF43&lt;75%,"BS",IF(BH43&lt;&gt;#REF!,"BS",IF(CF43&lt;89.9%,"AR","OS"))))))</f>
        <v>NS</v>
      </c>
      <c r="CS43" s="9" t="str">
        <f>IF(AW43=0%,"NS",IF(BU43=100%,"DONE",IF(CG43&gt;100%,"AS",IF(CG43&lt;75%,"BS",IF(CG43&lt;89.9%,"AR","OS")))))</f>
        <v>NS</v>
      </c>
      <c r="CT43" s="9" t="str">
        <f>IF(AX43=0%,"NS",IF(BV43=100%,"DONE",IF(CH43&gt;=105%,"AS",IF(CH43&gt;=94.5%,"OS",IF(CH43&lt;=94.45%,"BS")))))</f>
        <v>NS</v>
      </c>
      <c r="CU43" s="9" t="str">
        <f>IF(AY43=0%,"NS",IF(BW43=100%,"DONE",IF(CI43&gt;=105%,"AS",IF(CI43&gt;=94.5%,"OS",IF(CI43&lt;=94.45%,"BS")))))</f>
        <v>NS</v>
      </c>
      <c r="CV43" s="9" t="str">
        <f>IF(AZ43=0%,"NS",IF(BX43=100%,"DONE",IF(CJ43&gt;=105%,"AS",IF(CJ43&gt;=94.5%,"OS",IF(CJ43&lt;=94.45%,"BS")))))</f>
        <v>NS</v>
      </c>
      <c r="CW43" s="9"/>
      <c r="CX43" s="9"/>
      <c r="CY43" s="9"/>
      <c r="CZ43" s="9"/>
      <c r="DA43" s="9"/>
      <c r="DB43" s="9"/>
      <c r="DC43" s="9" t="e">
        <f>BS43/$BF43</f>
        <v>#DIV/0!</v>
      </c>
      <c r="DD43" s="9" t="e">
        <f>BT43/$BF43</f>
        <v>#DIV/0!</v>
      </c>
      <c r="DE43" s="9"/>
      <c r="DF43" s="9"/>
      <c r="DG43" s="9"/>
      <c r="DH43" s="9"/>
      <c r="DI43" s="10"/>
      <c r="DJ43" s="10"/>
      <c r="DK43" s="17">
        <f t="shared" si="19"/>
        <v>0</v>
      </c>
      <c r="DL43" s="114"/>
      <c r="DM43" s="114"/>
      <c r="DN43" s="114"/>
      <c r="DO43" s="114"/>
      <c r="DP43" s="114"/>
      <c r="DQ43" s="114"/>
      <c r="DR43" s="114"/>
      <c r="DS43" s="114"/>
      <c r="DT43" s="114"/>
      <c r="DU43" s="86"/>
      <c r="DV43" s="86"/>
      <c r="DW43" s="115" t="e">
        <f>#REF!</f>
        <v>#REF!</v>
      </c>
      <c r="DX43" s="115"/>
      <c r="DY43" s="116"/>
      <c r="DZ43" s="117"/>
      <c r="EA43" s="84"/>
      <c r="EB43" s="90"/>
      <c r="EC43" s="84"/>
      <c r="ED43" s="109"/>
      <c r="EE43" s="110"/>
      <c r="EF43" s="111"/>
      <c r="EG43" s="111"/>
      <c r="EH43" s="111"/>
      <c r="EI43" s="111"/>
      <c r="EJ43" s="111"/>
      <c r="EK43" s="10"/>
      <c r="EL43" s="14" t="s">
        <v>497</v>
      </c>
      <c r="EM43" s="10"/>
      <c r="EN43" s="10"/>
      <c r="EO43" s="10"/>
      <c r="EP43" s="10"/>
    </row>
    <row r="44" spans="1:146" ht="43.5">
      <c r="A44" s="7" t="s">
        <v>1217</v>
      </c>
      <c r="B44" s="14"/>
      <c r="C44" s="14" t="s">
        <v>1218</v>
      </c>
      <c r="D44" s="407" t="s">
        <v>1228</v>
      </c>
      <c r="E44" s="7">
        <v>2025</v>
      </c>
      <c r="F44" s="7">
        <v>2025</v>
      </c>
      <c r="G44" s="7" t="s">
        <v>472</v>
      </c>
      <c r="H44" s="7" t="s">
        <v>199</v>
      </c>
      <c r="I44" s="7" t="s">
        <v>1229</v>
      </c>
      <c r="J44" s="7" t="str">
        <f t="shared" si="0"/>
        <v>Elnestor</v>
      </c>
      <c r="K44" s="14"/>
      <c r="L44" s="14" t="s">
        <v>1129</v>
      </c>
      <c r="M44" s="8">
        <f t="shared" si="18"/>
        <v>0</v>
      </c>
      <c r="N44" s="9">
        <f t="shared" si="11"/>
        <v>1</v>
      </c>
      <c r="O44" s="7"/>
      <c r="P44" s="7"/>
      <c r="Q44" s="14"/>
      <c r="R44" s="14"/>
      <c r="S44" s="32"/>
      <c r="T44" s="32"/>
      <c r="U44" s="32"/>
      <c r="V44" s="32"/>
      <c r="W44" s="32"/>
      <c r="X44" s="32"/>
      <c r="Y44" s="14"/>
      <c r="Z44" s="14"/>
      <c r="AA44" s="7" t="str">
        <f>IF(AM44=0%,"Not Started",IF(AM44&lt;30%,"Proses Asesmen",IF(AM44=30%,"Selesai Asesmen",IF(AM44&lt;70%,"Proses Konfigurasi",IF(AM44=70%,"Selesai Konfigurasi",IF(AM44&lt;90%,"Proses Pengujian",IF(AM44=90%,"Selesai Pengujian",IF(AM44&lt;100%,"Proses Implementasi","Selesai Implementasi"))))))))</f>
        <v>Selesai Implementasi</v>
      </c>
      <c r="AB44" s="7" t="str">
        <f>IF(AN44=0%,"Not Started",IF(AN44&lt;5%,"Proses CD",IF(AN44=5%,"Selesai CD",IF(AN44&lt;10%,"Proses BRD",IF(AN44=10%,"Selesai BRD",IF(AN44&lt;20%,"Proses Solusi SI",IF(AN44=20%,"Selesai Solusi SI",IF(AN44&lt;25%,"Proses KAK",IF(AN44=25%,"Selesai KAK",IF(AN44&lt;30%,"Proses SPK",IF(AN44=30%,"Selesai SPK",IF(AN44&lt;45%, "Proses Desain", IF(AN44=45%, "Selesai Desain", IF(AN44&lt;60%,"Proses Coding",IF(AN44=60%,"Selesai Coding",IF(AN44&lt;75%,"Proses SIT", IF(AN44=75%,"Selesai SIT", IF(AN44&lt;90%,"Proses UAT",IF(AN44=90%,"Selesai UAT",IF(AN44&lt;100%,"Proses Implementasi","Selesai Implementasi"))))))))))))))))))))</f>
        <v>Not Started</v>
      </c>
      <c r="AC44" s="31"/>
      <c r="AD44" s="31"/>
      <c r="AE44" s="31"/>
      <c r="AF44" s="31"/>
      <c r="AG44" s="31"/>
      <c r="AH44" s="31"/>
      <c r="AI44" s="31"/>
      <c r="AJ44" s="31"/>
      <c r="AK44" s="14"/>
      <c r="AL44" s="14"/>
      <c r="AM44" s="29">
        <v>1</v>
      </c>
      <c r="AN44" s="31"/>
      <c r="AO44" s="31"/>
      <c r="AP44" s="31"/>
      <c r="AQ44" s="31"/>
      <c r="AR44" s="31"/>
      <c r="AS44" s="31"/>
      <c r="AT44" s="31"/>
      <c r="AU44" s="31"/>
      <c r="AV44" s="31"/>
      <c r="AW44" s="14"/>
      <c r="AX44" s="14"/>
      <c r="AY44" s="7" t="str">
        <f>IF(BK44=0%,"Not Started",IF(BK44&lt;30%,"Proses Asesmen",IF(BK44=30%,"Selesai Asesmen",IF(BK44&lt;70%,"Proses Konfigurasi",IF(BK44=70%,"Selesai Konfigurasi",IF(BK44&lt;90%,"Proses Pengujian",IF(BK44=90%,"Selesai Pengujian",IF(BK44&lt;100%,"Proses Implementasi","Selesai Implementasi"))))))))</f>
        <v>Selesai Implementasi</v>
      </c>
      <c r="AZ44" s="7" t="str">
        <f>IF(BL44=0%,"Not Started",IF(BL44&lt;5%,"Proses CD",IF(BL44=5%,"Selesai CD",IF(BL44&lt;10%,"Proses BRD",IF(BL44=10%,"Selesai BRD",IF(BL44&lt;20%,"Proses Solusi SI",IF(BL44=20%,"Selesai Solusi SI",IF(BL44&lt;25%,"Proses KAK",IF(BL44=25%,"Selesai KAK",IF(BL44&lt;30%,"Proses SPK",IF(BL44=30%,"Selesai SPK",IF(BL44&lt;45%, "Proses Desain", IF(BL44=45%, "Selesai Desain", IF(BL44&lt;60%,"Proses Coding",IF(BL44=60%,"Selesai Coding",IF(BL44&lt;75%,"Proses SIT", IF(BL44=75%,"Selesai SIT", IF(BL44&lt;90%,"Proses UAT",IF(BL44=90%,"Selesai UAT",IF(BL44&lt;100%,"Proses Implementasi","Selesai Implementasi"))))))))))))))))))))</f>
        <v>Selesai KAK</v>
      </c>
      <c r="BA44" s="31"/>
      <c r="BB44" s="31"/>
      <c r="BC44" s="31"/>
      <c r="BD44" s="31"/>
      <c r="BE44" s="31"/>
      <c r="BF44" s="31"/>
      <c r="BG44" s="31"/>
      <c r="BH44" s="31"/>
      <c r="BI44" s="14"/>
      <c r="BJ44" s="14"/>
      <c r="BK44" s="9">
        <f>(($DE44/100%)*30%)+(($DF44/100%)*40%)+(($DG44/100%)*20%)+(($DH44/100%)*10%)</f>
        <v>0.99999999999999989</v>
      </c>
      <c r="BL44" s="30">
        <v>0.25</v>
      </c>
      <c r="BM44" s="31"/>
      <c r="BN44" s="31"/>
      <c r="BO44" s="31"/>
      <c r="BP44" s="31"/>
      <c r="BQ44" s="31"/>
      <c r="BR44" s="31"/>
      <c r="BS44" s="31"/>
      <c r="BT44" s="31"/>
      <c r="BU44" s="14"/>
      <c r="BV44" s="14"/>
      <c r="BW44" s="9">
        <f>IF(AM44=0%, 100%, (BK44/AM44))</f>
        <v>0.99999999999999989</v>
      </c>
      <c r="BX44" s="9">
        <f>IF(AN44=0%, 100%, (BL44/AN44))</f>
        <v>1</v>
      </c>
      <c r="BY44" s="31"/>
      <c r="BZ44" s="31"/>
      <c r="CA44" s="31"/>
      <c r="CB44" s="31"/>
      <c r="CC44" s="31"/>
      <c r="CD44" s="31"/>
      <c r="CE44" s="31"/>
      <c r="CF44" s="31"/>
      <c r="CG44" s="14"/>
      <c r="CH44" s="14"/>
      <c r="CI44" s="9" t="str">
        <f>IF(AM44=0%,"NS",IF(BK44=100%,"DONE",IF(BW44&gt;100%,"AS",IF(BW44&lt;75%,"BS",IF(AY44&lt;&gt;AA44,"BS",IF(BW44&lt;89.9%,"AR","OS"))))))</f>
        <v>DONE</v>
      </c>
      <c r="CJ44" s="9" t="str">
        <f t="shared" ref="CJ44:CL45" si="24">IF(AT44=0%,"NS",IF(BL44=100%,"DONE",IF(BX44&gt;100%,"AS",IF(BX44&lt;75%,"BS",IF(AZ44&lt;&gt;AB44,"BS",IF(BX44&lt;89.9%,"AR","OS"))))))</f>
        <v>NS</v>
      </c>
      <c r="CK44" s="9" t="str">
        <f t="shared" si="24"/>
        <v>NS</v>
      </c>
      <c r="CL44" s="9" t="str">
        <f t="shared" si="24"/>
        <v>NS</v>
      </c>
      <c r="CM44" s="31"/>
      <c r="CN44" s="31"/>
      <c r="CO44" s="31"/>
      <c r="CP44" s="31"/>
      <c r="CQ44" s="31"/>
      <c r="CR44" s="31"/>
      <c r="CS44" s="14"/>
      <c r="CT44" s="14"/>
      <c r="CU44" s="14"/>
      <c r="CV44" s="31"/>
      <c r="CW44" s="31"/>
      <c r="CX44" s="31"/>
      <c r="CY44" s="31"/>
      <c r="CZ44" s="31"/>
      <c r="DA44" s="31"/>
      <c r="DB44" s="31"/>
      <c r="DC44" s="31"/>
      <c r="DD44" s="31"/>
      <c r="DE44" s="33">
        <v>1</v>
      </c>
      <c r="DF44" s="33">
        <v>1</v>
      </c>
      <c r="DG44" s="33">
        <v>1</v>
      </c>
      <c r="DH44" s="33">
        <v>1</v>
      </c>
      <c r="DI44" s="34" t="s">
        <v>1230</v>
      </c>
      <c r="DJ44" s="32">
        <v>45712</v>
      </c>
      <c r="DK44" s="17">
        <f t="shared" si="19"/>
        <v>0</v>
      </c>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4" t="s">
        <v>497</v>
      </c>
      <c r="EM44" s="14"/>
      <c r="EN44" s="14"/>
      <c r="EO44" s="14"/>
      <c r="EP44" s="14"/>
    </row>
    <row r="45" spans="1:146" ht="43.5">
      <c r="A45" s="7" t="s">
        <v>1217</v>
      </c>
      <c r="B45" s="14"/>
      <c r="C45" s="14" t="s">
        <v>1218</v>
      </c>
      <c r="D45" s="407" t="s">
        <v>1231</v>
      </c>
      <c r="E45" s="7">
        <v>2025</v>
      </c>
      <c r="F45" s="7">
        <v>2025</v>
      </c>
      <c r="G45" s="7" t="s">
        <v>472</v>
      </c>
      <c r="H45" s="7" t="s">
        <v>199</v>
      </c>
      <c r="I45" s="7" t="s">
        <v>1229</v>
      </c>
      <c r="J45" s="7" t="str">
        <f t="shared" si="0"/>
        <v>Elnestor</v>
      </c>
      <c r="K45" s="14"/>
      <c r="L45" s="14" t="s">
        <v>1129</v>
      </c>
      <c r="M45" s="8">
        <f t="shared" si="18"/>
        <v>0</v>
      </c>
      <c r="N45" s="9">
        <f t="shared" si="11"/>
        <v>1</v>
      </c>
      <c r="O45" s="14"/>
      <c r="P45" s="14"/>
      <c r="Q45" s="14"/>
      <c r="R45" s="14"/>
      <c r="S45" s="14"/>
      <c r="T45" s="14"/>
      <c r="U45" s="14"/>
      <c r="V45" s="14"/>
      <c r="W45" s="14"/>
      <c r="X45" s="14"/>
      <c r="Y45" s="14"/>
      <c r="Z45" s="14"/>
      <c r="AA45" s="7" t="str">
        <f>IF(AM45=0%,"Not Started",IF(AM45&lt;30%,"Proses Asesmen",IF(AM45=30%,"Selesai Asesmen",IF(AM45&lt;70%,"Proses Konfigurasi",IF(AM45=70%,"Selesai Konfigurasi",IF(AM45&lt;90%,"Proses Pengujian",IF(AM45=90%,"Selesai Pengujian",IF(AM45&lt;100%,"Proses Implementasi","Selesai Implementasi"))))))))</f>
        <v>Selesai Implementasi</v>
      </c>
      <c r="AB45" s="7" t="str">
        <f>IF(AN45=0%,"Not Started",IF(AN45&lt;5%,"Proses CD",IF(AN45=5%,"Selesai CD",IF(AN45&lt;10%,"Proses BRD",IF(AN45=10%,"Selesai BRD",IF(AN45&lt;20%,"Proses Solusi SI",IF(AN45=20%,"Selesai Solusi SI",IF(AN45&lt;25%,"Proses KAK",IF(AN45=25%,"Selesai KAK",IF(AN45&lt;30%,"Proses SPK",IF(AN45=30%,"Selesai SPK",IF(AN45&lt;45%, "Proses Desain", IF(AN45=45%, "Selesai Desain", IF(AN45&lt;60%,"Proses Coding",IF(AN45=60%,"Selesai Coding",IF(AN45&lt;75%,"Proses SIT", IF(AN45=75%,"Selesai SIT", IF(AN45&lt;90%,"Proses UAT",IF(AN45=90%,"Selesai UAT",IF(AN45&lt;100%,"Proses Implementasi","Selesai Implementasi"))))))))))))))))))))</f>
        <v>Not Started</v>
      </c>
      <c r="AC45" s="31"/>
      <c r="AD45" s="31"/>
      <c r="AE45" s="31"/>
      <c r="AF45" s="31"/>
      <c r="AG45" s="31"/>
      <c r="AH45" s="31"/>
      <c r="AI45" s="31"/>
      <c r="AJ45" s="31"/>
      <c r="AK45" s="14"/>
      <c r="AL45" s="14"/>
      <c r="AM45" s="29">
        <v>1</v>
      </c>
      <c r="AN45" s="31"/>
      <c r="AO45" s="31"/>
      <c r="AP45" s="31"/>
      <c r="AQ45" s="31"/>
      <c r="AR45" s="31"/>
      <c r="AS45" s="31"/>
      <c r="AT45" s="31"/>
      <c r="AU45" s="31"/>
      <c r="AV45" s="31"/>
      <c r="AW45" s="14"/>
      <c r="AX45" s="14"/>
      <c r="AY45" s="7" t="str">
        <f>IF(BK45=0%,"Not Started",IF(BK45&lt;30%,"Proses Asesmen",IF(BK45=30%,"Selesai Asesmen",IF(BK45&lt;70%,"Proses Konfigurasi",IF(BK45=70%,"Selesai Konfigurasi",IF(BK45&lt;90%,"Proses Pengujian",IF(BK45=90%,"Selesai Pengujian",IF(BK45&lt;100%,"Proses Implementasi","Selesai Implementasi"))))))))</f>
        <v>Selesai Implementasi</v>
      </c>
      <c r="AZ45" s="7" t="str">
        <f>IF(BL45=0%,"Not Started",IF(BL45&lt;5%,"Proses CD",IF(BL45=5%,"Selesai CD",IF(BL45&lt;10%,"Proses BRD",IF(BL45=10%,"Selesai BRD",IF(BL45&lt;20%,"Proses Solusi SI",IF(BL45=20%,"Selesai Solusi SI",IF(BL45&lt;25%,"Proses KAK",IF(BL45=25%,"Selesai KAK",IF(BL45&lt;30%,"Proses SPK",IF(BL45=30%,"Selesai SPK",IF(BL45&lt;45%, "Proses Desain", IF(BL45=45%, "Selesai Desain", IF(BL45&lt;60%,"Proses Coding",IF(BL45=60%,"Selesai Coding",IF(BL45&lt;75%,"Proses SIT", IF(BL45=75%,"Selesai SIT", IF(BL45&lt;90%,"Proses UAT",IF(BL45=90%,"Selesai UAT",IF(BL45&lt;100%,"Proses Implementasi","Selesai Implementasi"))))))))))))))))))))</f>
        <v>Selesai KAK</v>
      </c>
      <c r="BA45" s="31"/>
      <c r="BB45" s="31"/>
      <c r="BC45" s="31"/>
      <c r="BD45" s="31"/>
      <c r="BE45" s="31"/>
      <c r="BF45" s="31"/>
      <c r="BG45" s="31"/>
      <c r="BH45" s="31"/>
      <c r="BI45" s="14"/>
      <c r="BJ45" s="14"/>
      <c r="BK45" s="9">
        <f>(($DE45/100%)*30%)+(($DF45/100%)*40%)+(($DG45/100%)*20%)+(($DH45/100%)*10%)</f>
        <v>0.99999999999999989</v>
      </c>
      <c r="BL45" s="30">
        <v>0.25</v>
      </c>
      <c r="BM45" s="31"/>
      <c r="BN45" s="31"/>
      <c r="BO45" s="31"/>
      <c r="BP45" s="31"/>
      <c r="BQ45" s="31"/>
      <c r="BR45" s="31"/>
      <c r="BS45" s="31"/>
      <c r="BT45" s="31"/>
      <c r="BU45" s="14"/>
      <c r="BV45" s="14"/>
      <c r="BW45" s="9">
        <f>IF(AM45=0%, 100%, (BK45/AM45))</f>
        <v>0.99999999999999989</v>
      </c>
      <c r="BX45" s="9">
        <f>IF(AN45=0%, 100%, (BL45/AN45))</f>
        <v>1</v>
      </c>
      <c r="BY45" s="31"/>
      <c r="BZ45" s="31"/>
      <c r="CA45" s="31"/>
      <c r="CB45" s="31"/>
      <c r="CC45" s="31"/>
      <c r="CD45" s="31"/>
      <c r="CE45" s="31"/>
      <c r="CF45" s="31"/>
      <c r="CG45" s="14"/>
      <c r="CH45" s="14"/>
      <c r="CI45" s="9" t="str">
        <f>IF(AM45=0%,"NS",IF(BK45=100%,"DONE",IF(BW45&gt;100%,"AS",IF(BW45&lt;75%,"BS",IF(AY45&lt;&gt;AA45,"BS",IF(BW45&lt;89.9%,"AR","OS"))))))</f>
        <v>DONE</v>
      </c>
      <c r="CJ45" s="9" t="str">
        <f t="shared" si="24"/>
        <v>NS</v>
      </c>
      <c r="CK45" s="9" t="str">
        <f t="shared" si="24"/>
        <v>NS</v>
      </c>
      <c r="CL45" s="9" t="str">
        <f t="shared" si="24"/>
        <v>NS</v>
      </c>
      <c r="CM45" s="31"/>
      <c r="CN45" s="31"/>
      <c r="CO45" s="31"/>
      <c r="CP45" s="31"/>
      <c r="CQ45" s="31"/>
      <c r="CR45" s="31"/>
      <c r="CS45" s="14"/>
      <c r="CT45" s="14"/>
      <c r="CU45" s="14"/>
      <c r="CV45" s="31"/>
      <c r="CW45" s="31"/>
      <c r="CX45" s="31"/>
      <c r="CY45" s="31"/>
      <c r="CZ45" s="31"/>
      <c r="DA45" s="31"/>
      <c r="DB45" s="31"/>
      <c r="DC45" s="31"/>
      <c r="DD45" s="31"/>
      <c r="DE45" s="33">
        <v>1</v>
      </c>
      <c r="DF45" s="33">
        <v>1</v>
      </c>
      <c r="DG45" s="33">
        <v>1</v>
      </c>
      <c r="DH45" s="33">
        <v>1</v>
      </c>
      <c r="DI45" s="34" t="s">
        <v>1232</v>
      </c>
      <c r="DJ45" s="32">
        <v>45740</v>
      </c>
      <c r="DK45" s="17">
        <f t="shared" si="19"/>
        <v>0</v>
      </c>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4" t="s">
        <v>497</v>
      </c>
      <c r="EM45" s="14"/>
      <c r="EN45" s="14"/>
      <c r="EO45" s="14"/>
      <c r="EP45" s="14"/>
    </row>
    <row r="46" spans="1:146" ht="130.5">
      <c r="A46" s="7" t="s">
        <v>1217</v>
      </c>
      <c r="B46" s="14"/>
      <c r="C46" s="14" t="s">
        <v>1218</v>
      </c>
      <c r="D46" s="407" t="s">
        <v>1233</v>
      </c>
      <c r="E46" s="7">
        <v>2025</v>
      </c>
      <c r="F46" s="7">
        <v>2025</v>
      </c>
      <c r="G46" s="7" t="s">
        <v>472</v>
      </c>
      <c r="H46" s="7" t="s">
        <v>199</v>
      </c>
      <c r="I46" s="7" t="s">
        <v>1229</v>
      </c>
      <c r="J46" s="7" t="str">
        <f t="shared" si="0"/>
        <v>Elnestor</v>
      </c>
      <c r="K46" s="14"/>
      <c r="L46" s="14" t="s">
        <v>1234</v>
      </c>
      <c r="M46" s="8">
        <f t="shared" si="18"/>
        <v>0</v>
      </c>
      <c r="N46" s="9">
        <f t="shared" si="11"/>
        <v>1</v>
      </c>
      <c r="O46" s="14"/>
      <c r="P46" s="14"/>
      <c r="Q46" s="14"/>
      <c r="R46" s="14"/>
      <c r="S46" s="14"/>
      <c r="T46" s="14"/>
      <c r="U46" s="14"/>
      <c r="V46" s="14"/>
      <c r="W46" s="14"/>
      <c r="X46" s="14"/>
      <c r="Y46" s="14"/>
      <c r="Z46" s="14"/>
      <c r="AA46" s="7"/>
      <c r="AB46" s="7"/>
      <c r="AC46" s="31"/>
      <c r="AD46" s="31"/>
      <c r="AE46" s="31"/>
      <c r="AF46" s="31"/>
      <c r="AG46" s="31"/>
      <c r="AH46" s="31"/>
      <c r="AI46" s="31"/>
      <c r="AJ46" s="31"/>
      <c r="AK46" s="14"/>
      <c r="AL46" s="14"/>
      <c r="AM46" s="29"/>
      <c r="AN46" s="31"/>
      <c r="AO46" s="31"/>
      <c r="AP46" s="31"/>
      <c r="AQ46" s="31"/>
      <c r="AR46" s="31"/>
      <c r="AS46" s="31"/>
      <c r="AT46" s="31"/>
      <c r="AU46" s="31"/>
      <c r="AV46" s="31"/>
      <c r="AW46" s="14"/>
      <c r="AX46" s="14"/>
      <c r="AY46" s="7"/>
      <c r="AZ46" s="7"/>
      <c r="BA46" s="31"/>
      <c r="BB46" s="31"/>
      <c r="BC46" s="31"/>
      <c r="BD46" s="31"/>
      <c r="BE46" s="31"/>
      <c r="BF46" s="31"/>
      <c r="BG46" s="31"/>
      <c r="BH46" s="31"/>
      <c r="BI46" s="14"/>
      <c r="BJ46" s="14"/>
      <c r="BK46" s="9"/>
      <c r="BL46" s="30"/>
      <c r="BM46" s="31"/>
      <c r="BN46" s="31"/>
      <c r="BO46" s="31"/>
      <c r="BP46" s="31"/>
      <c r="BQ46" s="31"/>
      <c r="BR46" s="31"/>
      <c r="BS46" s="31"/>
      <c r="BT46" s="31"/>
      <c r="BU46" s="14"/>
      <c r="BV46" s="14"/>
      <c r="BW46" s="9"/>
      <c r="BX46" s="9"/>
      <c r="BY46" s="31"/>
      <c r="BZ46" s="31"/>
      <c r="CA46" s="31"/>
      <c r="CB46" s="31"/>
      <c r="CC46" s="31"/>
      <c r="CD46" s="31"/>
      <c r="CE46" s="31"/>
      <c r="CF46" s="31"/>
      <c r="CG46" s="14"/>
      <c r="CH46" s="14"/>
      <c r="CI46" s="9"/>
      <c r="CJ46" s="9"/>
      <c r="CK46" s="9"/>
      <c r="CL46" s="9"/>
      <c r="CM46" s="31"/>
      <c r="CN46" s="31"/>
      <c r="CO46" s="31"/>
      <c r="CP46" s="31"/>
      <c r="CQ46" s="31"/>
      <c r="CR46" s="31"/>
      <c r="CS46" s="14"/>
      <c r="CT46" s="14"/>
      <c r="CU46" s="14"/>
      <c r="CV46" s="31"/>
      <c r="CW46" s="31"/>
      <c r="CX46" s="31"/>
      <c r="CY46" s="31"/>
      <c r="CZ46" s="31"/>
      <c r="DA46" s="31"/>
      <c r="DB46" s="31"/>
      <c r="DC46" s="31"/>
      <c r="DD46" s="31"/>
      <c r="DE46" s="33">
        <v>1</v>
      </c>
      <c r="DF46" s="33">
        <v>1</v>
      </c>
      <c r="DG46" s="33">
        <v>1</v>
      </c>
      <c r="DH46" s="33">
        <v>1</v>
      </c>
      <c r="DI46" s="109" t="s">
        <v>1235</v>
      </c>
      <c r="DJ46" s="32"/>
      <c r="DK46" s="17"/>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4" t="s">
        <v>497</v>
      </c>
      <c r="EM46" s="14"/>
      <c r="EN46" s="14"/>
      <c r="EO46" s="14"/>
      <c r="EP46" s="14"/>
    </row>
    <row r="47" spans="1:146" ht="29">
      <c r="A47" s="7" t="s">
        <v>1236</v>
      </c>
      <c r="B47" s="14"/>
      <c r="C47" s="14" t="s">
        <v>1237</v>
      </c>
      <c r="D47" s="14" t="s">
        <v>1238</v>
      </c>
      <c r="E47" s="7">
        <v>2025</v>
      </c>
      <c r="F47" s="7">
        <v>2025</v>
      </c>
      <c r="G47" s="7" t="s">
        <v>542</v>
      </c>
      <c r="H47" s="7" t="s">
        <v>189</v>
      </c>
      <c r="I47" s="7" t="s">
        <v>1028</v>
      </c>
      <c r="J47" s="7" t="str">
        <f t="shared" si="0"/>
        <v>Aldo Fernanda</v>
      </c>
      <c r="K47" s="7"/>
      <c r="L47" s="14" t="s">
        <v>1129</v>
      </c>
      <c r="M47" s="8">
        <f t="shared" si="18"/>
        <v>0</v>
      </c>
      <c r="N47" s="9">
        <f t="shared" si="11"/>
        <v>1</v>
      </c>
      <c r="O47" s="14"/>
      <c r="P47" s="14"/>
      <c r="Q47" s="14"/>
      <c r="R47" s="14"/>
      <c r="S47" s="14"/>
      <c r="T47" s="14"/>
      <c r="U47" s="14"/>
      <c r="V47" s="14"/>
      <c r="W47" s="14"/>
      <c r="X47" s="14"/>
      <c r="Y47" s="14"/>
      <c r="Z47" s="14"/>
      <c r="AA47" s="7"/>
      <c r="AB47" s="7"/>
      <c r="AC47" s="31"/>
      <c r="AD47" s="31"/>
      <c r="AE47" s="31"/>
      <c r="AF47" s="31"/>
      <c r="AG47" s="31"/>
      <c r="AH47" s="31"/>
      <c r="AI47" s="31"/>
      <c r="AJ47" s="31"/>
      <c r="AK47" s="14"/>
      <c r="AL47" s="14"/>
      <c r="AM47" s="29"/>
      <c r="AN47" s="31"/>
      <c r="AO47" s="31"/>
      <c r="AP47" s="31"/>
      <c r="AQ47" s="31"/>
      <c r="AR47" s="31"/>
      <c r="AS47" s="31"/>
      <c r="AT47" s="31"/>
      <c r="AU47" s="31"/>
      <c r="AV47" s="31"/>
      <c r="AW47" s="14"/>
      <c r="AX47" s="14"/>
      <c r="AY47" s="7"/>
      <c r="AZ47" s="7"/>
      <c r="BA47" s="31"/>
      <c r="BB47" s="31"/>
      <c r="BC47" s="31"/>
      <c r="BD47" s="31"/>
      <c r="BE47" s="31"/>
      <c r="BF47" s="31"/>
      <c r="BG47" s="31"/>
      <c r="BH47" s="31"/>
      <c r="BI47" s="14"/>
      <c r="BJ47" s="14"/>
      <c r="BK47" s="9"/>
      <c r="BL47" s="30"/>
      <c r="BM47" s="31"/>
      <c r="BN47" s="31"/>
      <c r="BO47" s="31"/>
      <c r="BP47" s="31"/>
      <c r="BQ47" s="31"/>
      <c r="BR47" s="31"/>
      <c r="BS47" s="31"/>
      <c r="BT47" s="31"/>
      <c r="BU47" s="14"/>
      <c r="BV47" s="14"/>
      <c r="BW47" s="9"/>
      <c r="BX47" s="9"/>
      <c r="BY47" s="31"/>
      <c r="BZ47" s="31"/>
      <c r="CA47" s="31"/>
      <c r="CB47" s="31"/>
      <c r="CC47" s="31"/>
      <c r="CD47" s="31"/>
      <c r="CE47" s="31"/>
      <c r="CF47" s="31"/>
      <c r="CG47" s="14"/>
      <c r="CH47" s="14"/>
      <c r="CI47" s="9"/>
      <c r="CJ47" s="9"/>
      <c r="CK47" s="9"/>
      <c r="CL47" s="9"/>
      <c r="CM47" s="31"/>
      <c r="CN47" s="31"/>
      <c r="CO47" s="31"/>
      <c r="CP47" s="31"/>
      <c r="CQ47" s="31"/>
      <c r="CR47" s="31"/>
      <c r="CS47" s="14"/>
      <c r="CT47" s="14"/>
      <c r="CU47" s="14"/>
      <c r="CV47" s="31"/>
      <c r="CW47" s="31"/>
      <c r="CX47" s="31"/>
      <c r="CY47" s="31"/>
      <c r="CZ47" s="31"/>
      <c r="DA47" s="31"/>
      <c r="DB47" s="31"/>
      <c r="DC47" s="31"/>
      <c r="DD47" s="31"/>
      <c r="DE47" s="33">
        <v>1</v>
      </c>
      <c r="DF47" s="33">
        <v>1</v>
      </c>
      <c r="DG47" s="33">
        <v>1</v>
      </c>
      <c r="DH47" s="33">
        <v>1</v>
      </c>
      <c r="DI47" s="34" t="s">
        <v>1583</v>
      </c>
      <c r="DJ47" s="32"/>
      <c r="DK47" s="17">
        <f>W47</f>
        <v>0</v>
      </c>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4" t="s">
        <v>180</v>
      </c>
      <c r="EM47" s="14"/>
      <c r="EN47" s="14"/>
      <c r="EO47" s="14"/>
      <c r="EP47" s="14"/>
    </row>
    <row r="48" spans="1:146" ht="16">
      <c r="A48" s="7" t="s">
        <v>1239</v>
      </c>
      <c r="B48" s="14"/>
      <c r="C48" s="14" t="s">
        <v>1240</v>
      </c>
      <c r="D48" s="14" t="s">
        <v>1241</v>
      </c>
      <c r="E48" s="56">
        <v>2027</v>
      </c>
      <c r="F48" s="56">
        <v>2027</v>
      </c>
      <c r="G48" s="58" t="s">
        <v>1242</v>
      </c>
      <c r="H48" s="56" t="s">
        <v>297</v>
      </c>
      <c r="I48" s="56" t="s">
        <v>1243</v>
      </c>
      <c r="J48" s="7" t="str">
        <f t="shared" si="0"/>
        <v>Yolanda Dini</v>
      </c>
      <c r="K48" s="14"/>
      <c r="L48" s="14" t="s">
        <v>694</v>
      </c>
      <c r="M48" s="8">
        <f t="shared" si="18"/>
        <v>0</v>
      </c>
      <c r="N48" s="9">
        <f t="shared" si="11"/>
        <v>0</v>
      </c>
      <c r="O48" s="14"/>
      <c r="P48" s="14"/>
      <c r="Q48" s="14"/>
      <c r="R48" s="14"/>
      <c r="S48" s="14"/>
      <c r="T48" s="14"/>
      <c r="U48" s="14"/>
      <c r="V48" s="14"/>
      <c r="W48" s="14"/>
      <c r="X48" s="14"/>
      <c r="Y48" s="14"/>
      <c r="Z48" s="14"/>
      <c r="AA48" s="7"/>
      <c r="AB48" s="7"/>
      <c r="AC48" s="31"/>
      <c r="AD48" s="31"/>
      <c r="AE48" s="31"/>
      <c r="AF48" s="31"/>
      <c r="AG48" s="31"/>
      <c r="AH48" s="31"/>
      <c r="AI48" s="31"/>
      <c r="AJ48" s="31"/>
      <c r="AK48" s="14"/>
      <c r="AL48" s="14"/>
      <c r="AM48" s="29"/>
      <c r="AN48" s="31"/>
      <c r="AO48" s="31"/>
      <c r="AP48" s="31"/>
      <c r="AQ48" s="31"/>
      <c r="AR48" s="31"/>
      <c r="AS48" s="31"/>
      <c r="AT48" s="31"/>
      <c r="AU48" s="31"/>
      <c r="AV48" s="31"/>
      <c r="AW48" s="14"/>
      <c r="AX48" s="14"/>
      <c r="AY48" s="7"/>
      <c r="AZ48" s="7"/>
      <c r="BA48" s="31"/>
      <c r="BB48" s="31"/>
      <c r="BC48" s="31"/>
      <c r="BD48" s="31"/>
      <c r="BE48" s="31"/>
      <c r="BF48" s="31"/>
      <c r="BG48" s="31"/>
      <c r="BH48" s="31"/>
      <c r="BI48" s="14"/>
      <c r="BJ48" s="14"/>
      <c r="BK48" s="9"/>
      <c r="BL48" s="30"/>
      <c r="BM48" s="31"/>
      <c r="BN48" s="31"/>
      <c r="BO48" s="31"/>
      <c r="BP48" s="31"/>
      <c r="BQ48" s="31"/>
      <c r="BR48" s="31"/>
      <c r="BS48" s="31"/>
      <c r="BT48" s="31"/>
      <c r="BU48" s="14"/>
      <c r="BV48" s="14"/>
      <c r="BW48" s="9"/>
      <c r="BX48" s="9"/>
      <c r="BY48" s="31"/>
      <c r="BZ48" s="31"/>
      <c r="CA48" s="31"/>
      <c r="CB48" s="31"/>
      <c r="CC48" s="31"/>
      <c r="CD48" s="31"/>
      <c r="CE48" s="31"/>
      <c r="CF48" s="31"/>
      <c r="CG48" s="14"/>
      <c r="CH48" s="14"/>
      <c r="CI48" s="9"/>
      <c r="CJ48" s="9"/>
      <c r="CK48" s="9"/>
      <c r="CL48" s="9"/>
      <c r="CM48" s="31"/>
      <c r="CN48" s="31"/>
      <c r="CO48" s="31"/>
      <c r="CP48" s="31"/>
      <c r="CQ48" s="31"/>
      <c r="CR48" s="31"/>
      <c r="CS48" s="14"/>
      <c r="CT48" s="14"/>
      <c r="CU48" s="14"/>
      <c r="CV48" s="31"/>
      <c r="CW48" s="31"/>
      <c r="CX48" s="31"/>
      <c r="CY48" s="31"/>
      <c r="CZ48" s="31"/>
      <c r="DA48" s="31"/>
      <c r="DB48" s="31"/>
      <c r="DC48" s="31"/>
      <c r="DD48" s="31"/>
      <c r="DE48" s="33"/>
      <c r="DF48" s="33"/>
      <c r="DG48" s="33"/>
      <c r="DH48" s="33"/>
      <c r="DI48" s="34"/>
      <c r="DJ48" s="32"/>
      <c r="DK48" s="17">
        <f>W48</f>
        <v>0</v>
      </c>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4" t="s">
        <v>315</v>
      </c>
      <c r="EM48" s="14"/>
      <c r="EN48" s="14"/>
      <c r="EO48" s="14"/>
      <c r="EP48" s="14"/>
    </row>
    <row r="49" spans="1:177" s="5" customFormat="1" ht="72.5">
      <c r="A49" s="7" t="s">
        <v>1244</v>
      </c>
      <c r="B49" s="14"/>
      <c r="C49" s="14" t="s">
        <v>1245</v>
      </c>
      <c r="D49" s="14" t="s">
        <v>1246</v>
      </c>
      <c r="E49" s="38">
        <v>2026</v>
      </c>
      <c r="F49" s="38">
        <v>2026</v>
      </c>
      <c r="G49" s="37" t="s">
        <v>1128</v>
      </c>
      <c r="H49" s="38" t="s">
        <v>297</v>
      </c>
      <c r="I49" s="38" t="s">
        <v>897</v>
      </c>
      <c r="J49" s="7" t="str">
        <f t="shared" si="0"/>
        <v>Yolanda Dini</v>
      </c>
      <c r="K49" s="14"/>
      <c r="L49" s="14" t="s">
        <v>694</v>
      </c>
      <c r="M49" s="8">
        <f>X49</f>
        <v>46375</v>
      </c>
      <c r="N49" s="9">
        <f>(DE49/100%)*25%+(DF49/100%)*25%+(DG49/100%)*25%+(DH49/100%)*25%</f>
        <v>1</v>
      </c>
      <c r="O49" s="14"/>
      <c r="P49" s="14"/>
      <c r="Q49" s="14"/>
      <c r="R49" s="14"/>
      <c r="S49" s="14"/>
      <c r="T49" s="14"/>
      <c r="U49" s="14"/>
      <c r="V49" s="14"/>
      <c r="W49" s="14"/>
      <c r="X49" s="32">
        <v>46375</v>
      </c>
      <c r="Y49" s="14"/>
      <c r="Z49" s="14"/>
      <c r="AA49" s="7"/>
      <c r="AB49" s="7"/>
      <c r="AC49" s="31"/>
      <c r="AD49" s="31"/>
      <c r="AE49" s="31"/>
      <c r="AF49" s="31"/>
      <c r="AG49" s="31"/>
      <c r="AH49" s="31"/>
      <c r="AI49" s="31"/>
      <c r="AJ49" s="31"/>
      <c r="AK49" s="14"/>
      <c r="AL49" s="14"/>
      <c r="AM49" s="29"/>
      <c r="AN49" s="31"/>
      <c r="AO49" s="31"/>
      <c r="AP49" s="31"/>
      <c r="AQ49" s="31"/>
      <c r="AR49" s="31"/>
      <c r="AS49" s="31"/>
      <c r="AT49" s="31"/>
      <c r="AU49" s="31"/>
      <c r="AV49" s="31"/>
      <c r="AW49" s="14"/>
      <c r="AX49" s="14"/>
      <c r="AY49" s="7"/>
      <c r="AZ49" s="7"/>
      <c r="BA49" s="31"/>
      <c r="BB49" s="31"/>
      <c r="BC49" s="31"/>
      <c r="BD49" s="31"/>
      <c r="BE49" s="31"/>
      <c r="BF49" s="31"/>
      <c r="BG49" s="31"/>
      <c r="BH49" s="31"/>
      <c r="BI49" s="14"/>
      <c r="BJ49" s="14"/>
      <c r="BK49" s="9"/>
      <c r="BL49" s="30"/>
      <c r="BM49" s="31"/>
      <c r="BN49" s="31"/>
      <c r="BO49" s="31"/>
      <c r="BP49" s="31"/>
      <c r="BQ49" s="31"/>
      <c r="BR49" s="31"/>
      <c r="BS49" s="31"/>
      <c r="BT49" s="31"/>
      <c r="BU49" s="14"/>
      <c r="BV49" s="14"/>
      <c r="BW49" s="9"/>
      <c r="BX49" s="9"/>
      <c r="BY49" s="31"/>
      <c r="BZ49" s="31"/>
      <c r="CA49" s="31"/>
      <c r="CB49" s="31"/>
      <c r="CC49" s="31"/>
      <c r="CD49" s="31"/>
      <c r="CE49" s="31"/>
      <c r="CF49" s="31"/>
      <c r="CG49" s="14"/>
      <c r="CH49" s="14"/>
      <c r="CI49" s="9"/>
      <c r="CJ49" s="9"/>
      <c r="CK49" s="9"/>
      <c r="CL49" s="9"/>
      <c r="CM49" s="31"/>
      <c r="CN49" s="31"/>
      <c r="CO49" s="31"/>
      <c r="CP49" s="31"/>
      <c r="CQ49" s="31"/>
      <c r="CR49" s="31"/>
      <c r="CS49" s="14"/>
      <c r="CT49" s="14"/>
      <c r="CU49" s="14"/>
      <c r="CV49" s="31"/>
      <c r="CW49" s="31"/>
      <c r="CX49" s="31"/>
      <c r="CY49" s="31"/>
      <c r="CZ49" s="31"/>
      <c r="DA49" s="31"/>
      <c r="DB49" s="31"/>
      <c r="DC49" s="31"/>
      <c r="DD49" s="31"/>
      <c r="DE49" s="33">
        <v>1</v>
      </c>
      <c r="DF49" s="33">
        <v>1</v>
      </c>
      <c r="DG49" s="33">
        <v>1</v>
      </c>
      <c r="DH49" s="33">
        <v>1</v>
      </c>
      <c r="DI49" s="84" t="s">
        <v>1247</v>
      </c>
      <c r="DJ49" s="32"/>
      <c r="DK49" s="17">
        <f>W49</f>
        <v>0</v>
      </c>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4" t="s">
        <v>315</v>
      </c>
      <c r="EM49" s="14"/>
      <c r="EN49" s="14"/>
      <c r="EO49" s="14"/>
      <c r="EP49" s="14"/>
      <c r="EQ49" s="3"/>
      <c r="ER49" s="3"/>
      <c r="ES49" s="3"/>
      <c r="ET49" s="3"/>
      <c r="EU49" s="3"/>
      <c r="EV49" s="3"/>
      <c r="EW49" s="3"/>
      <c r="EX49" s="3"/>
      <c r="EY49" s="3"/>
    </row>
    <row r="50" spans="1:177" s="13" customFormat="1" ht="144">
      <c r="A50" s="64" t="s">
        <v>1248</v>
      </c>
      <c r="B50" s="48"/>
      <c r="C50" s="65" t="s">
        <v>1249</v>
      </c>
      <c r="D50" s="244" t="s">
        <v>1249</v>
      </c>
      <c r="E50" s="63">
        <v>2026</v>
      </c>
      <c r="F50" s="63">
        <v>2026</v>
      </c>
      <c r="G50" s="456"/>
      <c r="H50" s="237" t="s">
        <v>1607</v>
      </c>
      <c r="I50" s="316"/>
      <c r="J50" s="48" t="s">
        <v>610</v>
      </c>
      <c r="K50" s="294"/>
      <c r="L50" s="156" t="s">
        <v>694</v>
      </c>
      <c r="M50" s="451">
        <f>X50</f>
        <v>46387</v>
      </c>
      <c r="N50" s="452">
        <f t="shared" si="11"/>
        <v>0</v>
      </c>
      <c r="O50" s="291" t="s">
        <v>493</v>
      </c>
      <c r="P50" s="291" t="s">
        <v>494</v>
      </c>
      <c r="Q50" s="294" t="s">
        <v>213</v>
      </c>
      <c r="R50" s="291" t="s">
        <v>495</v>
      </c>
      <c r="S50" s="294" t="str">
        <f>BZ50</f>
        <v>Proses RBT-RBB</v>
      </c>
      <c r="T50" s="291" t="str">
        <f>IF(V50=0%,"Not Started",IF(V50&lt;100%,"On Progress",IF(V50=100%,"DONE")))</f>
        <v>On Progress</v>
      </c>
      <c r="U50" s="291" t="str">
        <f>FN50</f>
        <v>Elnestor</v>
      </c>
      <c r="V50" s="295">
        <f>CL50</f>
        <v>0.03</v>
      </c>
      <c r="W50" s="296"/>
      <c r="X50" s="32">
        <v>46387</v>
      </c>
      <c r="Y50" s="363"/>
      <c r="Z50" s="294" t="s">
        <v>179</v>
      </c>
      <c r="AA50" s="350">
        <v>45931</v>
      </c>
      <c r="AB50" s="350">
        <v>46022</v>
      </c>
      <c r="AC50" s="350">
        <v>46036</v>
      </c>
      <c r="AD50" s="350">
        <v>46052</v>
      </c>
      <c r="AE50" s="350">
        <v>46023</v>
      </c>
      <c r="AF50" s="350">
        <v>46036</v>
      </c>
      <c r="AG50" s="245"/>
      <c r="AH50" s="245"/>
      <c r="AI50" s="350">
        <v>46054</v>
      </c>
      <c r="AJ50" s="350">
        <v>46081</v>
      </c>
      <c r="AK50" s="350">
        <v>46082</v>
      </c>
      <c r="AL50" s="350">
        <v>46264</v>
      </c>
      <c r="AM50" s="350">
        <v>46266</v>
      </c>
      <c r="AN50" s="350">
        <v>46309</v>
      </c>
      <c r="AO50" s="350">
        <v>46310</v>
      </c>
      <c r="AP50" s="350">
        <v>46356</v>
      </c>
      <c r="AQ50" s="350">
        <v>46357</v>
      </c>
      <c r="AR50" s="350">
        <v>46387</v>
      </c>
      <c r="AS50" s="291" t="str">
        <f t="shared" ref="AS50:BD50" si="25">IF(BE50=0%,"Not Started",IF(BE50&lt;5%,"Proses RBT-RBB",IF(BE50=5%,"Selesai RBT-RBB",IF(BE50&lt;10%,"Proses RBT-RBL",IF(BE50=10%,"Selesai RBT-RBL",IF(BE50&lt;15%,"Proses RBT-RBTD",IF(BE50=15%,"Selesai RBT-RBTD",IF(BE50&lt;20%,"Proses RPP",IF(BE50=20%,"Selesai RPP",IF(BE50&lt;25%,"Proses KAK",IF(BE50=25%,"Selesai KAK",IF(BE50&lt;30%,"Proses Pengadaan",IF(BE50=30%,"Selesai Pengadaan",IF(BE50&lt;45%,"Proses Desain",IF(BE50=45%,"Selesai Desain",IF(BE50&lt;80%,"Proses Pengembangan",IF(BE50=80%,"Selesai Pengembangan",IF(BE50&lt;87.5%,"Proses SIT",IF(BE50=87.5%,"Selesai SIT",IF(BE50&lt;95%,"Proses UAT",IF(BE50=95%,"Selesai UAT",IF(BE50&lt;100%,"Proses Implementasi","Selesai Implementasi"))))))))))))))))))))))</f>
        <v>Not Started</v>
      </c>
      <c r="AT50" s="291" t="str">
        <f t="shared" si="25"/>
        <v>Not Started</v>
      </c>
      <c r="AU50" s="291" t="str">
        <f t="shared" si="25"/>
        <v>Not Started</v>
      </c>
      <c r="AV50" s="291" t="str">
        <f t="shared" si="25"/>
        <v>Not Started</v>
      </c>
      <c r="AW50" s="291" t="str">
        <f t="shared" si="25"/>
        <v>Not Started</v>
      </c>
      <c r="AX50" s="291" t="str">
        <f t="shared" si="25"/>
        <v>Not Started</v>
      </c>
      <c r="AY50" s="291" t="str">
        <f t="shared" si="25"/>
        <v>Not Started</v>
      </c>
      <c r="AZ50" s="291" t="str">
        <f t="shared" si="25"/>
        <v>Not Started</v>
      </c>
      <c r="BA50" s="291" t="str">
        <f t="shared" si="25"/>
        <v>Not Started</v>
      </c>
      <c r="BB50" s="291" t="str">
        <f t="shared" si="25"/>
        <v>Proses RBT-RBB</v>
      </c>
      <c r="BC50" s="291" t="str">
        <f t="shared" si="25"/>
        <v>Selesai RBT-RBL</v>
      </c>
      <c r="BD50" s="291" t="str">
        <f t="shared" si="25"/>
        <v>Selesai RBT-RBTD</v>
      </c>
      <c r="BE50" s="302">
        <v>0</v>
      </c>
      <c r="BF50" s="302">
        <v>0</v>
      </c>
      <c r="BG50" s="302">
        <v>0</v>
      </c>
      <c r="BH50" s="302">
        <v>0</v>
      </c>
      <c r="BI50" s="302">
        <v>0</v>
      </c>
      <c r="BJ50" s="302">
        <v>0</v>
      </c>
      <c r="BK50" s="302">
        <v>0</v>
      </c>
      <c r="BL50" s="302">
        <v>0</v>
      </c>
      <c r="BM50" s="302">
        <v>0</v>
      </c>
      <c r="BN50" s="302">
        <v>0.03</v>
      </c>
      <c r="BO50" s="302">
        <v>0.1</v>
      </c>
      <c r="BP50" s="302">
        <v>0.15</v>
      </c>
      <c r="BQ50" s="291" t="str">
        <f t="shared" ref="BQ50:CB50" si="26">IF(CC50=0%,"Not Started",IF(CC50&lt;5%,"Proses RBT-RBB",IF(CC50=5%,"Selesai RBT-RBB",IF(CC50&lt;10%,"Proses RBT-RBL",IF(CC50=10%,"Selesai RBT-RBL",IF(CC50&lt;15%,"Proses RBT-RBTD",IF(CC50=15%,"Selesai RBT-RBTD",IF(CC50&lt;20%,"Proses RPP",IF(CC50=20%,"Selesai RPP",IF(CC50&lt;25%,"Proses KAK",IF(CC50=25%,"Selesai KAK",IF(CC50&lt;30%,"Proses Pengadaan",IF(CC50=30%,"Selesai Pengadaan",IF(CC50&lt;45%,"Proses Desain",IF(CC50=45%,"Selesai Desain",IF(CC50&lt;80%,"Proses Pengembangan",IF(CC50=80%,"Selesai Pengembangan",IF(CC50&lt;87.5%,"Proses SIT",IF(CC50=87.5%,"Selesai SIT",IF(CC50&lt;95%,"Proses UAT",IF(CC50=95%,"Selesai UAT",IF(CC50&lt;100%,"Proses Implementasi","Selesai Implementasi"))))))))))))))))))))))</f>
        <v>Not Started</v>
      </c>
      <c r="BR50" s="291" t="str">
        <f t="shared" si="26"/>
        <v>Not Started</v>
      </c>
      <c r="BS50" s="291" t="str">
        <f t="shared" si="26"/>
        <v>Not Started</v>
      </c>
      <c r="BT50" s="291" t="str">
        <f t="shared" si="26"/>
        <v>Not Started</v>
      </c>
      <c r="BU50" s="291" t="str">
        <f t="shared" si="26"/>
        <v>Not Started</v>
      </c>
      <c r="BV50" s="291" t="str">
        <f t="shared" si="26"/>
        <v>Not Started</v>
      </c>
      <c r="BW50" s="291" t="str">
        <f t="shared" si="26"/>
        <v>Not Started</v>
      </c>
      <c r="BX50" s="291" t="str">
        <f t="shared" si="26"/>
        <v>Not Started</v>
      </c>
      <c r="BY50" s="291" t="str">
        <f t="shared" si="26"/>
        <v>Not Started</v>
      </c>
      <c r="BZ50" s="291" t="str">
        <f t="shared" si="26"/>
        <v>Proses RBT-RBB</v>
      </c>
      <c r="CA50" s="291" t="str">
        <f t="shared" si="26"/>
        <v>Proses RBT-RBB</v>
      </c>
      <c r="CB50" s="291" t="str">
        <f t="shared" si="26"/>
        <v>Proses RBT-RBB</v>
      </c>
      <c r="CC50" s="303"/>
      <c r="CD50" s="303"/>
      <c r="CE50" s="303"/>
      <c r="CF50" s="303"/>
      <c r="CG50" s="303"/>
      <c r="CH50" s="303"/>
      <c r="CI50" s="303"/>
      <c r="CJ50" s="303"/>
      <c r="CK50" s="303"/>
      <c r="CL50" s="303">
        <f>(($DY50/100%)*15%)+(($DZ50/100%)*5%)+(($EA50/100%)*5%)+(($EB50/100%)*5%)+(($EC50/100%)*15%)+(($ED50/100%)*35%)+(($EE50/100%)*7.5%)+(($EF50/100%)*7.5%)+(($EG50/100%)*5%)</f>
        <v>0.03</v>
      </c>
      <c r="CM50" s="303">
        <f>(($DY50/100%)*15%)+(($DZ50/100%)*5%)+(($EA50/100%)*5%)+(($EB50/100%)*5%)+(($EC50/100%)*15%)+(($ED50/100%)*35%)+(($EE50/100%)*7.5%)+(($EF50/100%)*7.5%)+(($EG50/100%)*5%)</f>
        <v>0.03</v>
      </c>
      <c r="CN50" s="303">
        <f>(($DY50/100%)*15%)+(($DZ50/100%)*5%)+(($EA50/100%)*5%)+(($EB50/100%)*5%)+(($EC50/100%)*15%)+(($ED50/100%)*35%)+(($EE50/100%)*7.5%)+(($EF50/100%)*7.5%)+(($EG50/100%)*5%)</f>
        <v>0.03</v>
      </c>
      <c r="CO50" s="305">
        <f t="shared" ref="CO50:CX50" si="27">IF(BE50=0%, 100%, (CC50/BE50))</f>
        <v>1</v>
      </c>
      <c r="CP50" s="305">
        <f t="shared" si="27"/>
        <v>1</v>
      </c>
      <c r="CQ50" s="305">
        <f t="shared" si="27"/>
        <v>1</v>
      </c>
      <c r="CR50" s="305">
        <f t="shared" si="27"/>
        <v>1</v>
      </c>
      <c r="CS50" s="305">
        <f t="shared" si="27"/>
        <v>1</v>
      </c>
      <c r="CT50" s="305">
        <f t="shared" si="27"/>
        <v>1</v>
      </c>
      <c r="CU50" s="305">
        <f t="shared" si="27"/>
        <v>1</v>
      </c>
      <c r="CV50" s="305">
        <f t="shared" si="27"/>
        <v>1</v>
      </c>
      <c r="CW50" s="305">
        <f t="shared" si="27"/>
        <v>1</v>
      </c>
      <c r="CX50" s="305">
        <f t="shared" si="27"/>
        <v>1</v>
      </c>
      <c r="CY50" s="305"/>
      <c r="CZ50" s="305"/>
      <c r="DA50" s="305" t="str">
        <f t="shared" ref="DA50:DL50" si="28">IF(BE50=0%,"NS",IF(CC50=100%,"DONE",IF(CO50&gt;100%,"AS",IF(CO50&lt;75%,"BS",IF(CO50&lt;89.9%,"AR","OS")))))</f>
        <v>NS</v>
      </c>
      <c r="DB50" s="305" t="str">
        <f t="shared" si="28"/>
        <v>NS</v>
      </c>
      <c r="DC50" s="305" t="str">
        <f t="shared" si="28"/>
        <v>NS</v>
      </c>
      <c r="DD50" s="305" t="str">
        <f t="shared" si="28"/>
        <v>NS</v>
      </c>
      <c r="DE50" s="305"/>
      <c r="DF50" s="305"/>
      <c r="DG50" s="305"/>
      <c r="DH50" s="305"/>
      <c r="DI50" s="305" t="str">
        <f t="shared" si="28"/>
        <v>NS</v>
      </c>
      <c r="DJ50" s="305" t="str">
        <f t="shared" si="28"/>
        <v>OS</v>
      </c>
      <c r="DK50" s="305" t="str">
        <f t="shared" si="28"/>
        <v>BS</v>
      </c>
      <c r="DL50" s="305" t="str">
        <f t="shared" si="28"/>
        <v>BS</v>
      </c>
      <c r="DM50" s="305">
        <f t="shared" ref="DM50:DX50" si="29">CC50/$BP50</f>
        <v>0</v>
      </c>
      <c r="DN50" s="305">
        <f t="shared" si="29"/>
        <v>0</v>
      </c>
      <c r="DO50" s="305">
        <f t="shared" si="29"/>
        <v>0</v>
      </c>
      <c r="DP50" s="305">
        <f t="shared" si="29"/>
        <v>0</v>
      </c>
      <c r="DQ50" s="305">
        <f t="shared" si="29"/>
        <v>0</v>
      </c>
      <c r="DR50" s="305">
        <f t="shared" si="29"/>
        <v>0</v>
      </c>
      <c r="DS50" s="305">
        <f t="shared" si="29"/>
        <v>0</v>
      </c>
      <c r="DT50" s="305">
        <f t="shared" si="29"/>
        <v>0</v>
      </c>
      <c r="DU50" s="305">
        <f t="shared" si="29"/>
        <v>0</v>
      </c>
      <c r="DV50" s="305">
        <f t="shared" si="29"/>
        <v>0.2</v>
      </c>
      <c r="DW50" s="305">
        <f t="shared" si="29"/>
        <v>0.2</v>
      </c>
      <c r="DX50" s="305">
        <f t="shared" si="29"/>
        <v>0.2</v>
      </c>
      <c r="DY50" s="181">
        <v>0.2</v>
      </c>
      <c r="DZ50" s="181"/>
      <c r="EA50" s="181"/>
      <c r="EB50" s="181"/>
      <c r="EC50" s="181"/>
      <c r="ED50" s="181"/>
      <c r="EE50" s="181"/>
      <c r="EF50" s="181"/>
      <c r="EG50" s="181"/>
      <c r="EH50" s="57"/>
      <c r="EI50" s="453"/>
      <c r="EJ50" s="297">
        <f>AR50</f>
        <v>46387</v>
      </c>
      <c r="EK50" s="454"/>
      <c r="EL50" s="454"/>
      <c r="EM50" s="454"/>
      <c r="EN50" s="57"/>
      <c r="EO50" s="57"/>
      <c r="EP50" s="455"/>
      <c r="EQ50" s="47"/>
      <c r="ER50" s="61"/>
      <c r="ES50" s="61"/>
      <c r="ET50" s="61"/>
      <c r="EU50" s="61"/>
      <c r="EV50" s="61"/>
      <c r="EW50" s="61"/>
      <c r="EX50" s="61"/>
      <c r="EY50" s="61"/>
      <c r="EZ50" s="61"/>
      <c r="FA50" s="61"/>
      <c r="FB50" s="61"/>
      <c r="FC50" s="61"/>
      <c r="FD50" s="61"/>
      <c r="FE50" s="61"/>
      <c r="FF50" s="61"/>
      <c r="FG50" s="47"/>
      <c r="FH50" s="61"/>
      <c r="FI50" s="61"/>
      <c r="FJ50" s="61"/>
      <c r="FK50" s="61"/>
      <c r="FL50" s="71"/>
      <c r="FM50" s="172" t="s">
        <v>219</v>
      </c>
      <c r="FN50" s="172" t="s">
        <v>497</v>
      </c>
      <c r="FO50" s="172" t="s">
        <v>221</v>
      </c>
      <c r="FP50" s="172" t="s">
        <v>222</v>
      </c>
      <c r="FQ50" s="172" t="s">
        <v>450</v>
      </c>
      <c r="FR50" s="50"/>
      <c r="FS50" s="50"/>
      <c r="FT50" s="40"/>
      <c r="FU50" s="48"/>
    </row>
    <row r="51" spans="1:177" ht="16">
      <c r="A51" s="64" t="s">
        <v>1250</v>
      </c>
      <c r="B51" s="64"/>
      <c r="C51" s="267" t="s">
        <v>1251</v>
      </c>
      <c r="D51" s="408" t="s">
        <v>1252</v>
      </c>
      <c r="E51" s="64">
        <v>2026</v>
      </c>
      <c r="F51" s="64">
        <v>2026</v>
      </c>
      <c r="G51" s="64"/>
      <c r="H51" s="63" t="s">
        <v>189</v>
      </c>
      <c r="I51" s="63"/>
      <c r="J51" s="63" t="s">
        <v>180</v>
      </c>
      <c r="K51" s="63"/>
      <c r="L51" s="14" t="s">
        <v>694</v>
      </c>
      <c r="M51" s="8">
        <f>X51</f>
        <v>46387</v>
      </c>
      <c r="N51" s="9">
        <f t="shared" si="11"/>
        <v>0</v>
      </c>
      <c r="O51" s="14"/>
      <c r="P51" s="14"/>
      <c r="Q51" s="14"/>
      <c r="R51" s="14"/>
      <c r="S51" s="14"/>
      <c r="T51" s="14"/>
      <c r="U51" s="14"/>
      <c r="V51" s="14"/>
      <c r="W51" s="14"/>
      <c r="X51" s="32">
        <v>46387</v>
      </c>
      <c r="Y51" s="14"/>
      <c r="Z51" s="14"/>
      <c r="AA51" s="14"/>
      <c r="AB51" s="31"/>
      <c r="AC51" s="31"/>
      <c r="AD51" s="31"/>
      <c r="AE51" s="31"/>
      <c r="AF51" s="31"/>
      <c r="AG51" s="31"/>
      <c r="AH51" s="31"/>
      <c r="AI51" s="31"/>
      <c r="AJ51" s="31"/>
      <c r="AK51" s="14"/>
      <c r="AL51" s="14"/>
      <c r="AM51" s="14"/>
      <c r="AN51" s="31"/>
      <c r="AO51" s="31"/>
      <c r="AP51" s="31"/>
      <c r="AQ51" s="31"/>
      <c r="AR51" s="31"/>
      <c r="AS51" s="31"/>
      <c r="AT51" s="31"/>
      <c r="AU51" s="31"/>
      <c r="AV51" s="31"/>
      <c r="AW51" s="14"/>
      <c r="AX51" s="14"/>
      <c r="AY51" s="14"/>
      <c r="AZ51" s="31"/>
      <c r="BA51" s="31"/>
      <c r="BB51" s="31"/>
      <c r="BC51" s="31"/>
      <c r="BD51" s="31"/>
      <c r="BE51" s="31"/>
      <c r="BF51" s="31"/>
      <c r="BG51" s="31"/>
      <c r="BH51" s="31"/>
      <c r="BI51" s="14"/>
      <c r="BJ51" s="14"/>
      <c r="BK51" s="14"/>
      <c r="BL51" s="31"/>
      <c r="BM51" s="31"/>
      <c r="BN51" s="31"/>
      <c r="BO51" s="31"/>
      <c r="BP51" s="31"/>
      <c r="BQ51" s="31"/>
      <c r="BR51" s="31"/>
      <c r="BS51" s="31"/>
      <c r="BT51" s="31"/>
      <c r="BU51" s="14"/>
      <c r="BV51" s="14"/>
      <c r="BW51" s="14"/>
      <c r="BX51" s="31"/>
      <c r="BY51" s="31"/>
      <c r="BZ51" s="31"/>
      <c r="CA51" s="31"/>
      <c r="CB51" s="31"/>
      <c r="CC51" s="31"/>
      <c r="CD51" s="31"/>
      <c r="CE51" s="31"/>
      <c r="CF51" s="31"/>
      <c r="CG51" s="14"/>
      <c r="CH51" s="14"/>
      <c r="CI51" s="14"/>
      <c r="CJ51" s="31"/>
      <c r="CK51" s="31"/>
      <c r="CL51" s="31"/>
      <c r="CM51" s="31"/>
      <c r="CN51" s="31"/>
      <c r="CO51" s="31"/>
      <c r="CP51" s="31"/>
      <c r="CQ51" s="31"/>
      <c r="CR51" s="31"/>
      <c r="CS51" s="14"/>
      <c r="CT51" s="14"/>
      <c r="CU51" s="14"/>
      <c r="CV51" s="31"/>
      <c r="CW51" s="31"/>
      <c r="CX51" s="31"/>
      <c r="CY51" s="31"/>
      <c r="CZ51" s="31"/>
      <c r="DA51" s="31"/>
      <c r="DB51" s="31"/>
      <c r="DC51" s="31"/>
      <c r="DD51" s="31"/>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4"/>
      <c r="EM51" s="14"/>
      <c r="EN51" s="14"/>
      <c r="EO51" s="14"/>
      <c r="EP51" s="14"/>
    </row>
    <row r="52" spans="1:177" ht="16">
      <c r="A52" s="64" t="s">
        <v>1253</v>
      </c>
      <c r="B52" s="64"/>
      <c r="C52" s="267" t="s">
        <v>1254</v>
      </c>
      <c r="D52" s="408" t="s">
        <v>1254</v>
      </c>
      <c r="E52" s="64">
        <v>2026</v>
      </c>
      <c r="F52" s="64">
        <v>2027</v>
      </c>
      <c r="G52" s="64"/>
      <c r="H52" s="323" t="s">
        <v>1255</v>
      </c>
      <c r="I52" s="165"/>
      <c r="J52" s="48" t="s">
        <v>610</v>
      </c>
      <c r="K52" s="14"/>
      <c r="L52" s="14" t="s">
        <v>694</v>
      </c>
      <c r="M52" s="8">
        <f>X52</f>
        <v>46660</v>
      </c>
      <c r="N52" s="9">
        <f t="shared" si="11"/>
        <v>0</v>
      </c>
      <c r="O52" s="14"/>
      <c r="P52" s="14"/>
      <c r="Q52" s="14"/>
      <c r="R52" s="14"/>
      <c r="S52" s="14"/>
      <c r="T52" s="14"/>
      <c r="U52" s="14"/>
      <c r="V52" s="14"/>
      <c r="W52" s="14"/>
      <c r="X52" s="32">
        <v>46660</v>
      </c>
      <c r="Y52" s="14"/>
      <c r="Z52" s="14"/>
      <c r="AA52" s="14"/>
      <c r="AB52" s="31"/>
      <c r="AC52" s="31"/>
      <c r="AD52" s="31"/>
      <c r="AE52" s="31"/>
      <c r="AF52" s="31"/>
      <c r="AG52" s="31"/>
      <c r="AH52" s="31"/>
      <c r="AI52" s="31"/>
      <c r="AJ52" s="31"/>
      <c r="AK52" s="14"/>
      <c r="AL52" s="14"/>
      <c r="AM52" s="14"/>
      <c r="AN52" s="31"/>
      <c r="AO52" s="31"/>
      <c r="AP52" s="31"/>
      <c r="AQ52" s="31"/>
      <c r="AR52" s="31"/>
      <c r="AS52" s="31"/>
      <c r="AT52" s="31"/>
      <c r="AU52" s="31"/>
      <c r="AV52" s="31"/>
      <c r="AW52" s="14"/>
      <c r="AX52" s="14"/>
      <c r="AY52" s="14"/>
      <c r="AZ52" s="31"/>
      <c r="BA52" s="31"/>
      <c r="BB52" s="31"/>
      <c r="BC52" s="31"/>
      <c r="BD52" s="31"/>
      <c r="BE52" s="31"/>
      <c r="BF52" s="31"/>
      <c r="BG52" s="31"/>
      <c r="BH52" s="31"/>
      <c r="BI52" s="14"/>
      <c r="BJ52" s="14"/>
      <c r="BK52" s="14"/>
      <c r="BL52" s="31"/>
      <c r="BM52" s="31"/>
      <c r="BN52" s="31"/>
      <c r="BO52" s="31"/>
      <c r="BP52" s="31"/>
      <c r="BQ52" s="31"/>
      <c r="BR52" s="31"/>
      <c r="BS52" s="31"/>
      <c r="BT52" s="31"/>
      <c r="BU52" s="14"/>
      <c r="BV52" s="14"/>
      <c r="BW52" s="14"/>
      <c r="BX52" s="31"/>
      <c r="BY52" s="31"/>
      <c r="BZ52" s="31"/>
      <c r="CA52" s="31"/>
      <c r="CB52" s="31"/>
      <c r="CC52" s="31"/>
      <c r="CD52" s="31"/>
      <c r="CE52" s="31"/>
      <c r="CF52" s="31"/>
      <c r="CG52" s="14"/>
      <c r="CH52" s="14"/>
      <c r="CI52" s="14"/>
      <c r="CJ52" s="31"/>
      <c r="CK52" s="31"/>
      <c r="CL52" s="31"/>
      <c r="CM52" s="31"/>
      <c r="CN52" s="31"/>
      <c r="CO52" s="31"/>
      <c r="CP52" s="31"/>
      <c r="CQ52" s="31"/>
      <c r="CR52" s="31"/>
      <c r="CS52" s="14"/>
      <c r="CT52" s="14"/>
      <c r="CU52" s="14"/>
      <c r="CV52" s="31"/>
      <c r="CW52" s="31"/>
      <c r="CX52" s="31"/>
      <c r="CY52" s="31"/>
      <c r="CZ52" s="31"/>
      <c r="DA52" s="31"/>
      <c r="DB52" s="31"/>
      <c r="DC52" s="31"/>
      <c r="DD52" s="31"/>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4"/>
      <c r="EM52" s="14"/>
      <c r="EN52" s="14"/>
      <c r="EO52" s="14"/>
      <c r="EP52" s="14"/>
    </row>
    <row r="54" spans="1:177">
      <c r="D54" s="5">
        <f>151+48</f>
        <v>199</v>
      </c>
    </row>
    <row r="240" spans="28:155" s="5" customFormat="1" ht="28.5" customHeight="1">
      <c r="AB240" s="15"/>
      <c r="AC240" s="15"/>
      <c r="AD240" s="15"/>
      <c r="AE240" s="15"/>
      <c r="AF240" s="15"/>
      <c r="AG240" s="15"/>
      <c r="AH240" s="15"/>
      <c r="AI240" s="15"/>
      <c r="AJ240" s="15"/>
      <c r="AN240" s="15"/>
      <c r="AO240" s="15"/>
      <c r="AP240" s="15"/>
      <c r="AQ240" s="15"/>
      <c r="AR240" s="15"/>
      <c r="AS240" s="15"/>
      <c r="AT240" s="15"/>
      <c r="AU240" s="15"/>
      <c r="AV240" s="15"/>
      <c r="AZ240" s="15"/>
      <c r="BA240" s="15"/>
      <c r="BB240" s="15"/>
      <c r="BC240" s="15"/>
      <c r="BD240" s="15"/>
      <c r="BE240" s="15"/>
      <c r="BF240" s="15"/>
      <c r="BG240" s="15"/>
      <c r="BH240" s="15"/>
      <c r="BL240" s="15"/>
      <c r="BM240" s="15"/>
      <c r="BN240" s="15"/>
      <c r="BO240" s="15"/>
      <c r="BP240" s="15"/>
      <c r="BQ240" s="15"/>
      <c r="BR240" s="15"/>
      <c r="BS240" s="15"/>
      <c r="BT240" s="15"/>
      <c r="BX240" s="15"/>
      <c r="BY240" s="15"/>
      <c r="BZ240" s="15"/>
      <c r="CA240" s="15"/>
      <c r="CB240" s="15"/>
      <c r="CC240" s="15"/>
      <c r="CD240" s="15"/>
      <c r="CE240" s="15"/>
      <c r="CF240" s="15"/>
      <c r="CJ240" s="15"/>
      <c r="CK240" s="15"/>
      <c r="CL240" s="15"/>
      <c r="CM240" s="15"/>
      <c r="CN240" s="15"/>
      <c r="CO240" s="15"/>
      <c r="CP240" s="15"/>
      <c r="CQ240" s="15"/>
      <c r="CR240" s="15"/>
      <c r="CV240" s="15"/>
      <c r="CW240" s="15"/>
      <c r="CX240" s="15"/>
      <c r="CY240" s="15"/>
      <c r="CZ240" s="15"/>
      <c r="DA240" s="15"/>
      <c r="DB240" s="15"/>
      <c r="DC240" s="15"/>
      <c r="DD240" s="15"/>
      <c r="EQ240" s="3"/>
      <c r="ER240" s="3"/>
      <c r="ES240" s="3"/>
      <c r="ET240" s="3"/>
      <c r="EU240" s="3"/>
      <c r="EV240" s="3"/>
      <c r="EW240" s="3"/>
      <c r="EX240" s="3"/>
      <c r="EY240" s="3"/>
    </row>
  </sheetData>
  <sheetProtection sort="0" autoFilter="0"/>
  <protectedRanges>
    <protectedRange algorithmName="SHA-512" hashValue="oq0iD7wGJiPobGeYTamab3BEQtEf6as3rTpzFM2YMGYICJ/jmhb0/GjfSWkfrGwejatbEVKuKh+Lq1Tt4ERskw==" saltValue="pgUEQa+/onRm6FBK4hSIgQ==" spinCount="100000" sqref="Y5:AJ5 AC8:AD9 Z3:AB4 Z29:AA29 Z6:AB25 AY3:AY25 AB26:AB29 AB38 AA41:AB41 AY29:AY34 Z30:AB34 AB35:AB36 AY37 AY44:AY46 Z40:AB40 AY40:AY41 AA44:AB46 Z37:AB37" name="deskripsi target_1"/>
    <protectedRange algorithmName="SHA-512" hashValue="oq0iD7wGJiPobGeYTamab3BEQtEf6as3rTpzFM2YMGYICJ/jmhb0/GjfSWkfrGwejatbEVKuKh+Lq1Tt4ERskw==" saltValue="pgUEQa+/onRm6FBK4hSIgQ==" spinCount="100000" sqref="DL42:EJ43" name="Progress" securityDescriptor="O:WDG:WDD:(A;;CC;;;S-1-5-21-1706527325-4252852007-93515882-109103)(A;;CC;;;S-1-5-21-1706527325-4252852007-93515882-99536)(A;;CC;;;S-1-5-21-1706527325-4252852007-93515882-104912)(A;;CC;;;S-1-5-21-1706527325-4252852007-93515882-114773)(A;;CC;;;S-1-5-21-1706527325-4252852007-93515882-107699)(A;;CC;;;S-1-5-21-1706527325-4252852007-93515882-114724)(A;;CC;;;S-1-5-21-1706527325-4252852007-93515882-86635)"/>
    <protectedRange algorithmName="SHA-512" hashValue="oq0iD7wGJiPobGeYTamab3BEQtEf6as3rTpzFM2YMGYICJ/jmhb0/GjfSWkfrGwejatbEVKuKh+Lq1Tt4ERskw==" saltValue="pgUEQa+/onRm6FBK4hSIgQ==" spinCount="100000" sqref="FM50:FQ50" name="Progress_1_10" securityDescriptor="O:WDG:WDD:(A;;CC;;;S-1-5-21-1706527325-4252852007-93515882-109103)(A;;CC;;;S-1-5-21-1706527325-4252852007-93515882-99536)(A;;CC;;;S-1-5-21-1706527325-4252852007-93515882-104912)(A;;CC;;;S-1-5-21-1706527325-4252852007-93515882-114773)(A;;CC;;;S-1-5-21-1706527325-4252852007-93515882-107699)(A;;CC;;;S-1-5-21-1706527325-4252852007-93515882-114724)(A;;CC;;;S-1-5-21-1706527325-4252852007-93515882-86635)"/>
  </protectedRanges>
  <autoFilter ref="A2:FU52" xr:uid="{17F61DC2-DC5D-47E0-BDAD-1998D3AB5ADE}"/>
  <mergeCells count="14">
    <mergeCell ref="DM1:DX1"/>
    <mergeCell ref="DY1:EJ1"/>
    <mergeCell ref="AW1:BH1"/>
    <mergeCell ref="BI1:BT1"/>
    <mergeCell ref="BU1:CF1"/>
    <mergeCell ref="CG1:CR1"/>
    <mergeCell ref="CS1:DD1"/>
    <mergeCell ref="DE1:DH1"/>
    <mergeCell ref="AK1:AV1"/>
    <mergeCell ref="Q1:R1"/>
    <mergeCell ref="S1:T1"/>
    <mergeCell ref="U1:V1"/>
    <mergeCell ref="W1:X1"/>
    <mergeCell ref="Y1:AJ1"/>
  </mergeCells>
  <conditionalFormatting sqref="O42:O43">
    <cfRule type="cellIs" dxfId="4" priority="2" operator="lessThan">
      <formula>#REF!</formula>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20268-9709-4E87-B759-9B2C290B1E12}">
  <sheetPr>
    <tabColor rgb="FFFFC000"/>
  </sheetPr>
  <dimension ref="A1:HE13"/>
  <sheetViews>
    <sheetView showGridLines="0" zoomScale="70" zoomScaleNormal="70" workbookViewId="0">
      <pane xSplit="4" ySplit="2" topLeftCell="U4" activePane="bottomRight" state="frozen"/>
      <selection pane="topRight" activeCell="G1" sqref="G1"/>
      <selection pane="bottomLeft" activeCell="A3" sqref="A3"/>
      <selection pane="bottomRight" activeCell="D4" sqref="D4"/>
    </sheetView>
  </sheetViews>
  <sheetFormatPr defaultColWidth="8.453125" defaultRowHeight="15" customHeight="1"/>
  <cols>
    <col min="1" max="1" width="8.54296875" style="1" customWidth="1"/>
    <col min="2" max="2" width="15.453125" style="1" customWidth="1"/>
    <col min="3" max="3" width="20.453125" style="5" customWidth="1"/>
    <col min="4" max="4" width="19.54296875" style="3" customWidth="1"/>
    <col min="5" max="11" width="17" style="3" customWidth="1"/>
    <col min="12" max="15" width="17.453125" style="3" customWidth="1"/>
    <col min="16" max="16" width="14.453125" style="1" customWidth="1"/>
    <col min="17" max="17" width="16.453125" style="1" customWidth="1"/>
    <col min="18" max="18" width="15.453125" style="1" bestFit="1" customWidth="1"/>
    <col min="19" max="19" width="14" style="1" bestFit="1" customWidth="1"/>
    <col min="20" max="20" width="15.453125" style="1" customWidth="1"/>
    <col min="21" max="21" width="16.54296875" style="1" customWidth="1"/>
    <col min="22" max="22" width="15.453125" style="1" customWidth="1"/>
    <col min="23" max="23" width="14" style="1" customWidth="1"/>
    <col min="24" max="24" width="17.453125" style="4" customWidth="1"/>
    <col min="25" max="25" width="18.453125" style="4" customWidth="1"/>
    <col min="26" max="26" width="15.453125" style="4" customWidth="1"/>
    <col min="27" max="27" width="14" style="4" customWidth="1"/>
    <col min="28" max="28" width="15.453125" style="4" customWidth="1"/>
    <col min="29" max="29" width="11.453125" style="4" customWidth="1"/>
    <col min="30" max="31" width="13.453125" style="4" customWidth="1"/>
    <col min="32" max="32" width="15.54296875" style="4" customWidth="1"/>
    <col min="33" max="33" width="18.453125" style="169" customWidth="1"/>
    <col min="34" max="34" width="13.54296875" style="1" customWidth="1"/>
    <col min="35" max="57" width="8.453125" style="1" customWidth="1"/>
    <col min="58" max="58" width="11.453125" style="1" customWidth="1"/>
    <col min="59" max="59" width="10.453125" style="1" customWidth="1"/>
    <col min="60" max="60" width="9.453125" style="1" customWidth="1"/>
    <col min="61" max="62" width="7.453125" style="3" customWidth="1"/>
    <col min="63" max="64" width="8.54296875" style="3" customWidth="1"/>
    <col min="65" max="66" width="7.453125" style="3" customWidth="1"/>
    <col min="67" max="67" width="7.453125" style="1" customWidth="1"/>
    <col min="68" max="68" width="8.54296875" style="3" customWidth="1"/>
    <col min="69" max="81" width="9.54296875" style="3" customWidth="1"/>
    <col min="82" max="84" width="8.453125" style="3" hidden="1" customWidth="1"/>
    <col min="85" max="90" width="9.453125" style="3" hidden="1" customWidth="1"/>
    <col min="91" max="105" width="9.453125" style="3" customWidth="1"/>
    <col min="106" max="106" width="6.54296875" style="1" customWidth="1"/>
    <col min="107" max="107" width="9.453125" style="1" customWidth="1"/>
    <col min="108" max="108" width="7.453125" style="3" customWidth="1"/>
    <col min="109" max="112" width="8.453125" style="3" customWidth="1"/>
    <col min="113" max="115" width="7.453125" style="3" customWidth="1"/>
    <col min="116" max="117" width="9.453125" style="3" customWidth="1"/>
    <col min="118" max="129" width="8.453125" style="3" customWidth="1"/>
    <col min="130" max="130" width="6.453125" style="3" customWidth="1"/>
    <col min="131" max="132" width="8.453125" style="3" customWidth="1"/>
    <col min="133" max="133" width="6" style="3" customWidth="1"/>
    <col min="134" max="134" width="6.453125" style="3" customWidth="1"/>
    <col min="135" max="135" width="11.453125" style="3" customWidth="1"/>
    <col min="136" max="136" width="7.453125" style="3" customWidth="1"/>
    <col min="137" max="137" width="10.81640625" style="3" customWidth="1"/>
    <col min="138" max="141" width="6.453125" style="3" customWidth="1"/>
    <col min="142" max="142" width="6.54296875" style="3" hidden="1" customWidth="1"/>
    <col min="143" max="143" width="7.453125" style="3" hidden="1" customWidth="1"/>
    <col min="144" max="144" width="8.453125" style="3" hidden="1" customWidth="1"/>
    <col min="145" max="149" width="7.453125" style="3" hidden="1" customWidth="1"/>
    <col min="150" max="150" width="8.453125" style="3" hidden="1" customWidth="1"/>
    <col min="151" max="154" width="7.453125" style="3" customWidth="1"/>
    <col min="155" max="155" width="14.453125" style="3" hidden="1" customWidth="1"/>
    <col min="156" max="157" width="8.453125" style="3" hidden="1" customWidth="1"/>
    <col min="158" max="166" width="9.453125" style="3" hidden="1" customWidth="1"/>
    <col min="167" max="168" width="9.453125" style="3" customWidth="1"/>
    <col min="169" max="169" width="10.453125" style="3" customWidth="1"/>
    <col min="170" max="174" width="9.453125" style="3" customWidth="1"/>
    <col min="175" max="175" width="10.453125" style="1" customWidth="1"/>
    <col min="176" max="176" width="67" style="5" customWidth="1"/>
    <col min="177" max="177" width="22.54296875" style="5" customWidth="1"/>
    <col min="178" max="178" width="17.453125" style="4" customWidth="1"/>
    <col min="179" max="179" width="27.54296875" style="5" customWidth="1"/>
    <col min="180" max="180" width="10.453125" style="3" customWidth="1"/>
    <col min="181" max="181" width="13.54296875" style="5" customWidth="1"/>
    <col min="182" max="182" width="22.54296875" style="5" customWidth="1"/>
    <col min="183" max="183" width="21.453125" style="11" customWidth="1"/>
    <col min="184" max="184" width="10.453125" style="3" customWidth="1"/>
    <col min="185" max="186" width="10.453125" style="5" customWidth="1"/>
    <col min="187" max="193" width="10.453125" style="3" customWidth="1"/>
    <col min="194" max="194" width="10.453125" style="5" customWidth="1"/>
    <col min="195" max="196" width="10.453125" style="3" customWidth="1"/>
    <col min="197" max="198" width="10.453125" style="5" customWidth="1"/>
    <col min="199" max="203" width="10.453125" style="3" customWidth="1"/>
    <col min="204" max="212" width="8.453125" style="11"/>
    <col min="213" max="16384" width="8.453125" style="3"/>
  </cols>
  <sheetData>
    <row r="1" spans="1:213" s="1" customFormat="1" ht="41.9" customHeight="1">
      <c r="A1" s="135" t="s">
        <v>58</v>
      </c>
      <c r="B1" s="136" t="s">
        <v>57</v>
      </c>
      <c r="C1" s="134" t="s">
        <v>1096</v>
      </c>
      <c r="D1" s="136" t="s">
        <v>1256</v>
      </c>
      <c r="E1" s="134" t="s">
        <v>63</v>
      </c>
      <c r="F1" s="137" t="s">
        <v>64</v>
      </c>
      <c r="G1" s="206" t="s">
        <v>65</v>
      </c>
      <c r="H1" s="206" t="s">
        <v>66</v>
      </c>
      <c r="I1" s="206" t="s">
        <v>67</v>
      </c>
      <c r="J1" s="206" t="s">
        <v>68</v>
      </c>
      <c r="K1" s="206" t="s">
        <v>69</v>
      </c>
      <c r="L1" s="985" t="s">
        <v>1257</v>
      </c>
      <c r="M1" s="985"/>
      <c r="N1" s="985" t="s">
        <v>1258</v>
      </c>
      <c r="O1" s="985"/>
      <c r="P1" s="986" t="s">
        <v>80</v>
      </c>
      <c r="Q1" s="986"/>
      <c r="R1" s="986" t="s">
        <v>81</v>
      </c>
      <c r="S1" s="986"/>
      <c r="T1" s="986" t="s">
        <v>1259</v>
      </c>
      <c r="U1" s="986"/>
      <c r="V1" s="987" t="s">
        <v>83</v>
      </c>
      <c r="W1" s="987"/>
      <c r="X1" s="988" t="s">
        <v>1260</v>
      </c>
      <c r="Y1" s="988"/>
      <c r="Z1" s="986" t="s">
        <v>85</v>
      </c>
      <c r="AA1" s="986"/>
      <c r="AB1" s="986" t="s">
        <v>86</v>
      </c>
      <c r="AC1" s="986"/>
      <c r="AD1" s="986" t="s">
        <v>87</v>
      </c>
      <c r="AE1" s="986"/>
      <c r="AF1" s="986" t="s">
        <v>88</v>
      </c>
      <c r="AG1" s="986"/>
      <c r="AH1" s="989" t="s">
        <v>89</v>
      </c>
      <c r="AI1" s="990"/>
      <c r="AJ1" s="990"/>
      <c r="AK1" s="990"/>
      <c r="AL1" s="990"/>
      <c r="AM1" s="990"/>
      <c r="AN1" s="990"/>
      <c r="AO1" s="990"/>
      <c r="AP1" s="990"/>
      <c r="AQ1" s="990"/>
      <c r="AR1" s="990"/>
      <c r="AS1" s="990"/>
      <c r="AT1" s="990"/>
      <c r="AU1" s="990"/>
      <c r="AV1" s="990"/>
      <c r="AW1" s="990"/>
      <c r="AX1" s="990"/>
      <c r="AY1" s="990"/>
      <c r="AZ1" s="990"/>
      <c r="BA1" s="990"/>
      <c r="BB1" s="990"/>
      <c r="BC1" s="990"/>
      <c r="BD1" s="990"/>
      <c r="BE1" s="991"/>
      <c r="BF1" s="995" t="s">
        <v>90</v>
      </c>
      <c r="BG1" s="996"/>
      <c r="BH1" s="996"/>
      <c r="BI1" s="996"/>
      <c r="BJ1" s="996"/>
      <c r="BK1" s="996"/>
      <c r="BL1" s="996"/>
      <c r="BM1" s="996"/>
      <c r="BN1" s="996"/>
      <c r="BO1" s="996"/>
      <c r="BP1" s="996"/>
      <c r="BQ1" s="996"/>
      <c r="BR1" s="996"/>
      <c r="BS1" s="996"/>
      <c r="BT1" s="996"/>
      <c r="BU1" s="996"/>
      <c r="BV1" s="996"/>
      <c r="BW1" s="996"/>
      <c r="BX1" s="996"/>
      <c r="BY1" s="996"/>
      <c r="BZ1" s="996"/>
      <c r="CA1" s="996"/>
      <c r="CB1" s="996"/>
      <c r="CC1" s="997"/>
      <c r="CD1" s="989" t="s">
        <v>91</v>
      </c>
      <c r="CE1" s="990"/>
      <c r="CF1" s="990"/>
      <c r="CG1" s="990"/>
      <c r="CH1" s="990"/>
      <c r="CI1" s="990"/>
      <c r="CJ1" s="990"/>
      <c r="CK1" s="990"/>
      <c r="CL1" s="990"/>
      <c r="CM1" s="990"/>
      <c r="CN1" s="990"/>
      <c r="CO1" s="990"/>
      <c r="CP1" s="990"/>
      <c r="CQ1" s="990"/>
      <c r="CR1" s="990"/>
      <c r="CS1" s="990"/>
      <c r="CT1" s="990"/>
      <c r="CU1" s="990"/>
      <c r="CV1" s="990"/>
      <c r="CW1" s="990"/>
      <c r="CX1" s="990"/>
      <c r="CY1" s="990"/>
      <c r="CZ1" s="990"/>
      <c r="DA1" s="990"/>
      <c r="DB1" s="981" t="s">
        <v>92</v>
      </c>
      <c r="DC1" s="981"/>
      <c r="DD1" s="981"/>
      <c r="DE1" s="981"/>
      <c r="DF1" s="981"/>
      <c r="DG1" s="981"/>
      <c r="DH1" s="981"/>
      <c r="DI1" s="981"/>
      <c r="DJ1" s="981"/>
      <c r="DK1" s="981"/>
      <c r="DL1" s="981"/>
      <c r="DM1" s="981"/>
      <c r="DN1" s="981"/>
      <c r="DO1" s="981"/>
      <c r="DP1" s="981"/>
      <c r="DQ1" s="981"/>
      <c r="DR1" s="981"/>
      <c r="DS1" s="981"/>
      <c r="DT1" s="981"/>
      <c r="DU1" s="981"/>
      <c r="DV1" s="981"/>
      <c r="DW1" s="981"/>
      <c r="DX1" s="981"/>
      <c r="DY1" s="981"/>
      <c r="DZ1" s="981" t="s">
        <v>93</v>
      </c>
      <c r="EA1" s="981"/>
      <c r="EB1" s="981"/>
      <c r="EC1" s="981"/>
      <c r="ED1" s="981"/>
      <c r="EE1" s="981"/>
      <c r="EF1" s="981"/>
      <c r="EG1" s="981"/>
      <c r="EH1" s="981"/>
      <c r="EI1" s="981"/>
      <c r="EJ1" s="981"/>
      <c r="EK1" s="981"/>
      <c r="EL1" s="990" t="s">
        <v>94</v>
      </c>
      <c r="EM1" s="990"/>
      <c r="EN1" s="990"/>
      <c r="EO1" s="990"/>
      <c r="EP1" s="990"/>
      <c r="EQ1" s="990"/>
      <c r="ER1" s="990"/>
      <c r="ES1" s="990"/>
      <c r="ET1" s="990"/>
      <c r="EU1" s="990"/>
      <c r="EV1" s="990"/>
      <c r="EW1" s="990"/>
      <c r="EX1" s="991"/>
      <c r="EY1" s="994" t="s">
        <v>1102</v>
      </c>
      <c r="EZ1" s="994"/>
      <c r="FA1" s="994"/>
      <c r="FB1" s="994"/>
      <c r="FC1" s="994"/>
      <c r="FD1" s="994"/>
      <c r="FE1" s="994"/>
      <c r="FF1" s="994"/>
      <c r="FG1" s="994"/>
      <c r="FH1" s="994"/>
      <c r="FI1" s="994"/>
      <c r="FJ1" s="994"/>
      <c r="FK1" s="992" t="s">
        <v>96</v>
      </c>
      <c r="FL1" s="992"/>
      <c r="FM1" s="992"/>
      <c r="FN1" s="992"/>
      <c r="FO1" s="992"/>
      <c r="FP1" s="992"/>
      <c r="FQ1" s="992"/>
      <c r="FR1" s="992"/>
      <c r="FS1" s="992"/>
      <c r="FT1" s="138" t="s">
        <v>97</v>
      </c>
      <c r="FU1" s="139" t="s">
        <v>98</v>
      </c>
      <c r="FV1" s="140" t="s">
        <v>77</v>
      </c>
      <c r="FW1" s="140" t="s">
        <v>102</v>
      </c>
      <c r="FX1" s="993" t="s">
        <v>103</v>
      </c>
      <c r="FY1" s="993"/>
      <c r="FZ1" s="993"/>
      <c r="GA1" s="993"/>
      <c r="GB1" s="993"/>
      <c r="GC1" s="993"/>
      <c r="GD1" s="993"/>
      <c r="GE1" s="993"/>
      <c r="GF1" s="993"/>
      <c r="GG1" s="993"/>
      <c r="GH1" s="993"/>
      <c r="GI1" s="993"/>
      <c r="GJ1" s="993" t="s">
        <v>104</v>
      </c>
      <c r="GK1" s="993"/>
      <c r="GL1" s="993"/>
      <c r="GM1" s="993"/>
      <c r="GN1" s="993"/>
      <c r="GO1" s="993"/>
      <c r="GP1" s="993"/>
      <c r="GQ1" s="993"/>
      <c r="GR1" s="993"/>
      <c r="GS1" s="993"/>
      <c r="GT1" s="993"/>
      <c r="GU1" s="993"/>
      <c r="GV1" s="11"/>
      <c r="GW1" s="11"/>
      <c r="GX1" s="11"/>
      <c r="GY1" s="11"/>
      <c r="GZ1" s="11"/>
      <c r="HA1" s="11"/>
      <c r="HB1" s="11"/>
      <c r="HC1" s="11"/>
      <c r="HD1" s="11"/>
    </row>
    <row r="2" spans="1:213" ht="29.5" thickBot="1">
      <c r="A2" s="142" t="s">
        <v>114</v>
      </c>
      <c r="B2" s="143" t="s">
        <v>119</v>
      </c>
      <c r="C2" s="144" t="s">
        <v>120</v>
      </c>
      <c r="D2" s="143" t="s">
        <v>121</v>
      </c>
      <c r="E2" s="143" t="s">
        <v>122</v>
      </c>
      <c r="F2" s="143" t="s">
        <v>123</v>
      </c>
      <c r="G2" s="143"/>
      <c r="H2" s="143"/>
      <c r="I2" s="143"/>
      <c r="J2" s="143"/>
      <c r="K2" s="143"/>
      <c r="L2" s="143" t="s">
        <v>137</v>
      </c>
      <c r="M2" s="143" t="s">
        <v>138</v>
      </c>
      <c r="N2" s="143" t="s">
        <v>137</v>
      </c>
      <c r="O2" s="143" t="s">
        <v>138</v>
      </c>
      <c r="P2" s="143" t="s">
        <v>137</v>
      </c>
      <c r="Q2" s="143" t="s">
        <v>138</v>
      </c>
      <c r="R2" s="143" t="s">
        <v>137</v>
      </c>
      <c r="S2" s="143" t="s">
        <v>138</v>
      </c>
      <c r="T2" s="143" t="s">
        <v>137</v>
      </c>
      <c r="U2" s="143" t="s">
        <v>138</v>
      </c>
      <c r="V2" s="143" t="s">
        <v>137</v>
      </c>
      <c r="W2" s="143" t="s">
        <v>138</v>
      </c>
      <c r="X2" s="143" t="s">
        <v>137</v>
      </c>
      <c r="Y2" s="143" t="s">
        <v>138</v>
      </c>
      <c r="Z2" s="143" t="s">
        <v>137</v>
      </c>
      <c r="AA2" s="143" t="s">
        <v>138</v>
      </c>
      <c r="AB2" s="143" t="s">
        <v>137</v>
      </c>
      <c r="AC2" s="143" t="s">
        <v>138</v>
      </c>
      <c r="AD2" s="143" t="s">
        <v>137</v>
      </c>
      <c r="AE2" s="143" t="s">
        <v>138</v>
      </c>
      <c r="AF2" s="143" t="s">
        <v>137</v>
      </c>
      <c r="AG2" s="143" t="s">
        <v>138</v>
      </c>
      <c r="AH2" s="145" t="s">
        <v>2</v>
      </c>
      <c r="AI2" s="145" t="s">
        <v>3</v>
      </c>
      <c r="AJ2" s="145" t="s">
        <v>4</v>
      </c>
      <c r="AK2" s="145" t="s">
        <v>5</v>
      </c>
      <c r="AL2" s="145" t="s">
        <v>6</v>
      </c>
      <c r="AM2" s="145" t="s">
        <v>7</v>
      </c>
      <c r="AN2" s="145" t="s">
        <v>8</v>
      </c>
      <c r="AO2" s="145" t="s">
        <v>1261</v>
      </c>
      <c r="AP2" s="145" t="s">
        <v>10</v>
      </c>
      <c r="AQ2" s="145" t="s">
        <v>11</v>
      </c>
      <c r="AR2" s="145" t="s">
        <v>12</v>
      </c>
      <c r="AS2" s="582">
        <v>45992</v>
      </c>
      <c r="AT2" s="145" t="s">
        <v>2</v>
      </c>
      <c r="AU2" s="145" t="s">
        <v>3</v>
      </c>
      <c r="AV2" s="145" t="s">
        <v>4</v>
      </c>
      <c r="AW2" s="145" t="s">
        <v>5</v>
      </c>
      <c r="AX2" s="145" t="s">
        <v>6</v>
      </c>
      <c r="AY2" s="145" t="s">
        <v>7</v>
      </c>
      <c r="AZ2" s="145" t="s">
        <v>8</v>
      </c>
      <c r="BA2" s="145" t="s">
        <v>1261</v>
      </c>
      <c r="BB2" s="145" t="s">
        <v>10</v>
      </c>
      <c r="BC2" s="145" t="s">
        <v>1262</v>
      </c>
      <c r="BD2" s="145" t="s">
        <v>12</v>
      </c>
      <c r="BE2" s="582">
        <v>46357</v>
      </c>
      <c r="BF2" s="145" t="s">
        <v>2</v>
      </c>
      <c r="BG2" s="145" t="s">
        <v>3</v>
      </c>
      <c r="BH2" s="145" t="s">
        <v>4</v>
      </c>
      <c r="BI2" s="145" t="s">
        <v>5</v>
      </c>
      <c r="BJ2" s="145" t="s">
        <v>6</v>
      </c>
      <c r="BK2" s="145" t="s">
        <v>7</v>
      </c>
      <c r="BL2" s="145" t="s">
        <v>8</v>
      </c>
      <c r="BM2" s="145" t="s">
        <v>1261</v>
      </c>
      <c r="BN2" s="145" t="s">
        <v>10</v>
      </c>
      <c r="BO2" s="145" t="s">
        <v>11</v>
      </c>
      <c r="BP2" s="145" t="s">
        <v>12</v>
      </c>
      <c r="BQ2" s="582">
        <v>45992</v>
      </c>
      <c r="BR2" s="145" t="s">
        <v>2</v>
      </c>
      <c r="BS2" s="145" t="s">
        <v>3</v>
      </c>
      <c r="BT2" s="145" t="s">
        <v>4</v>
      </c>
      <c r="BU2" s="145" t="s">
        <v>5</v>
      </c>
      <c r="BV2" s="145" t="s">
        <v>6</v>
      </c>
      <c r="BW2" s="145" t="s">
        <v>7</v>
      </c>
      <c r="BX2" s="145" t="s">
        <v>8</v>
      </c>
      <c r="BY2" s="145" t="s">
        <v>1261</v>
      </c>
      <c r="BZ2" s="145" t="s">
        <v>10</v>
      </c>
      <c r="CA2" s="145" t="s">
        <v>11</v>
      </c>
      <c r="CB2" s="582" t="s">
        <v>12</v>
      </c>
      <c r="CC2" s="582">
        <v>46357</v>
      </c>
      <c r="CD2" s="145" t="s">
        <v>2</v>
      </c>
      <c r="CE2" s="145" t="s">
        <v>3</v>
      </c>
      <c r="CF2" s="145" t="s">
        <v>4</v>
      </c>
      <c r="CG2" s="145" t="s">
        <v>5</v>
      </c>
      <c r="CH2" s="145" t="s">
        <v>6</v>
      </c>
      <c r="CI2" s="145" t="s">
        <v>7</v>
      </c>
      <c r="CJ2" s="145" t="s">
        <v>8</v>
      </c>
      <c r="CK2" s="145" t="s">
        <v>1261</v>
      </c>
      <c r="CL2" s="145" t="s">
        <v>10</v>
      </c>
      <c r="CM2" s="145" t="s">
        <v>11</v>
      </c>
      <c r="CN2" s="145" t="s">
        <v>12</v>
      </c>
      <c r="CO2" s="582">
        <v>45992</v>
      </c>
      <c r="CP2" s="582" t="s">
        <v>2</v>
      </c>
      <c r="CQ2" s="582" t="s">
        <v>3</v>
      </c>
      <c r="CR2" s="582" t="s">
        <v>4</v>
      </c>
      <c r="CS2" s="582" t="s">
        <v>5</v>
      </c>
      <c r="CT2" s="582" t="s">
        <v>6</v>
      </c>
      <c r="CU2" s="582" t="s">
        <v>7</v>
      </c>
      <c r="CV2" s="582" t="s">
        <v>8</v>
      </c>
      <c r="CW2" s="582" t="s">
        <v>1261</v>
      </c>
      <c r="CX2" s="582" t="s">
        <v>10</v>
      </c>
      <c r="CY2" s="582" t="s">
        <v>11</v>
      </c>
      <c r="CZ2" s="582" t="s">
        <v>12</v>
      </c>
      <c r="DA2" s="582">
        <v>46357</v>
      </c>
      <c r="DB2" s="628" t="s">
        <v>2</v>
      </c>
      <c r="DC2" s="628" t="s">
        <v>3</v>
      </c>
      <c r="DD2" s="628" t="s">
        <v>4</v>
      </c>
      <c r="DE2" s="628" t="s">
        <v>5</v>
      </c>
      <c r="DF2" s="628" t="s">
        <v>6</v>
      </c>
      <c r="DG2" s="628" t="s">
        <v>7</v>
      </c>
      <c r="DH2" s="628" t="s">
        <v>8</v>
      </c>
      <c r="DI2" s="628" t="s">
        <v>1261</v>
      </c>
      <c r="DJ2" s="628" t="s">
        <v>10</v>
      </c>
      <c r="DK2" s="628" t="s">
        <v>11</v>
      </c>
      <c r="DL2" s="628" t="s">
        <v>12</v>
      </c>
      <c r="DM2" s="629">
        <v>45992</v>
      </c>
      <c r="DN2" s="628" t="s">
        <v>2</v>
      </c>
      <c r="DO2" s="628" t="s">
        <v>3</v>
      </c>
      <c r="DP2" s="628" t="s">
        <v>4</v>
      </c>
      <c r="DQ2" s="628" t="s">
        <v>5</v>
      </c>
      <c r="DR2" s="628" t="s">
        <v>6</v>
      </c>
      <c r="DS2" s="628" t="s">
        <v>7</v>
      </c>
      <c r="DT2" s="628" t="s">
        <v>8</v>
      </c>
      <c r="DU2" s="628" t="s">
        <v>1261</v>
      </c>
      <c r="DV2" s="628" t="s">
        <v>10</v>
      </c>
      <c r="DW2" s="628" t="s">
        <v>11</v>
      </c>
      <c r="DX2" s="628" t="s">
        <v>12</v>
      </c>
      <c r="DY2" s="629">
        <v>46357</v>
      </c>
      <c r="DZ2" s="628" t="s">
        <v>3</v>
      </c>
      <c r="EA2" s="628" t="s">
        <v>4</v>
      </c>
      <c r="EB2" s="628" t="s">
        <v>5</v>
      </c>
      <c r="EC2" s="628" t="s">
        <v>6</v>
      </c>
      <c r="ED2" s="628" t="s">
        <v>7</v>
      </c>
      <c r="EE2" s="628" t="s">
        <v>8</v>
      </c>
      <c r="EF2" s="628" t="s">
        <v>1261</v>
      </c>
      <c r="EG2" s="628" t="s">
        <v>10</v>
      </c>
      <c r="EH2" s="628" t="s">
        <v>11</v>
      </c>
      <c r="EI2" s="628" t="s">
        <v>12</v>
      </c>
      <c r="EJ2" s="628" t="s">
        <v>13</v>
      </c>
      <c r="EK2" s="628" t="s">
        <v>2</v>
      </c>
      <c r="EL2" s="145" t="s">
        <v>2</v>
      </c>
      <c r="EM2" s="145" t="s">
        <v>3</v>
      </c>
      <c r="EN2" s="145" t="s">
        <v>4</v>
      </c>
      <c r="EO2" s="145" t="s">
        <v>5</v>
      </c>
      <c r="EP2" s="145" t="s">
        <v>6</v>
      </c>
      <c r="EQ2" s="145" t="s">
        <v>7</v>
      </c>
      <c r="ER2" s="145" t="s">
        <v>8</v>
      </c>
      <c r="ES2" s="145" t="s">
        <v>1261</v>
      </c>
      <c r="ET2" s="145" t="s">
        <v>10</v>
      </c>
      <c r="EU2" s="145" t="s">
        <v>11</v>
      </c>
      <c r="EV2" s="145" t="s">
        <v>12</v>
      </c>
      <c r="EW2" s="145" t="s">
        <v>13</v>
      </c>
      <c r="EX2" s="145" t="s">
        <v>2</v>
      </c>
      <c r="EY2" s="145"/>
      <c r="EZ2" s="145" t="s">
        <v>3</v>
      </c>
      <c r="FA2" s="145" t="s">
        <v>4</v>
      </c>
      <c r="FB2" s="145" t="s">
        <v>5</v>
      </c>
      <c r="FC2" s="145" t="s">
        <v>6</v>
      </c>
      <c r="FD2" s="145" t="s">
        <v>7</v>
      </c>
      <c r="FE2" s="145" t="s">
        <v>8</v>
      </c>
      <c r="FF2" s="145" t="s">
        <v>9</v>
      </c>
      <c r="FG2" s="145" t="s">
        <v>10</v>
      </c>
      <c r="FH2" s="145" t="s">
        <v>11</v>
      </c>
      <c r="FI2" s="145" t="s">
        <v>12</v>
      </c>
      <c r="FJ2" s="145" t="s">
        <v>13</v>
      </c>
      <c r="FK2" s="146" t="s">
        <v>1257</v>
      </c>
      <c r="FL2" s="146" t="s">
        <v>1258</v>
      </c>
      <c r="FM2" s="146" t="s">
        <v>80</v>
      </c>
      <c r="FN2" s="146" t="s">
        <v>81</v>
      </c>
      <c r="FO2" s="146" t="s">
        <v>78</v>
      </c>
      <c r="FP2" s="146" t="s">
        <v>139</v>
      </c>
      <c r="FQ2" s="146" t="s">
        <v>1260</v>
      </c>
      <c r="FR2" s="146" t="s">
        <v>85</v>
      </c>
      <c r="FS2" s="146" t="s">
        <v>142</v>
      </c>
      <c r="FT2" s="144" t="s">
        <v>1111</v>
      </c>
      <c r="FU2" s="143" t="s">
        <v>143</v>
      </c>
      <c r="FV2" s="143" t="s">
        <v>144</v>
      </c>
      <c r="FW2" s="143" t="s">
        <v>147</v>
      </c>
      <c r="FX2" s="143" t="s">
        <v>148</v>
      </c>
      <c r="FY2" s="144" t="s">
        <v>149</v>
      </c>
      <c r="FZ2" s="143" t="s">
        <v>150</v>
      </c>
      <c r="GA2" s="143" t="s">
        <v>151</v>
      </c>
      <c r="GB2" s="143" t="s">
        <v>152</v>
      </c>
      <c r="GC2" s="143" t="s">
        <v>153</v>
      </c>
      <c r="GD2" s="143" t="s">
        <v>154</v>
      </c>
      <c r="GE2" s="143" t="s">
        <v>155</v>
      </c>
      <c r="GF2" s="143" t="s">
        <v>156</v>
      </c>
      <c r="GG2" s="143" t="s">
        <v>157</v>
      </c>
      <c r="GH2" s="143" t="s">
        <v>158</v>
      </c>
      <c r="GI2" s="143" t="s">
        <v>159</v>
      </c>
      <c r="GJ2" s="143" t="s">
        <v>148</v>
      </c>
      <c r="GK2" s="143" t="s">
        <v>149</v>
      </c>
      <c r="GL2" s="143" t="s">
        <v>150</v>
      </c>
      <c r="GM2" s="143" t="s">
        <v>151</v>
      </c>
      <c r="GN2" s="143" t="s">
        <v>152</v>
      </c>
      <c r="GO2" s="143" t="s">
        <v>153</v>
      </c>
      <c r="GP2" s="143" t="s">
        <v>154</v>
      </c>
      <c r="GQ2" s="143" t="s">
        <v>155</v>
      </c>
      <c r="GR2" s="143" t="s">
        <v>156</v>
      </c>
      <c r="GS2" s="143" t="s">
        <v>157</v>
      </c>
      <c r="GT2" s="143" t="s">
        <v>158</v>
      </c>
      <c r="GU2" s="143" t="s">
        <v>159</v>
      </c>
    </row>
    <row r="3" spans="1:213" ht="160.5" customHeight="1">
      <c r="A3" s="147" t="s">
        <v>1263</v>
      </c>
      <c r="B3" s="91" t="s">
        <v>1264</v>
      </c>
      <c r="C3" s="119" t="s">
        <v>1265</v>
      </c>
      <c r="D3" s="14" t="s">
        <v>1266</v>
      </c>
      <c r="E3" s="91">
        <v>2025</v>
      </c>
      <c r="F3" s="91">
        <v>2027</v>
      </c>
      <c r="G3" s="91" t="s">
        <v>288</v>
      </c>
      <c r="H3" s="91" t="s">
        <v>173</v>
      </c>
      <c r="I3" s="91" t="s">
        <v>174</v>
      </c>
      <c r="J3" s="91" t="s">
        <v>472</v>
      </c>
      <c r="K3" s="91" t="s">
        <v>212</v>
      </c>
      <c r="L3" s="148" t="s">
        <v>246</v>
      </c>
      <c r="M3" s="148" t="s">
        <v>246</v>
      </c>
      <c r="N3" s="148" t="s">
        <v>246</v>
      </c>
      <c r="O3" s="148" t="s">
        <v>246</v>
      </c>
      <c r="P3" s="148">
        <v>45809</v>
      </c>
      <c r="Q3" s="149">
        <v>45960</v>
      </c>
      <c r="R3" s="148">
        <v>45962</v>
      </c>
      <c r="S3" s="149">
        <v>46053</v>
      </c>
      <c r="T3" s="148">
        <v>45962</v>
      </c>
      <c r="U3" s="149">
        <v>46053</v>
      </c>
      <c r="V3" s="148"/>
      <c r="W3" s="148"/>
      <c r="X3" s="8">
        <v>46154</v>
      </c>
      <c r="Y3" s="8">
        <v>46233</v>
      </c>
      <c r="Z3" s="7" t="s">
        <v>246</v>
      </c>
      <c r="AA3" s="7" t="s">
        <v>246</v>
      </c>
      <c r="AB3" s="7"/>
      <c r="AC3" s="7"/>
      <c r="AD3" s="7"/>
      <c r="AE3" s="7"/>
      <c r="AF3" s="8">
        <v>46235</v>
      </c>
      <c r="AG3" s="150">
        <v>46568</v>
      </c>
      <c r="AH3" s="7" t="str">
        <f t="shared" ref="AH3:AS3" si="0">IF(BF3=0%,"Not Started",IF(BF3&lt;5%,"Proses RBT-RBB",IF(BF3=5%,"Selesai RBT-RBB",IF(BF3&lt;10%,"Proses RBT-RBL",IF(BF3=10%,"Selesai RBT-RBL",IF(BF3&lt;15%,"Proses RBT-RBTD",IF(BF3=15%,"Selesai RBT",IF(BF3&lt;20%,"Proses RPP",IF(BF3=20%,"Selesai RPP",IF(BF3&lt;25%,"Proses KAK",IF(BF3=25%,"Selesai KAK",IF(BF3&lt;30%,"Proses Pengadaan",IF(BF3=30%,"Selesai Pengadaan",IF(BF3&lt;60%,"Proses Delivery",IF(BF3=60%,"Selesai Delivery",IF(BF3&lt;95%,"Proses Pengembangan",IF(BF3=95%,"Selesai Pengembangan",IF(BF3&lt;100%,"Proses Implementasi","Selesai Implementasi"))))))))))))))))))</f>
        <v>Proses RBT-RBB</v>
      </c>
      <c r="AI3" s="7" t="str">
        <f t="shared" si="0"/>
        <v>Proses RBT-RBB</v>
      </c>
      <c r="AJ3" s="7" t="str">
        <f t="shared" si="0"/>
        <v>Proses RBT-RBB</v>
      </c>
      <c r="AK3" s="7" t="str">
        <f t="shared" si="0"/>
        <v>Selesai RBT-RBB</v>
      </c>
      <c r="AL3" s="7" t="str">
        <f t="shared" si="0"/>
        <v>Selesai RBT-RBL</v>
      </c>
      <c r="AM3" s="7" t="str">
        <f t="shared" si="0"/>
        <v>Proses RBT-RBTD</v>
      </c>
      <c r="AN3" s="7" t="str">
        <f t="shared" si="0"/>
        <v>Selesai RBT</v>
      </c>
      <c r="AO3" s="7" t="str">
        <f t="shared" si="0"/>
        <v>Proses RPP</v>
      </c>
      <c r="AP3" s="7" t="str">
        <f t="shared" si="0"/>
        <v>Selesai RPP</v>
      </c>
      <c r="AQ3" s="7" t="str">
        <f t="shared" si="0"/>
        <v>Selesai RBT</v>
      </c>
      <c r="AR3" s="7" t="str">
        <f t="shared" si="0"/>
        <v>Proses RPP</v>
      </c>
      <c r="AS3" s="7" t="str">
        <f t="shared" si="0"/>
        <v>Selesai RPP</v>
      </c>
      <c r="AT3" s="7" t="str">
        <f>IF(BR3=0%,"Not Started",IF(BR3&lt;5%,"Proses RBT-RBB",IF(BR3=5%,"Selesai RBT-RBB",IF(BR3&lt;10%,"Proses RBT-RBL",IF(BR3=10%,"Selesai RBT-RBL",IF(BR3&lt;15%,"Proses RBT-RBTD",IF(BR3=15%,"Selesai RBT",IF(BR3&lt;20%,"Proses RPP",IF(BR3=20%,"Selesai RPP",IF(BR3&lt;25%,"Proses KAK",IF(BR3=25%,"Selesai KAK",IF(BR3&lt;30%,"Proses Pengadaan",IF(BR3=30%,"Selesai Pengadaan",IF(BR3&lt;60%,"Proses Delivery",IF(BR3=60%,"Selesai Delivery",IF(BR3&lt;95%,"Proses Pengembangan",IF(BR3=95%,"Selesai Pengembangan",IF(BR3&lt;100%,"Proses Implementasi","Selesai Implementasi"))))))))))))))))))</f>
        <v>Proses KAK</v>
      </c>
      <c r="AU3" s="7"/>
      <c r="AV3" s="7"/>
      <c r="AW3" s="7"/>
      <c r="AX3" s="7" t="str">
        <f t="shared" ref="AX3:BE3" si="1">IF(BV3=0%,"Not Started",IF(BV3&lt;5%,"Proses RBT-RBB",IF(BV3=5%,"Selesai RBT-RBB",IF(BV3&lt;10%,"Proses RBT-RBL",IF(BV3=10%,"Selesai RBT-RBL",IF(BV3&lt;15%,"Proses RBT-RBTD",IF(BV3=15%,"Selesai RBT",IF(BV3&lt;20%,"Proses RPP",IF(BV3=20%,"Selesai RPP",IF(BV3&lt;25%,"Proses KAK",IF(BV3=25%,"Selesai KAK",IF(BV3&lt;30%,"Proses Pengadaan",IF(BV3=30%,"Selesai Pengadaan",IF(BV3&lt;60%,"Proses Delivery",IF(BV3=60%,"Selesai Delivery",IF(BV3&lt;95%,"Proses Pengembangan",IF(BV3=95%,"Selesai Pengembangan",IF(BV3&lt;100%,"Proses Implementasi","Selesai Implementasi"))))))))))))))))))</f>
        <v>Proses Delivery</v>
      </c>
      <c r="AY3" s="7" t="str">
        <f t="shared" si="1"/>
        <v>Proses Delivery</v>
      </c>
      <c r="AZ3" s="7" t="str">
        <f t="shared" si="1"/>
        <v>Selesai Delivery</v>
      </c>
      <c r="BA3" s="7" t="str">
        <f t="shared" si="1"/>
        <v>Proses Pengembangan</v>
      </c>
      <c r="BB3" s="7" t="str">
        <f t="shared" si="1"/>
        <v>Proses Pengembangan</v>
      </c>
      <c r="BC3" s="7" t="str">
        <f t="shared" si="1"/>
        <v>Proses Pengembangan</v>
      </c>
      <c r="BD3" s="7" t="str">
        <f t="shared" si="1"/>
        <v>Proses Pengembangan</v>
      </c>
      <c r="BE3" s="7" t="str">
        <f t="shared" si="1"/>
        <v>Proses Pengembangan</v>
      </c>
      <c r="BF3" s="100">
        <v>0.01</v>
      </c>
      <c r="BG3" s="100">
        <v>0.02</v>
      </c>
      <c r="BH3" s="151">
        <v>0.04</v>
      </c>
      <c r="BI3" s="100">
        <v>0.05</v>
      </c>
      <c r="BJ3" s="100">
        <v>0.1</v>
      </c>
      <c r="BK3" s="100">
        <v>0.12</v>
      </c>
      <c r="BL3" s="100">
        <v>0.15</v>
      </c>
      <c r="BM3" s="100">
        <v>0.18</v>
      </c>
      <c r="BN3" s="100">
        <v>0.2</v>
      </c>
      <c r="BO3" s="100">
        <v>0.15</v>
      </c>
      <c r="BP3" s="100">
        <v>0.17499999999999999</v>
      </c>
      <c r="BQ3" s="100">
        <v>0.2</v>
      </c>
      <c r="BR3" s="100">
        <v>0.23</v>
      </c>
      <c r="BS3" s="100"/>
      <c r="BT3" s="100"/>
      <c r="BU3" s="100"/>
      <c r="BV3" s="100">
        <v>0.35</v>
      </c>
      <c r="BW3" s="100">
        <v>0.5</v>
      </c>
      <c r="BX3" s="100">
        <v>0.6</v>
      </c>
      <c r="BY3" s="100">
        <v>0.64</v>
      </c>
      <c r="BZ3" s="100">
        <v>0.68</v>
      </c>
      <c r="CA3" s="100">
        <v>0.72</v>
      </c>
      <c r="CB3" s="100">
        <v>0.76</v>
      </c>
      <c r="CC3" s="100">
        <v>0.8</v>
      </c>
      <c r="CD3" s="7" t="str">
        <f t="shared" ref="CD3:CN3" si="2">IF(DB3=0%,"Not Started",IF(DB3&lt;5%,"Proses RBT-RBB",IF(DB3=5%,"Selesai RBT-RBB",IF(DB3&lt;10%,"Proses RBT-RBL",IF(DB3=10%,"Selesai RBT-RBL",IF(DB3&lt;15%,"Proses RBT-RBTD",IF(DB3=15%,"Selesai RBT-RBTD",IF(DB3&lt;20%,"Proses RPP",IF(DB3=20%,"Selesai RPP",IF(DB3&lt;25%,"Proses KAK",IF(DB3=25%,"Selesai KAK",IF(DB3&lt;30%,"Proses Pengadaan",IF(DB3=30%,"Selesai Pengadaan",IF(DB3&lt;45%,"Proses Desain",IF(DB3=45%,"Selesai Desain",IF(DB3&lt;80%,"Proses Pengembangan",IF(DB3=80%,"Selesai Pengembangan",IF(DB3&lt;87.5%,"Proses SIT",IF(DB3=87.5%,"Selesai SIT",IF(DB3&lt;95%,"Proses UAT",IF(DB3=95%,"Selesai UAT",IF(DB3&lt;100%,"Proses Implementasi","Selesai Implementasi"))))))))))))))))))))))</f>
        <v>Not Started</v>
      </c>
      <c r="CE3" s="7" t="str">
        <f t="shared" si="2"/>
        <v>Not Started</v>
      </c>
      <c r="CF3" s="7" t="str">
        <f t="shared" si="2"/>
        <v>Selesai RBT-RBB</v>
      </c>
      <c r="CG3" s="7" t="str">
        <f t="shared" si="2"/>
        <v>Selesai RBT-RBB</v>
      </c>
      <c r="CH3" s="7" t="str">
        <f t="shared" si="2"/>
        <v>Selesai RBT-RBTD</v>
      </c>
      <c r="CI3" s="7" t="str">
        <f t="shared" si="2"/>
        <v>Proses RPP</v>
      </c>
      <c r="CJ3" s="7" t="str">
        <f t="shared" si="2"/>
        <v>Selesai RPP</v>
      </c>
      <c r="CK3" s="7" t="str">
        <f t="shared" si="2"/>
        <v>Proses KAK</v>
      </c>
      <c r="CL3" s="7" t="str">
        <f t="shared" si="2"/>
        <v>Proses KAK</v>
      </c>
      <c r="CM3" s="7" t="str">
        <f t="shared" si="2"/>
        <v>Proses KAK</v>
      </c>
      <c r="CN3" s="7" t="str">
        <f t="shared" si="2"/>
        <v>Proses KAK</v>
      </c>
      <c r="CO3" s="7" t="str">
        <f t="shared" ref="CO3:DA3" si="3">IF(DM3=0%,"Not Started",IF(DM3&lt;5%,"Proses RBT-RBB",IF(DM3=5%,"Selesai RBT-RBB",IF(DM3&lt;10%,"Proses RBT-RBL",IF(DM3=10%,"Selesai RBT-RBL",IF(DM3&lt;15%,"Proses RBT-RBTD",IF(DM3=15%,"Selesai RBT-RBTD",IF(DM3&lt;20%,"Proses RPP",IF(DM3=20%,"Selesai RPP",IF(DM3&lt;25%,"Proses KAK",IF(DM3=25%,"Selesai KAK",IF(DM3&lt;30%,"Proses Pengadaan",IF(DM3=30%,"Selesai Pengadaan",IF(DM3&lt;45%,"Proses Desain",IF(DM3=45%,"Selesai Desain",IF(DM3&lt;80%,"Proses Pengembangan",IF(DM3=80%,"Selesai Pengembangan",IF(DM3&lt;87.5%,"Proses SIT",IF(DM3=87.5%,"Selesai SIT",IF(DM3&lt;95%,"Proses UAT",IF(DM3=95%,"Selesai UAT",IF(DM3&lt;100%,"Proses Implementasi","Selesai Implementasi"))))))))))))))))))))))</f>
        <v>Proses KAK</v>
      </c>
      <c r="CP3" s="7" t="str">
        <f t="shared" si="3"/>
        <v>Selesai KAK</v>
      </c>
      <c r="CQ3" s="7" t="str">
        <f t="shared" si="3"/>
        <v>Not Started</v>
      </c>
      <c r="CR3" s="7" t="str">
        <f t="shared" si="3"/>
        <v>Not Started</v>
      </c>
      <c r="CS3" s="7" t="str">
        <f t="shared" si="3"/>
        <v>Not Started</v>
      </c>
      <c r="CT3" s="7" t="str">
        <f t="shared" si="3"/>
        <v>Not Started</v>
      </c>
      <c r="CU3" s="7" t="str">
        <f t="shared" si="3"/>
        <v>Not Started</v>
      </c>
      <c r="CV3" s="7" t="str">
        <f t="shared" si="3"/>
        <v>Not Started</v>
      </c>
      <c r="CW3" s="7" t="str">
        <f t="shared" si="3"/>
        <v>Not Started</v>
      </c>
      <c r="CX3" s="7" t="str">
        <f t="shared" si="3"/>
        <v>Not Started</v>
      </c>
      <c r="CY3" s="7" t="str">
        <f t="shared" si="3"/>
        <v>Not Started</v>
      </c>
      <c r="CZ3" s="7" t="str">
        <f t="shared" si="3"/>
        <v>Not Started</v>
      </c>
      <c r="DA3" s="7" t="str">
        <f t="shared" si="3"/>
        <v>Not Started</v>
      </c>
      <c r="DB3" s="152">
        <v>0</v>
      </c>
      <c r="DC3" s="152">
        <v>0</v>
      </c>
      <c r="DD3" s="152">
        <v>0.05</v>
      </c>
      <c r="DE3" s="151">
        <v>0.05</v>
      </c>
      <c r="DF3" s="151">
        <v>0.15</v>
      </c>
      <c r="DG3" s="151">
        <v>0.18</v>
      </c>
      <c r="DH3" s="151">
        <v>0.2</v>
      </c>
      <c r="DI3" s="151">
        <v>0.21</v>
      </c>
      <c r="DJ3" s="151">
        <v>0.21</v>
      </c>
      <c r="DK3" s="151">
        <v>0.22</v>
      </c>
      <c r="DL3" s="151">
        <v>0.23</v>
      </c>
      <c r="DM3" s="151">
        <v>0.24</v>
      </c>
      <c r="DN3" s="151">
        <f>((FM3/100%)*15%)+((FN3/100%)*5%)+((FO3/100%)*5%)+((FP3/100%)*5%)+((FQ3/100%)*30%)+((FR3/100%)*35%)+((FS3/100%)*5%)</f>
        <v>0.25</v>
      </c>
      <c r="DO3" s="151"/>
      <c r="DP3" s="151"/>
      <c r="DQ3" s="151"/>
      <c r="DR3" s="151"/>
      <c r="DS3" s="151"/>
      <c r="DT3" s="151"/>
      <c r="DU3" s="151"/>
      <c r="DV3" s="151"/>
      <c r="DW3" s="151"/>
      <c r="DX3" s="151"/>
      <c r="DY3" s="151"/>
      <c r="DZ3" s="152">
        <f>IF(BG3=0%,100%,(DC3/BG3))</f>
        <v>0</v>
      </c>
      <c r="EA3" s="152">
        <f>4%/4%</f>
        <v>1</v>
      </c>
      <c r="EB3" s="152">
        <f t="shared" ref="EB3:EB12" si="4">IF(BI3=0%,100%,(DE3/BI3))</f>
        <v>1</v>
      </c>
      <c r="EC3" s="152">
        <f t="shared" ref="EC3:EC12" si="5">IF(BJ3=0%,100%,(DF3/BJ3))</f>
        <v>1.4999999999999998</v>
      </c>
      <c r="ED3" s="152">
        <f t="shared" ref="ED3:ED12" si="6">IF(BK3=0%,100%,(DG3/BK3))</f>
        <v>1.5</v>
      </c>
      <c r="EE3" s="152">
        <f t="shared" ref="EE3:EE12" si="7">IF(BL3=0%,100%,(DH3/BL3))</f>
        <v>1.3333333333333335</v>
      </c>
      <c r="EF3" s="152">
        <f t="shared" ref="EF3:EF12" si="8">IF(BM3=0%,100%,(DI3/BM3))</f>
        <v>1.1666666666666667</v>
      </c>
      <c r="EG3" s="152">
        <f t="shared" ref="EG3:EG12" si="9">IF(BN3=0%,100%,(DJ3/BN3))</f>
        <v>1.0499999999999998</v>
      </c>
      <c r="EH3" s="152">
        <f t="shared" ref="EH3:EH12" si="10">IF(BO3=0%,100%,(DK3/BO3))</f>
        <v>1.4666666666666668</v>
      </c>
      <c r="EI3" s="152">
        <f t="shared" ref="EI3:EI12" si="11">IF(BP3=0%,100%,(DL3/BP3))</f>
        <v>1.3142857142857145</v>
      </c>
      <c r="EJ3" s="152">
        <f>IF(BQ3=0%,100%,(DM3/BQ3))</f>
        <v>1.2</v>
      </c>
      <c r="EK3" s="152">
        <f>IF(BR3=0%,100%,(DN3/BR3))</f>
        <v>1.0869565217391304</v>
      </c>
      <c r="EL3" s="91" t="e">
        <f>IF(BF3=0%,"NS",IF(DB3=100%,"DONE",IF(#REF!&gt;100%,"AS",IF(#REF!&lt;75%,"BS",IF(CD3&lt;&gt;AH3,"BS",IF(#REF!&lt;70%,"AR","OS"))))))</f>
        <v>#REF!</v>
      </c>
      <c r="EM3" s="91" t="str">
        <f>IF(BG3=0%,"NS",IF(DC3=100%,"DONE",IF(DZ3&gt;100%,"AS",IF(DZ3&lt;75%,"BS",IF(CE3&lt;&gt;AI3,"BS",IF(DZ3&lt;70%,"AR","OS"))))))</f>
        <v>BS</v>
      </c>
      <c r="EN3" s="91" t="str">
        <f t="shared" ref="EN3:EW4" si="12">IF(BH3=0%,"NS",IF(DD3=100%,"DONE",IF(EA3&gt;=105%,"AS",IF(EA3&lt;94%,"BS","OS"))))</f>
        <v>OS</v>
      </c>
      <c r="EO3" s="91" t="str">
        <f t="shared" si="12"/>
        <v>OS</v>
      </c>
      <c r="EP3" s="91" t="str">
        <f t="shared" si="12"/>
        <v>AS</v>
      </c>
      <c r="EQ3" s="91" t="str">
        <f t="shared" si="12"/>
        <v>AS</v>
      </c>
      <c r="ER3" s="91" t="str">
        <f t="shared" si="12"/>
        <v>AS</v>
      </c>
      <c r="ES3" s="91" t="str">
        <f t="shared" si="12"/>
        <v>AS</v>
      </c>
      <c r="ET3" s="91" t="str">
        <f t="shared" si="12"/>
        <v>AS</v>
      </c>
      <c r="EU3" s="91" t="str">
        <f t="shared" si="12"/>
        <v>AS</v>
      </c>
      <c r="EV3" s="91" t="str">
        <f t="shared" si="12"/>
        <v>AS</v>
      </c>
      <c r="EW3" s="91" t="str">
        <f t="shared" si="12"/>
        <v>AS</v>
      </c>
      <c r="EX3" s="91" t="str">
        <f>IF(BR3=0%,"NS",IF(DN3=100%,"DONE",IF(EK3&gt;=105%,"AS",IF(EK3&lt;94%,"BS","OS"))))</f>
        <v>AS</v>
      </c>
      <c r="EY3" s="141"/>
      <c r="EZ3" s="141"/>
      <c r="FA3" s="141"/>
      <c r="FB3" s="141"/>
      <c r="FC3" s="141"/>
      <c r="FD3" s="141"/>
      <c r="FE3" s="141"/>
      <c r="FF3" s="141"/>
      <c r="FG3" s="141"/>
      <c r="FH3" s="141"/>
      <c r="FI3" s="141"/>
      <c r="FJ3" s="141"/>
      <c r="FK3" s="152" t="s">
        <v>246</v>
      </c>
      <c r="FL3" s="152" t="s">
        <v>246</v>
      </c>
      <c r="FM3" s="419">
        <v>1</v>
      </c>
      <c r="FN3" s="419">
        <v>1</v>
      </c>
      <c r="FO3" s="152">
        <v>1</v>
      </c>
      <c r="FP3" s="152">
        <v>0</v>
      </c>
      <c r="FQ3" s="152">
        <v>0</v>
      </c>
      <c r="FR3" s="152"/>
      <c r="FS3" s="152">
        <v>0</v>
      </c>
      <c r="FT3" s="780" t="s">
        <v>1631</v>
      </c>
      <c r="FU3" s="14"/>
      <c r="FV3" s="8">
        <f t="shared" ref="FV3:FV12" si="13">AG3</f>
        <v>46568</v>
      </c>
      <c r="FW3" s="14"/>
      <c r="FX3" s="141"/>
      <c r="FY3" s="14" t="s">
        <v>887</v>
      </c>
      <c r="FZ3" s="14" t="s">
        <v>1267</v>
      </c>
      <c r="GA3" s="80" t="s">
        <v>1268</v>
      </c>
      <c r="GB3" s="164" t="s">
        <v>1269</v>
      </c>
      <c r="GC3" s="156" t="str">
        <f>FT3</f>
        <v>Progress:
1. RBT (100%)
2. RPP (100%)
3. KAK (100%)
Next Action:
1. Penyerahan KAK dari MKA ke DMAP (To Do)
2. Pengadaan (To Do)
Note: 
RBT ADG Bidang 3 (DONE) - 7 Okt 2025</v>
      </c>
      <c r="GD3" s="165"/>
      <c r="GE3" s="166"/>
      <c r="GF3" s="166"/>
      <c r="GG3" s="166"/>
      <c r="GH3" s="141"/>
      <c r="GI3" s="141"/>
      <c r="GJ3" s="141"/>
      <c r="GK3" s="141"/>
      <c r="GL3" s="14"/>
      <c r="GM3" s="141"/>
      <c r="GN3" s="141"/>
      <c r="GO3" s="14"/>
      <c r="GP3" s="14"/>
      <c r="GQ3" s="141"/>
      <c r="GR3" s="141"/>
      <c r="GS3" s="141"/>
      <c r="GT3" s="141"/>
      <c r="GU3" s="141"/>
    </row>
    <row r="4" spans="1:213" ht="220.5" customHeight="1">
      <c r="A4" s="147" t="s">
        <v>1270</v>
      </c>
      <c r="B4" s="91" t="s">
        <v>1264</v>
      </c>
      <c r="C4" s="119" t="s">
        <v>1271</v>
      </c>
      <c r="D4" s="14" t="s">
        <v>1272</v>
      </c>
      <c r="E4" s="91">
        <v>2025</v>
      </c>
      <c r="F4" s="91">
        <v>2026</v>
      </c>
      <c r="G4" s="91" t="s">
        <v>288</v>
      </c>
      <c r="H4" s="91" t="s">
        <v>173</v>
      </c>
      <c r="I4" s="91" t="s">
        <v>174</v>
      </c>
      <c r="J4" s="91" t="s">
        <v>472</v>
      </c>
      <c r="K4" s="91" t="s">
        <v>212</v>
      </c>
      <c r="L4" s="148" t="s">
        <v>246</v>
      </c>
      <c r="M4" s="148" t="s">
        <v>246</v>
      </c>
      <c r="N4" s="148" t="s">
        <v>246</v>
      </c>
      <c r="O4" s="148" t="s">
        <v>246</v>
      </c>
      <c r="P4" s="148" t="s">
        <v>246</v>
      </c>
      <c r="Q4" s="148" t="s">
        <v>246</v>
      </c>
      <c r="R4" s="148" t="s">
        <v>246</v>
      </c>
      <c r="S4" s="148" t="s">
        <v>246</v>
      </c>
      <c r="T4" s="148" t="s">
        <v>246</v>
      </c>
      <c r="U4" s="148" t="s">
        <v>246</v>
      </c>
      <c r="V4" s="148">
        <v>45658</v>
      </c>
      <c r="W4" s="148">
        <v>45930</v>
      </c>
      <c r="X4" s="8">
        <v>45839</v>
      </c>
      <c r="Y4" s="8">
        <v>45930</v>
      </c>
      <c r="Z4" s="91" t="s">
        <v>246</v>
      </c>
      <c r="AA4" s="91" t="s">
        <v>246</v>
      </c>
      <c r="AB4" s="7"/>
      <c r="AC4" s="7"/>
      <c r="AD4" s="7"/>
      <c r="AE4" s="7"/>
      <c r="AF4" s="8">
        <v>45873</v>
      </c>
      <c r="AG4" s="8">
        <v>46066</v>
      </c>
      <c r="AH4" s="7" t="str">
        <f t="shared" ref="AH4:AH12" si="14">IF(BF4=0%,"Not Started",IF(BF4&lt;5%,"Proses RBT-RBB",IF(BF4=5%,"Selesai RBT-RBB",IF(BF4&lt;10%,"Proses RBT-RBL",IF(BF4=10%,"Selesai RBT-RBL",IF(BF4&lt;15%,"Proses RBT-RBTD",IF(BF4=15%,"Selesai RBT",IF(BF4&lt;20%,"Proses RPP",IF(BF4=20%,"Selesai RPP",IF(BF4&lt;25%,"Proses KAK",IF(BF4=25%,"Selesai KAK",IF(BF4&lt;30%,"Proses Pengadaan",IF(BF4=30%,"Selesai Pengadaan",IF(BF4&lt;60%,"Proses Delivery",IF(BF4=60%,"Selesai Delivery",IF(BF4&lt;95%,"Proses Pengembangan",IF(BF4=95%,"Selesai Pengembangan",IF(BF4&lt;100%,"Proses Implementasi","Selesai Implementasi"))))))))))))))))))</f>
        <v>Proses RBT-RBL</v>
      </c>
      <c r="AI4" s="7" t="s">
        <v>1031</v>
      </c>
      <c r="AJ4" s="7" t="str">
        <f t="shared" ref="AJ4:AJ12" si="15">IF(BH4=0%,"Not Started",IF(BH4&lt;5%,"Proses RBT-RBB",IF(BH4=5%,"Selesai RBT-RBB",IF(BH4&lt;10%,"Proses RBT-RBL",IF(BH4=10%,"Selesai RBT-RBL",IF(BH4&lt;15%,"Proses RBT-RBTD",IF(BH4=15%,"Selesai RBT",IF(BH4&lt;20%,"Proses RPP",IF(BH4=20%,"Selesai RPP",IF(BH4&lt;25%,"Proses KAK",IF(BH4=25%,"Selesai KAK",IF(BH4&lt;30%,"Proses Pengadaan",IF(BH4=30%,"Selesai Pengadaan",IF(BH4&lt;60%,"Proses Delivery",IF(BH4=60%,"Selesai Delivery",IF(BH4&lt;95%,"Proses Pengembangan",IF(BH4=95%,"Selesai Pengembangan",IF(BH4&lt;100%,"Proses Implementasi","Selesai Implementasi"))))))))))))))))))</f>
        <v>Proses KAK</v>
      </c>
      <c r="AK4" s="7" t="str">
        <f t="shared" ref="AK4:AK12" si="16">IF(BI4=0%,"Not Started",IF(BI4&lt;5%,"Proses RBT-RBB",IF(BI4=5%,"Selesai RBT-RBB",IF(BI4&lt;10%,"Proses RBT-RBL",IF(BI4=10%,"Selesai RBT-RBL",IF(BI4&lt;15%,"Proses RBT-RBTD",IF(BI4=15%,"Selesai RBT",IF(BI4&lt;20%,"Proses RPP",IF(BI4=20%,"Selesai RPP",IF(BI4&lt;25%,"Proses KAK",IF(BI4=25%,"Selesai KAK",IF(BI4&lt;30%,"Proses Pengadaan",IF(BI4=30%,"Selesai Pengadaan",IF(BI4&lt;60%,"Proses Delivery",IF(BI4=60%,"Selesai Delivery",IF(BI4&lt;95%,"Proses Pengembangan",IF(BI4=95%,"Selesai Pengembangan",IF(BI4&lt;100%,"Proses Implementasi","Selesai Implementasi"))))))))))))))))))</f>
        <v>Proses Pengadaan</v>
      </c>
      <c r="AL4" s="7" t="str">
        <f t="shared" ref="AL4:AL12" si="17">IF(BJ4=0%,"Not Started",IF(BJ4&lt;5%,"Proses RBT-RBB",IF(BJ4=5%,"Selesai RBT-RBB",IF(BJ4&lt;10%,"Proses RBT-RBL",IF(BJ4=10%,"Selesai RBT-RBL",IF(BJ4&lt;15%,"Proses RBT-RBTD",IF(BJ4=15%,"Selesai RBT",IF(BJ4&lt;20%,"Proses RPP",IF(BJ4=20%,"Selesai RPP",IF(BJ4&lt;25%,"Proses KAK",IF(BJ4=25%,"Selesai KAK",IF(BJ4&lt;30%,"Proses Pengadaan",IF(BJ4=30%,"Selesai Pengadaan",IF(BJ4&lt;60%,"Proses Delivery",IF(BJ4=60%,"Selesai Delivery",IF(BJ4&lt;95%,"Proses Pengembangan",IF(BJ4=95%,"Selesai Pengembangan",IF(BJ4&lt;100%,"Proses Implementasi","Selesai Implementasi"))))))))))))))))))</f>
        <v>Proses Delivery</v>
      </c>
      <c r="AM4" s="7" t="str">
        <f t="shared" ref="AM4:AM12" si="18">IF(BK4=0%,"Not Started",IF(BK4&lt;5%,"Proses RBT-RBB",IF(BK4=5%,"Selesai RBT-RBB",IF(BK4&lt;10%,"Proses RBT-RBL",IF(BK4=10%,"Selesai RBT-RBL",IF(BK4&lt;15%,"Proses RBT-RBTD",IF(BK4=15%,"Selesai RBT",IF(BK4&lt;20%,"Proses RPP",IF(BK4=20%,"Selesai RPP",IF(BK4&lt;25%,"Proses KAK",IF(BK4=25%,"Selesai KAK",IF(BK4&lt;30%,"Proses Pengadaan",IF(BK4=30%,"Selesai Pengadaan",IF(BK4&lt;60%,"Proses Delivery",IF(BK4=60%,"Selesai Delivery",IF(BK4&lt;95%,"Proses Pengembangan",IF(BK4=95%,"Selesai Pengembangan",IF(BK4&lt;100%,"Proses Implementasi","Selesai Implementasi"))))))))))))))))))</f>
        <v>Proses Delivery</v>
      </c>
      <c r="AN4" s="7" t="str">
        <f t="shared" ref="AN4:AN12" si="19">IF(BL4=0%,"Not Started",IF(BL4&lt;5%,"Proses RBT-RBB",IF(BL4=5%,"Selesai RBT-RBB",IF(BL4&lt;10%,"Proses RBT-RBL",IF(BL4=10%,"Selesai RBT-RBL",IF(BL4&lt;15%,"Proses RBT-RBTD",IF(BL4=15%,"Selesai RBT",IF(BL4&lt;20%,"Proses RPP",IF(BL4=20%,"Selesai RPP",IF(BL4&lt;25%,"Proses KAK",IF(BL4=25%,"Selesai KAK",IF(BL4&lt;30%,"Proses Pengadaan",IF(BL4=30%,"Selesai Pengadaan",IF(BL4&lt;60%,"Proses Delivery",IF(BL4=60%,"Selesai Delivery",IF(BL4&lt;95%,"Proses Pengembangan",IF(BL4=95%,"Selesai Pengembangan",IF(BL4&lt;100%,"Proses Implementasi","Selesai Implementasi"))))))))))))))))))</f>
        <v>Proses Delivery</v>
      </c>
      <c r="AO4" s="7" t="str">
        <f t="shared" ref="AO4:AO12" si="20">IF(BM4=0%,"Not Started",IF(BM4&lt;5%,"Proses RBT-RBB",IF(BM4=5%,"Selesai RBT-RBB",IF(BM4&lt;10%,"Proses RBT-RBL",IF(BM4=10%,"Selesai RBT-RBL",IF(BM4&lt;15%,"Proses RBT-RBTD",IF(BM4=15%,"Selesai RBT",IF(BM4&lt;20%,"Proses RPP",IF(BM4=20%,"Selesai RPP",IF(BM4&lt;25%,"Proses KAK",IF(BM4=25%,"Selesai KAK",IF(BM4&lt;30%,"Proses Pengadaan",IF(BM4=30%,"Selesai Pengadaan",IF(BM4&lt;60%,"Proses Delivery",IF(BM4=60%,"Selesai Delivery",IF(BM4&lt;95%,"Proses Pengembangan",IF(BM4=95%,"Selesai Pengembangan",IF(BM4&lt;100%,"Proses Implementasi","Selesai Implementasi"))))))))))))))))))</f>
        <v>Proses Delivery</v>
      </c>
      <c r="AP4" s="7" t="str">
        <f t="shared" ref="AP4:AP12" si="21">IF(BN4=0%,"Not Started",IF(BN4&lt;5%,"Proses RBT-RBB",IF(BN4=5%,"Selesai RBT-RBB",IF(BN4&lt;10%,"Proses RBT-RBL",IF(BN4=10%,"Selesai RBT-RBL",IF(BN4&lt;15%,"Proses RBT-RBTD",IF(BN4=15%,"Selesai RBT",IF(BN4&lt;20%,"Proses RPP",IF(BN4=20%,"Selesai RPP",IF(BN4&lt;25%,"Proses KAK",IF(BN4=25%,"Selesai KAK",IF(BN4&lt;30%,"Proses Pengadaan",IF(BN4=30%,"Selesai Pengadaan",IF(BN4&lt;60%,"Proses Delivery",IF(BN4=60%,"Selesai Delivery",IF(BN4&lt;95%,"Proses Pengembangan",IF(BN4=95%,"Selesai Pengembangan",IF(BN4&lt;100%,"Proses Implementasi","Selesai Implementasi"))))))))))))))))))</f>
        <v>Proses Pengembangan</v>
      </c>
      <c r="AQ4" s="7" t="str">
        <f t="shared" ref="AQ4:AQ12" si="22">IF(BO4=0%,"Not Started",IF(BO4&lt;5%,"Proses RBT-RBB",IF(BO4=5%,"Selesai RBT-RBB",IF(BO4&lt;10%,"Proses RBT-RBL",IF(BO4=10%,"Selesai RBT-RBL",IF(BO4&lt;15%,"Proses RBT-RBTD",IF(BO4=15%,"Selesai RBT",IF(BO4&lt;20%,"Proses RPP",IF(BO4=20%,"Selesai RPP",IF(BO4&lt;25%,"Proses KAK",IF(BO4=25%,"Selesai KAK",IF(BO4&lt;30%,"Proses Pengadaan",IF(BO4=30%,"Selesai Pengadaan",IF(BO4&lt;60%,"Proses Delivery",IF(BO4=60%,"Selesai Delivery",IF(BO4&lt;95%,"Proses Pengembangan",IF(BO4=95%,"Selesai Pengembangan",IF(BO4&lt;100%,"Proses Implementasi","Selesai Implementasi"))))))))))))))))))</f>
        <v>Proses Pengembangan</v>
      </c>
      <c r="AR4" s="7" t="str">
        <f t="shared" ref="AR4:AR12" si="23">IF(BP4=0%,"Not Started",IF(BP4&lt;5%,"Proses RBT-RBB",IF(BP4=5%,"Selesai RBT-RBB",IF(BP4&lt;10%,"Proses RBT-RBL",IF(BP4=10%,"Selesai RBT-RBL",IF(BP4&lt;15%,"Proses RBT-RBTD",IF(BP4=15%,"Selesai RBT",IF(BP4&lt;20%,"Proses RPP",IF(BP4=20%,"Selesai RPP",IF(BP4&lt;25%,"Proses KAK",IF(BP4=25%,"Selesai KAK",IF(BP4&lt;30%,"Proses Pengadaan",IF(BP4=30%,"Selesai Pengadaan",IF(BP4&lt;60%,"Proses Delivery",IF(BP4=60%,"Selesai Delivery",IF(BP4&lt;95%,"Proses Pengembangan",IF(BP4=95%,"Selesai Pengembangan",IF(BP4&lt;100%,"Proses Implementasi","Selesai Implementasi"))))))))))))))))))</f>
        <v>Proses Pengembangan</v>
      </c>
      <c r="AS4" s="7" t="str">
        <f t="shared" ref="AS4:AS12" si="24">IF(BQ4=0%,"Not Started",IF(BQ4&lt;5%,"Proses RBT-RBB",IF(BQ4=5%,"Selesai RBT-RBB",IF(BQ4&lt;10%,"Proses RBT-RBL",IF(BQ4=10%,"Selesai RBT-RBL",IF(BQ4&lt;15%,"Proses RBT-RBTD",IF(BQ4=15%,"Selesai RBT",IF(BQ4&lt;20%,"Proses RPP",IF(BQ4=20%,"Selesai RPP",IF(BQ4&lt;25%,"Proses KAK",IF(BQ4=25%,"Selesai KAK",IF(BQ4&lt;30%,"Proses Pengadaan",IF(BQ4=30%,"Selesai Pengadaan",IF(BQ4&lt;60%,"Proses Delivery",IF(BQ4=60%,"Selesai Delivery",IF(BQ4&lt;95%,"Proses Pengembangan",IF(BQ4=95%,"Selesai Pengembangan",IF(BQ4&lt;100%,"Proses Implementasi","Selesai Implementasi"))))))))))))))))))</f>
        <v>Proses Pengembangan</v>
      </c>
      <c r="AT4" s="7" t="str">
        <f>IF(BR4=0%,"Not Started",IF(BR4&lt;5%,"Proses RBT-RBB",IF(BR4=5%,"Selesai RBT-RBB",IF(BR4&lt;10%,"Proses RBT-RBL",IF(BR4=10%,"Selesai RBT-RBL",IF(BR4&lt;15%,"Proses RBT-RBTD",IF(BR4=15%,"Selesai RBT",IF(BR4&lt;20%,"Proses RPP",IF(BR4=20%,"Selesai RPP",IF(BR4&lt;25%,"Proses KAK",IF(BR4=25%,"Selesai KAK",IF(BR4&lt;30%,"Proses Pengadaan",IF(BR4=30%,"Selesai Pengadaan",IF(BR4&lt;60%,"Proses Delivery",IF(BR4=60%,"Selesai Delivery",IF(BR4&lt;95%,"Proses Pengembangan",IF(BR4=95%,"Selesai Pengembangan",IF(BR4&lt;100%,"Proses Implementasi","Selesai Implementasi"))))))))))))))))))</f>
        <v>Proses Pengembangan</v>
      </c>
      <c r="AU4" s="7" t="str">
        <f>IF(BS4=0%,"Not Started",IF(BS4&lt;5%,"Proses RBT-RBB",IF(BS4=5%,"Selesai RBT-RBB",IF(BS4&lt;10%,"Proses RBT-RBL",IF(BS4=10%,"Selesai RBT-RBL",IF(BS4&lt;15%,"Proses RBT-RBTD",IF(BS4=15%,"Selesai RBT",IF(BS4&lt;20%,"Proses RPP",IF(BS4=20%,"Selesai RPP",IF(BS4&lt;25%,"Proses KAK",IF(BS4=25%,"Selesai KAK",IF(BS4&lt;30%,"Proses Pengadaan",IF(BS4=30%,"Selesai Pengadaan",IF(BS4&lt;60%,"Proses Delivery",IF(BS4=60%,"Selesai Delivery",IF(BS4&lt;95%,"Proses Pengembangan",IF(BS4=95%,"Selesai Pengembangan",IF(BS4&lt;100%,"Proses Implementasi","Selesai Implementasi"))))))))))))))))))</f>
        <v>Selesai Implementasi</v>
      </c>
      <c r="AV4" s="7"/>
      <c r="AW4" s="7"/>
      <c r="AX4" s="7"/>
      <c r="AY4" s="7"/>
      <c r="AZ4" s="7"/>
      <c r="BA4" s="7"/>
      <c r="BB4" s="7"/>
      <c r="BC4" s="7"/>
      <c r="BD4" s="7"/>
      <c r="BE4" s="7"/>
      <c r="BF4" s="100">
        <v>7.1999999999999995E-2</v>
      </c>
      <c r="BG4" s="100">
        <v>0.14399999999999999</v>
      </c>
      <c r="BH4" s="100">
        <v>0.216</v>
      </c>
      <c r="BI4" s="100">
        <v>0.28799999999999998</v>
      </c>
      <c r="BJ4" s="100">
        <v>0.36</v>
      </c>
      <c r="BK4" s="100">
        <v>0.432</v>
      </c>
      <c r="BL4" s="100">
        <v>0.5</v>
      </c>
      <c r="BM4" s="100">
        <v>0.57999999999999996</v>
      </c>
      <c r="BN4" s="100">
        <v>0.65</v>
      </c>
      <c r="BO4" s="100">
        <v>0.72</v>
      </c>
      <c r="BP4" s="100">
        <v>0.79</v>
      </c>
      <c r="BQ4" s="100">
        <v>0.86499999999999999</v>
      </c>
      <c r="BR4" s="100">
        <v>0.92</v>
      </c>
      <c r="BS4" s="100">
        <v>1</v>
      </c>
      <c r="BT4" s="100"/>
      <c r="BU4" s="100"/>
      <c r="BV4" s="100"/>
      <c r="BW4" s="100"/>
      <c r="BX4" s="100"/>
      <c r="BY4" s="100"/>
      <c r="BZ4" s="100"/>
      <c r="CA4" s="100"/>
      <c r="CB4" s="100"/>
      <c r="CC4" s="100"/>
      <c r="CD4" s="7" t="str">
        <f t="shared" ref="CD4:CD12" si="25">IF(DB4=0%,"Not Started",IF(DB4&lt;5%,"Proses RBT-RBB",IF(DB4=5%,"Selesai RBT-RBB",IF(DB4&lt;10%,"Proses RBT-RBL",IF(DB4=10%,"Selesai RBT-RBL",IF(DB4&lt;15%,"Proses RBT-RBTD",IF(DB4=15%,"Selesai RBT-RBTD",IF(DB4&lt;20%,"Proses RPP",IF(DB4=20%,"Selesai RPP",IF(DB4&lt;25%,"Proses KAK",IF(DB4=25%,"Selesai KAK",IF(DB4&lt;30%,"Proses Pengadaan",IF(DB4=30%,"Selesai Pengadaan",IF(DB4&lt;45%,"Proses Desain",IF(DB4=45%,"Selesai Desain",IF(DB4&lt;80%,"Proses Pengembangan",IF(DB4=80%,"Selesai Pengembangan",IF(DB4&lt;87.5%,"Proses SIT",IF(DB4=87.5%,"Selesai SIT",IF(DB4&lt;95%,"Proses UAT",IF(DB4=95%,"Selesai UAT",IF(DB4&lt;100%,"Proses Implementasi","Selesai Implementasi"))))))))))))))))))))))</f>
        <v>Selesai RBT-RBB</v>
      </c>
      <c r="CE4" s="7" t="str">
        <f t="shared" ref="CE4:CN4" si="26">IF(DC4&lt;40%,"Proses Pengadaan",IF(DC4=30%,"Selesai Pengadaan",IF(DC4&lt;100%,"Proses Implementasi","Selesai Implementasi")))</f>
        <v>Proses Pengadaan</v>
      </c>
      <c r="CF4" s="7" t="str">
        <f t="shared" si="26"/>
        <v>Proses Pengadaan</v>
      </c>
      <c r="CG4" s="7" t="str">
        <f t="shared" si="26"/>
        <v>Proses Implementasi</v>
      </c>
      <c r="CH4" s="7" t="str">
        <f t="shared" si="26"/>
        <v>Proses Implementasi</v>
      </c>
      <c r="CI4" s="7" t="str">
        <f t="shared" si="26"/>
        <v>Proses Implementasi</v>
      </c>
      <c r="CJ4" s="7" t="str">
        <f t="shared" si="26"/>
        <v>Proses Implementasi</v>
      </c>
      <c r="CK4" s="7" t="str">
        <f t="shared" si="26"/>
        <v>Proses Implementasi</v>
      </c>
      <c r="CL4" s="7" t="str">
        <f t="shared" si="26"/>
        <v>Proses Implementasi</v>
      </c>
      <c r="CM4" s="7" t="str">
        <f t="shared" si="26"/>
        <v>Proses Implementasi</v>
      </c>
      <c r="CN4" s="7" t="str">
        <f t="shared" si="26"/>
        <v>Proses Implementasi</v>
      </c>
      <c r="CO4" s="7" t="str">
        <f>IF(DM4&lt;40%,"Proses Pengadaan",IF(DM4=30%,"Selesai Pengadaan",IF(DM4&lt;100%,"Proses Implementasi","Selesai Implementasi")))</f>
        <v>Proses Implementasi</v>
      </c>
      <c r="CP4" s="7" t="str">
        <f>IF(DN4&lt;40%,"Proses Pengadaan",IF(DN4=30%,"Selesai Pengadaan",IF(DN4&lt;100%,"Proses Implementasi","Selesai Implementasi")))</f>
        <v>Proses Implementasi</v>
      </c>
      <c r="CQ4" s="7" t="str">
        <f>IF(DO4&lt;40%,"Proses Pengadaan",IF(DO4=30%,"Selesai Pengadaan",IF(DO4&lt;100%,"Proses Implementasi","Selesai Implementasi")))</f>
        <v>Selesai Implementasi</v>
      </c>
      <c r="CR4" s="7"/>
      <c r="CS4" s="7"/>
      <c r="CT4" s="7"/>
      <c r="CU4" s="7"/>
      <c r="CV4" s="7"/>
      <c r="CW4" s="7"/>
      <c r="CX4" s="7"/>
      <c r="CY4" s="7"/>
      <c r="CZ4" s="7"/>
      <c r="DA4" s="7"/>
      <c r="DB4" s="152">
        <v>0.05</v>
      </c>
      <c r="DC4" s="152">
        <v>0.2</v>
      </c>
      <c r="DD4" s="152">
        <v>0.3</v>
      </c>
      <c r="DE4" s="152">
        <v>0.4</v>
      </c>
      <c r="DF4" s="152">
        <v>0.4</v>
      </c>
      <c r="DG4" s="152">
        <v>0.4</v>
      </c>
      <c r="DH4" s="152">
        <f>(($FP4/100%)*40%)+(($FR4/100%)*60%)</f>
        <v>0.4</v>
      </c>
      <c r="DI4" s="152">
        <v>0.4</v>
      </c>
      <c r="DJ4" s="152">
        <v>0.56999999999999995</v>
      </c>
      <c r="DK4" s="152">
        <v>0.7</v>
      </c>
      <c r="DL4" s="152">
        <v>0.8</v>
      </c>
      <c r="DM4" s="152">
        <v>0.9</v>
      </c>
      <c r="DN4" s="152">
        <f>(($FP4/100%)*30%)+(($FQ4/100%)*30%)+(($FS4/100%)*40%)</f>
        <v>0.98</v>
      </c>
      <c r="DO4" s="152">
        <v>1</v>
      </c>
      <c r="DP4" s="152"/>
      <c r="DQ4" s="152"/>
      <c r="DR4" s="152"/>
      <c r="DS4" s="152"/>
      <c r="DT4" s="152"/>
      <c r="DU4" s="152"/>
      <c r="DV4" s="152"/>
      <c r="DW4" s="152"/>
      <c r="DX4" s="152"/>
      <c r="DY4" s="152"/>
      <c r="DZ4" s="152">
        <f>IF(BG4=0%,100%,(DC4/BG4))</f>
        <v>1.3888888888888891</v>
      </c>
      <c r="EA4" s="152">
        <f>IF(BH4=0%,100%,(DD4/BH4))</f>
        <v>1.3888888888888888</v>
      </c>
      <c r="EB4" s="152">
        <f t="shared" si="4"/>
        <v>1.3888888888888891</v>
      </c>
      <c r="EC4" s="152">
        <f t="shared" si="5"/>
        <v>1.1111111111111112</v>
      </c>
      <c r="ED4" s="152">
        <f t="shared" si="6"/>
        <v>0.92592592592592604</v>
      </c>
      <c r="EE4" s="152">
        <f t="shared" si="7"/>
        <v>0.8</v>
      </c>
      <c r="EF4" s="152">
        <f t="shared" si="8"/>
        <v>0.68965517241379315</v>
      </c>
      <c r="EG4" s="152">
        <f t="shared" si="9"/>
        <v>0.87692307692307681</v>
      </c>
      <c r="EH4" s="152">
        <f t="shared" si="10"/>
        <v>0.97222222222222221</v>
      </c>
      <c r="EI4" s="152">
        <f t="shared" si="11"/>
        <v>1.0126582278481013</v>
      </c>
      <c r="EJ4" s="152">
        <f>IF(BQ4=0%,100%,(DM4/BQ4))</f>
        <v>1.0404624277456649</v>
      </c>
      <c r="EK4" s="152">
        <f>IF(BR4=0%,100%,(DN4/BR4))</f>
        <v>1.0652173913043477</v>
      </c>
      <c r="EL4" s="91" t="e">
        <f>IF(BF4=0%,"NS",IF(DB4=100%,"DONE",IF(#REF!&gt;100%,"AS",IF(#REF!&lt;75%,"BS",IF(CD4&lt;&gt;AH4,"BS",IF(#REF!&lt;70%,"AR","OS"))))))</f>
        <v>#REF!</v>
      </c>
      <c r="EM4" s="91" t="str">
        <f>IF(BG4=0%,"NS",IF(DC4=100%,"DONE",IF(DZ4&gt;100%,"AS",IF(DZ4&lt;10%,"BS",IF(CE4&lt;&gt;AI4,"BS",IF(DZ4&lt;60%,"AR","OS"))))))</f>
        <v>AS</v>
      </c>
      <c r="EN4" s="91" t="str">
        <f t="shared" si="12"/>
        <v>AS</v>
      </c>
      <c r="EO4" s="91" t="str">
        <f t="shared" si="12"/>
        <v>AS</v>
      </c>
      <c r="EP4" s="91" t="str">
        <f t="shared" si="12"/>
        <v>AS</v>
      </c>
      <c r="EQ4" s="91" t="str">
        <f t="shared" si="12"/>
        <v>BS</v>
      </c>
      <c r="ER4" s="91" t="str">
        <f t="shared" si="12"/>
        <v>BS</v>
      </c>
      <c r="ES4" s="91" t="str">
        <f t="shared" si="12"/>
        <v>BS</v>
      </c>
      <c r="ET4" s="91" t="str">
        <f t="shared" si="12"/>
        <v>BS</v>
      </c>
      <c r="EU4" s="91" t="str">
        <f t="shared" si="12"/>
        <v>OS</v>
      </c>
      <c r="EV4" s="91" t="str">
        <f t="shared" si="12"/>
        <v>OS</v>
      </c>
      <c r="EW4" s="91" t="str">
        <f t="shared" si="12"/>
        <v>OS</v>
      </c>
      <c r="EX4" s="91" t="str">
        <f>IF(BR4=0%,"NS",IF(DN4=100%,"DONE",IF(EK4&gt;=105%,"AS",IF(EK4&lt;94%,"BS","OS"))))</f>
        <v>AS</v>
      </c>
      <c r="EY4" s="141"/>
      <c r="EZ4" s="141"/>
      <c r="FA4" s="141"/>
      <c r="FB4" s="141"/>
      <c r="FC4" s="141"/>
      <c r="FD4" s="141"/>
      <c r="FE4" s="141"/>
      <c r="FF4" s="141"/>
      <c r="FG4" s="141"/>
      <c r="FH4" s="141"/>
      <c r="FI4" s="141"/>
      <c r="FJ4" s="141"/>
      <c r="FK4" s="152" t="s">
        <v>246</v>
      </c>
      <c r="FL4" s="152" t="s">
        <v>246</v>
      </c>
      <c r="FM4" s="152" t="s">
        <v>246</v>
      </c>
      <c r="FN4" s="152" t="s">
        <v>246</v>
      </c>
      <c r="FO4" s="152" t="s">
        <v>246</v>
      </c>
      <c r="FP4" s="162">
        <v>1</v>
      </c>
      <c r="FQ4" s="162">
        <v>1</v>
      </c>
      <c r="FR4" s="152">
        <v>0</v>
      </c>
      <c r="FS4" s="152">
        <v>0.95</v>
      </c>
      <c r="FT4" s="561" t="s">
        <v>1628</v>
      </c>
      <c r="FU4" s="8"/>
      <c r="FV4" s="8">
        <f t="shared" si="13"/>
        <v>46066</v>
      </c>
      <c r="FW4" s="14"/>
      <c r="FX4" s="141"/>
      <c r="FY4" s="14" t="s">
        <v>1273</v>
      </c>
      <c r="FZ4" s="14" t="s">
        <v>1274</v>
      </c>
      <c r="GA4" s="154" t="s">
        <v>1275</v>
      </c>
      <c r="GB4" s="155" t="s">
        <v>1276</v>
      </c>
      <c r="GC4" s="156" t="str">
        <f>FT4</f>
        <v>Progress: 
1. SPPP telah terbit pada tanggal 29 Juli 2025 (DONE)
2. Surat pemberitahuan penyediaan barang terbit tanggal 4 Agustus 2025 (DONE)
3. Kick of Meeting (DONE)
4. Diskusi LLD dengan vendor - rencana di tgl 18 september 2025 (DONE)
5. Delivery barang sampai ke SPU &amp; DKU di W4/W5 september 2025 (DONE)
6. Pengecekan barang di DKU (DONE - 22 s.d 23 Sep 2025)
7. Pengecekan perangkat di SPU (DONE - 29 Sep 2025)
8. BAP Penyediaan Barang oleh UKPS (DONE - 30 Okt 2025)
9. Instalasi perangkat NGFW di DKU (DONE)
10. 5 Nov 2025, UKPS telah mengirimkan BAP &amp; BAK ke MKA (DONE)  
11. Site survey di SPU (DONE)
12. UAT perangkat NGFW di DKUT  - 26 - 28 Nov 2025  (DONE)
13. Penerbitan Surat Implementasi DKU oleh UKPS - 4 Nov 2025 (DONE) 
14. Instalasi perangkat NGFW di SPU (DONE)
15. Proses Pembayaran Penyediaan Barang oleh TMI untuk penyediaan barang DKU &amp; SPU (DONE)
16. Finalisasi BAP Implementasi &amp; BAST NGFW MHE DKU (DONE)
17. UAT NGFW MHE untuk Gedung DKU - (21 - 22 Jan 2026) (DONE)
18. Penerbitan Surat Implementasi SPU oleh UKPS (DONE)
19. Sirkular BAI DKU  (DONE)
Next Action:
1. Kirim BAI &amp; BAST ke MKA (To Do)
2. Sirkular BAST DKU (On Progress)
3. Penyusunan BAI &amp; BAST NGFW SPU oleh UKPS (On Progress)</v>
      </c>
      <c r="GD4" s="155"/>
      <c r="GE4" s="155"/>
      <c r="GF4" s="157"/>
      <c r="GG4" s="157"/>
      <c r="GH4" s="158"/>
      <c r="GI4" s="141"/>
      <c r="GJ4" s="141"/>
      <c r="GK4" s="141"/>
      <c r="GL4" s="14"/>
      <c r="GM4" s="141"/>
      <c r="GN4" s="141"/>
      <c r="GO4" s="14"/>
      <c r="GP4" s="14"/>
      <c r="GQ4" s="141"/>
      <c r="GR4" s="141"/>
      <c r="GS4" s="141"/>
      <c r="GT4" s="141"/>
      <c r="GU4" s="141"/>
    </row>
    <row r="5" spans="1:213" ht="210.75" customHeight="1">
      <c r="A5" s="147" t="s">
        <v>1277</v>
      </c>
      <c r="B5" s="91" t="s">
        <v>1264</v>
      </c>
      <c r="C5" s="119" t="s">
        <v>1278</v>
      </c>
      <c r="D5" s="14" t="s">
        <v>1279</v>
      </c>
      <c r="E5" s="91">
        <v>2025</v>
      </c>
      <c r="F5" s="91">
        <v>2027</v>
      </c>
      <c r="G5" s="91" t="s">
        <v>288</v>
      </c>
      <c r="H5" s="91" t="s">
        <v>173</v>
      </c>
      <c r="I5" s="91" t="s">
        <v>174</v>
      </c>
      <c r="J5" s="91" t="s">
        <v>472</v>
      </c>
      <c r="K5" s="91" t="s">
        <v>212</v>
      </c>
      <c r="L5" s="148" t="s">
        <v>246</v>
      </c>
      <c r="M5" s="148" t="s">
        <v>246</v>
      </c>
      <c r="N5" s="148" t="s">
        <v>246</v>
      </c>
      <c r="O5" s="148" t="s">
        <v>246</v>
      </c>
      <c r="P5" s="148">
        <v>45717</v>
      </c>
      <c r="Q5" s="149">
        <v>45961</v>
      </c>
      <c r="R5" s="149">
        <v>45962</v>
      </c>
      <c r="S5" s="149">
        <v>46052</v>
      </c>
      <c r="T5" s="149">
        <v>45962</v>
      </c>
      <c r="U5" s="149">
        <v>46052</v>
      </c>
      <c r="V5" s="148">
        <v>46054</v>
      </c>
      <c r="W5" s="148">
        <v>46233</v>
      </c>
      <c r="X5" s="7" t="s">
        <v>246</v>
      </c>
      <c r="Y5" s="7" t="s">
        <v>246</v>
      </c>
      <c r="Z5" s="7" t="s">
        <v>246</v>
      </c>
      <c r="AA5" s="7" t="s">
        <v>246</v>
      </c>
      <c r="AB5" s="148"/>
      <c r="AC5" s="148"/>
      <c r="AD5" s="148"/>
      <c r="AE5" s="148"/>
      <c r="AF5" s="148">
        <v>46235</v>
      </c>
      <c r="AG5" s="150">
        <v>46568</v>
      </c>
      <c r="AH5" s="7" t="str">
        <f t="shared" si="14"/>
        <v>Not Started</v>
      </c>
      <c r="AI5" s="7" t="str">
        <f t="shared" ref="AI5:AI12" si="27">IF(BG5=0%,"Not Started",IF(BG5&lt;5%,"Proses RBT-RBB",IF(BG5=5%,"Selesai RBT-RBB",IF(BG5&lt;10%,"Proses RBT-RBL",IF(BG5=10%,"Selesai RBT-RBL",IF(BG5&lt;15%,"Proses RBT-RBTD",IF(BG5=15%,"Selesai RBT",IF(BG5&lt;20%,"Proses RPP",IF(BG5=20%,"Selesai RPP",IF(BG5&lt;25%,"Proses KAK",IF(BG5=25%,"Selesai KAK",IF(BG5&lt;30%,"Proses Pengadaan",IF(BG5=30%,"Selesai Pengadaan",IF(BG5&lt;60%,"Proses Delivery",IF(BG5=60%,"Selesai Delivery",IF(BG5&lt;95%,"Proses Pengembangan",IF(BG5=95%,"Selesai Pengembangan",IF(BG5&lt;100%,"Proses Implementasi","Selesai Implementasi"))))))))))))))))))</f>
        <v>Not Started</v>
      </c>
      <c r="AJ5" s="7" t="str">
        <f t="shared" si="15"/>
        <v>Not Started</v>
      </c>
      <c r="AK5" s="7" t="str">
        <f t="shared" si="16"/>
        <v>Selesai RBT-RBB</v>
      </c>
      <c r="AL5" s="7" t="str">
        <f t="shared" si="17"/>
        <v>Proses RBT-RBL</v>
      </c>
      <c r="AM5" s="7" t="str">
        <f t="shared" si="18"/>
        <v>Selesai RBT-RBL</v>
      </c>
      <c r="AN5" s="7" t="str">
        <f t="shared" si="19"/>
        <v>Proses RBT-RBTD</v>
      </c>
      <c r="AO5" s="7" t="str">
        <f t="shared" si="20"/>
        <v>Proses RBT-RBTD</v>
      </c>
      <c r="AP5" s="7" t="str">
        <f t="shared" si="21"/>
        <v>Proses RBT-RBTD</v>
      </c>
      <c r="AQ5" s="7" t="str">
        <f t="shared" si="22"/>
        <v>Selesai RBT</v>
      </c>
      <c r="AR5" s="7" t="str">
        <f t="shared" si="23"/>
        <v>Selesai RPP</v>
      </c>
      <c r="AS5" s="7" t="str">
        <f t="shared" si="24"/>
        <v>Proses KAK</v>
      </c>
      <c r="AT5" s="7" t="str">
        <f>IF(BR5=0%,"Not Started",IF(BR5&lt;5%,"Proses RBT-RBB",IF(BR5=5%,"Selesai RBT-RBB",IF(BR5&lt;10%,"Proses RBT-RBL",IF(BR5=10%,"Selesai RBT-RBL",IF(BR5&lt;15%,"Proses RBT-RBTD",IF(BR5=15%,"Selesai RBT",IF(BR5&lt;20%,"Proses RPP",IF(BR5=20%,"Selesai RPP",IF(BR5&lt;25%,"Proses KAK",IF(BR5=25%,"Selesai KAK",IF(BR5&lt;30%,"Proses Pengadaan",IF(BR5=30%,"Selesai Pengadaan",IF(BR5&lt;60%,"Proses Delivery",IF(BR5=60%,"Selesai Delivery",IF(BR5&lt;95%,"Proses Pengembangan",IF(BR5=95%,"Selesai Pengembangan",IF(BR5&lt;100%,"Proses Implementasi","Selesai Implementasi"))))))))))))))))))</f>
        <v>Selesai KAK</v>
      </c>
      <c r="AU5" s="7" t="str">
        <f>IF(BS5=0%,"Not Started",IF(BS5&lt;5%,"Proses RBT-RBB",IF(BS5=5%,"Selesai RBT-RBB",IF(BS5&lt;10%,"Proses RBT-RBL",IF(BS5=10%,"Selesai RBT-RBL",IF(BS5&lt;15%,"Proses RBT-RBTD",IF(BS5=15%,"Selesai RBT",IF(BS5&lt;20%,"Proses RPP",IF(BS5=20%,"Selesai RPP",IF(BS5&lt;25%,"Proses KAK",IF(BS5=25%,"Selesai KAK",IF(BS5&lt;30%,"Proses Pengadaan",IF(BS5=30%,"Selesai Pengadaan",IF(BS5&lt;60%,"Proses Delivery",IF(BS5=60%,"Selesai Delivery",IF(BS5&lt;95%,"Proses Pengembangan",IF(BS5=95%,"Selesai Pengembangan",IF(BS5&lt;100%,"Proses Implementasi","Selesai Implementasi"))))))))))))))))))</f>
        <v>Proses Pengadaan</v>
      </c>
      <c r="AV5" s="7" t="str">
        <f t="shared" ref="AV5:BE5" si="28">IF(BT5=0%,"Not Started",IF(BT5&lt;5%,"Proses RBT-RBB",IF(BT5=5%,"Selesai RBT-RBB",IF(BT5&lt;10%,"Proses RBT-RBL",IF(BT5=10%,"Selesai RBT-RBL",IF(BT5&lt;15%,"Proses RBT-RBTD",IF(BT5=15%,"Selesai RBT",IF(BT5&lt;20%,"Proses RPP",IF(BT5=20%,"Selesai RPP",IF(BT5&lt;25%,"Proses KAK",IF(BT5=25%,"Selesai KAK",IF(BT5&lt;30%,"Proses Pengadaan",IF(BT5=30%,"Selesai Pengadaan",IF(BT5&lt;60%,"Proses Delivery",IF(BT5=60%,"Selesai Delivery",IF(BT5&lt;95%,"Proses Pengembangan",IF(BT5=95%,"Selesai Pengembangan",IF(BT5&lt;100%,"Proses Implementasi","Selesai Implementasi"))))))))))))))))))</f>
        <v>Proses Pengadaan</v>
      </c>
      <c r="AW5" s="7" t="str">
        <f t="shared" si="28"/>
        <v>Proses Pengadaan</v>
      </c>
      <c r="AX5" s="7" t="str">
        <f t="shared" si="28"/>
        <v>Proses Pengadaan</v>
      </c>
      <c r="AY5" s="7" t="str">
        <f t="shared" si="28"/>
        <v>Proses Pengadaan</v>
      </c>
      <c r="AZ5" s="7" t="str">
        <f t="shared" si="28"/>
        <v>Selesai Pengadaan</v>
      </c>
      <c r="BA5" s="7" t="str">
        <f t="shared" si="28"/>
        <v>Proses Pengembangan</v>
      </c>
      <c r="BB5" s="7" t="str">
        <f t="shared" si="28"/>
        <v>Proses Pengembangan</v>
      </c>
      <c r="BC5" s="7" t="str">
        <f t="shared" si="28"/>
        <v>Proses Pengembangan</v>
      </c>
      <c r="BD5" s="7" t="str">
        <f t="shared" si="28"/>
        <v>Proses Pengembangan</v>
      </c>
      <c r="BE5" s="7" t="str">
        <f t="shared" si="28"/>
        <v>Proses Pengembangan</v>
      </c>
      <c r="BF5" s="151"/>
      <c r="BG5" s="151"/>
      <c r="BH5" s="151"/>
      <c r="BI5" s="100">
        <v>0.05</v>
      </c>
      <c r="BJ5" s="100">
        <v>7.0000000000000007E-2</v>
      </c>
      <c r="BK5" s="100">
        <v>0.1</v>
      </c>
      <c r="BL5" s="100">
        <v>0.12</v>
      </c>
      <c r="BM5" s="100">
        <v>0.13</v>
      </c>
      <c r="BN5" s="100">
        <v>0.14000000000000001</v>
      </c>
      <c r="BO5" s="100">
        <v>0.15</v>
      </c>
      <c r="BP5" s="100">
        <v>0.2</v>
      </c>
      <c r="BQ5" s="100">
        <v>0.23</v>
      </c>
      <c r="BR5" s="100">
        <v>0.25</v>
      </c>
      <c r="BS5" s="100">
        <v>0.26</v>
      </c>
      <c r="BT5" s="100">
        <v>0.27</v>
      </c>
      <c r="BU5" s="100">
        <v>0.28000000000000003</v>
      </c>
      <c r="BV5" s="100">
        <v>0.28999999999999998</v>
      </c>
      <c r="BW5" s="100">
        <v>0.29499999999999998</v>
      </c>
      <c r="BX5" s="100">
        <v>0.3</v>
      </c>
      <c r="BY5" s="100">
        <v>0.65</v>
      </c>
      <c r="BZ5" s="100">
        <v>0.67</v>
      </c>
      <c r="CA5" s="100">
        <v>0.69</v>
      </c>
      <c r="CB5" s="100">
        <v>0.71</v>
      </c>
      <c r="CC5" s="100">
        <v>0.73</v>
      </c>
      <c r="CD5" s="7" t="str">
        <f t="shared" si="25"/>
        <v>Selesai RBT-RBL</v>
      </c>
      <c r="CE5" s="7" t="str">
        <f t="shared" ref="CE5:CN12" si="29">IF(DC5=0%,"Not Started",IF(DC5&lt;5%,"Proses RBT-RBB",IF(DC5=5%,"Selesai RBT-RBB",IF(DC5&lt;10%,"Proses RBT-RBL",IF(DC5=10%,"Selesai RBT-RBL",IF(DC5&lt;15%,"Proses RBT-RBTD",IF(DC5=15%,"Selesai RBT-RBTD",IF(DC5&lt;20%,"Proses RPP",IF(DC5=20%,"Selesai RPP",IF(DC5&lt;25%,"Proses KAK",IF(DC5=25%,"Selesai KAK",IF(DC5&lt;30%,"Proses Pengadaan",IF(DC5=30%,"Selesai Pengadaan",IF(DC5&lt;45%,"Proses Desain",IF(DC5=45%,"Selesai Desain",IF(DC5&lt;80%,"Proses Pengembangan",IF(DC5=80%,"Selesai Pengembangan",IF(DC5&lt;87.5%,"Proses SIT",IF(DC5=87.5%,"Selesai SIT",IF(DC5&lt;95%,"Proses UAT",IF(DC5=95%,"Selesai UAT",IF(DC5&lt;100%,"Proses Implementasi","Selesai Implementasi"))))))))))))))))))))))</f>
        <v>Selesai RBT-RBL</v>
      </c>
      <c r="CF5" s="7" t="str">
        <f t="shared" si="29"/>
        <v>Selesai RBT-RBL</v>
      </c>
      <c r="CG5" s="7" t="str">
        <f t="shared" si="29"/>
        <v>Selesai RBT-RBL</v>
      </c>
      <c r="CH5" s="7" t="str">
        <f t="shared" si="29"/>
        <v>Selesai RBT-RBL</v>
      </c>
      <c r="CI5" s="7" t="str">
        <f t="shared" si="29"/>
        <v>Proses RBT-RBTD</v>
      </c>
      <c r="CJ5" s="7" t="str">
        <f t="shared" si="29"/>
        <v>Proses RBT-RBTD</v>
      </c>
      <c r="CK5" s="7" t="str">
        <f t="shared" si="29"/>
        <v>Proses RPP</v>
      </c>
      <c r="CL5" s="7" t="str">
        <f t="shared" si="29"/>
        <v>Proses RPP</v>
      </c>
      <c r="CM5" s="7" t="str">
        <f t="shared" si="29"/>
        <v>Proses RPP</v>
      </c>
      <c r="CN5" s="7" t="str">
        <f t="shared" si="29"/>
        <v>Selesai RPP</v>
      </c>
      <c r="CO5" s="7" t="str">
        <f t="shared" ref="CO5:DA6" si="30">IF(DM5=0%,"Not Started",IF(DM5&lt;5%,"Proses RBT-RBB",IF(DM5=5%,"Selesai RBT-RBB",IF(DM5&lt;10%,"Proses RBT-RBL",IF(DM5=10%,"Selesai RBT-RBL",IF(DM5&lt;15%,"Proses RBT-RBTD",IF(DM5=15%,"Selesai RBT-RBTD",IF(DM5&lt;20%,"Proses RPP",IF(DM5=20%,"Selesai RPP",IF(DM5&lt;25%,"Proses KAK",IF(DM5=25%,"Selesai KAK",IF(DM5&lt;30%,"Proses Pengadaan",IF(DM5=30%,"Selesai Pengadaan",IF(DM5&lt;45%,"Proses Desain",IF(DM5=45%,"Selesai Desain",IF(DM5&lt;80%,"Proses Pengembangan",IF(DM5=80%,"Selesai Pengembangan",IF(DM5&lt;87.5%,"Proses SIT",IF(DM5=87.5%,"Selesai SIT",IF(DM5&lt;95%,"Proses UAT",IF(DM5=95%,"Selesai UAT",IF(DM5&lt;100%,"Proses Implementasi","Selesai Implementasi"))))))))))))))))))))))</f>
        <v>Proses KAK</v>
      </c>
      <c r="CP5" s="7" t="str">
        <f t="shared" ca="1" si="30"/>
        <v>Proses KAK</v>
      </c>
      <c r="CQ5" s="7" t="str">
        <f t="shared" si="30"/>
        <v>Not Started</v>
      </c>
      <c r="CR5" s="7" t="str">
        <f t="shared" si="30"/>
        <v>Not Started</v>
      </c>
      <c r="CS5" s="7" t="str">
        <f t="shared" si="30"/>
        <v>Not Started</v>
      </c>
      <c r="CT5" s="7" t="str">
        <f t="shared" si="30"/>
        <v>Not Started</v>
      </c>
      <c r="CU5" s="7" t="str">
        <f t="shared" si="30"/>
        <v>Not Started</v>
      </c>
      <c r="CV5" s="7" t="str">
        <f t="shared" si="30"/>
        <v>Not Started</v>
      </c>
      <c r="CW5" s="7" t="str">
        <f t="shared" si="30"/>
        <v>Not Started</v>
      </c>
      <c r="CX5" s="7" t="str">
        <f t="shared" si="30"/>
        <v>Not Started</v>
      </c>
      <c r="CY5" s="7" t="str">
        <f t="shared" si="30"/>
        <v>Not Started</v>
      </c>
      <c r="CZ5" s="7" t="str">
        <f t="shared" si="30"/>
        <v>Not Started</v>
      </c>
      <c r="DA5" s="7" t="str">
        <f t="shared" si="30"/>
        <v>Not Started</v>
      </c>
      <c r="DB5" s="152">
        <v>0.1</v>
      </c>
      <c r="DC5" s="153">
        <v>0.1</v>
      </c>
      <c r="DD5" s="152">
        <v>0.1</v>
      </c>
      <c r="DE5" s="152">
        <v>0.1</v>
      </c>
      <c r="DF5" s="152">
        <v>0.1</v>
      </c>
      <c r="DG5" s="152">
        <v>0.12</v>
      </c>
      <c r="DH5" s="152">
        <v>0.14000000000000001</v>
      </c>
      <c r="DI5" s="152">
        <v>0.16</v>
      </c>
      <c r="DJ5" s="152">
        <v>0.16</v>
      </c>
      <c r="DK5" s="152">
        <v>0.16</v>
      </c>
      <c r="DL5" s="152">
        <v>0.2</v>
      </c>
      <c r="DM5" s="152">
        <v>0.22</v>
      </c>
      <c r="DN5" s="152">
        <f ca="1">(($FM5/100%)*15%)+(($FN5/100%)*5%)+(($FO5/100%)*5%)+(($FP5/100%)*5%)+(($FQ5/100%)*30%)+(($FR5/100%)*35%)+(($FS5/100%)*5%)</f>
        <v>0.22750000000000001</v>
      </c>
      <c r="DO5" s="152"/>
      <c r="DP5" s="152"/>
      <c r="DQ5" s="152"/>
      <c r="DR5" s="152"/>
      <c r="DS5" s="152"/>
      <c r="DT5" s="152"/>
      <c r="DU5" s="152"/>
      <c r="DV5" s="152"/>
      <c r="DW5" s="152"/>
      <c r="DX5" s="152"/>
      <c r="DY5" s="152"/>
      <c r="DZ5" s="152">
        <f>IF(BG5=0%,100%,(DC5/BG5))</f>
        <v>1</v>
      </c>
      <c r="EA5" s="152">
        <f>IF(BH5=0%,100%,(DD5/BH5))</f>
        <v>1</v>
      </c>
      <c r="EB5" s="152">
        <f t="shared" si="4"/>
        <v>2</v>
      </c>
      <c r="EC5" s="152">
        <f t="shared" si="5"/>
        <v>1.4285714285714286</v>
      </c>
      <c r="ED5" s="152">
        <f t="shared" si="6"/>
        <v>1.2</v>
      </c>
      <c r="EE5" s="152">
        <f t="shared" si="7"/>
        <v>1.1666666666666667</v>
      </c>
      <c r="EF5" s="152">
        <f t="shared" si="8"/>
        <v>1.2307692307692308</v>
      </c>
      <c r="EG5" s="152">
        <f t="shared" si="9"/>
        <v>1.1428571428571428</v>
      </c>
      <c r="EH5" s="152">
        <f t="shared" si="10"/>
        <v>1.0666666666666667</v>
      </c>
      <c r="EI5" s="152">
        <f t="shared" si="11"/>
        <v>1</v>
      </c>
      <c r="EJ5" s="152">
        <f t="shared" ref="EJ5:EJ12" ca="1" si="31">IF(BQ5=0%,100%,(DN5/BQ5))</f>
        <v>0.98913043478260865</v>
      </c>
      <c r="EK5" s="152">
        <f ca="1">IF(BR5=0%,100%,(DN5/BR5))</f>
        <v>0.91</v>
      </c>
      <c r="EL5" s="91" t="str">
        <f>IF(BF5=0%,"NS",IF(DB5=100%,"DONE",IF(#REF!&gt;100%,"AS",IF(#REF!&lt;75%,"BS",IF(CD5&lt;&gt;AH5,"BS",IF(#REF!&lt;70%,"AR","OS"))))))</f>
        <v>NS</v>
      </c>
      <c r="EM5" s="91" t="str">
        <f>IF(BG5=0%,"NS",IF(DC5=100%,"DONE",IF(DZ5&gt;100%,"AS",IF(DZ5&lt;75%,"BS",IF(DZ5&lt;70%,"AR","OS")))))</f>
        <v>NS</v>
      </c>
      <c r="EN5" s="91" t="str">
        <f t="shared" ref="EN5:EP6" si="32">IF(BH5=0%,"NS",IF(DD5=100%,"DONE",IF(EA5&gt;=105%,"AS",IF(EA5&lt;94%,"BS","OS"))))</f>
        <v>NS</v>
      </c>
      <c r="EO5" s="91" t="str">
        <f t="shared" si="32"/>
        <v>AS</v>
      </c>
      <c r="EP5" s="91" t="str">
        <f t="shared" si="32"/>
        <v>AS</v>
      </c>
      <c r="EQ5" s="91" t="str">
        <f t="shared" ref="EQ5:EV5" si="33">IF(BK5=0%,"NS",IF(DG5=100%,"DONE",IF(ED5&gt;=105%,"AS",IF(ED5&lt;94.45%,"BS",IF(ED5&gt;=94.5%,"AR","OS")))))</f>
        <v>AS</v>
      </c>
      <c r="ER5" s="91" t="str">
        <f t="shared" si="33"/>
        <v>AS</v>
      </c>
      <c r="ES5" s="91" t="str">
        <f t="shared" si="33"/>
        <v>AS</v>
      </c>
      <c r="ET5" s="91" t="str">
        <f t="shared" si="33"/>
        <v>AS</v>
      </c>
      <c r="EU5" s="91" t="str">
        <f t="shared" si="33"/>
        <v>AS</v>
      </c>
      <c r="EV5" s="91" t="str">
        <f t="shared" si="33"/>
        <v>AR</v>
      </c>
      <c r="EW5" s="91" t="str">
        <f ca="1">IF(BQ5=0%,"NS",IF(DN5=100%,"DONE",IF(EJ5&gt;=105%,"AS",IF(EJ5&lt;94.45%,"BS",IF(EJ5&gt;=94.5%,"AR","OS")))))</f>
        <v>AR</v>
      </c>
      <c r="EX5" s="91" t="str">
        <f ca="1">IF(BR5=0%,"NS",IF(DO5=100%,"DONE",IF(EK5&gt;=105%,"AS",IF(EK5&lt;94.45%,"BS",IF(EK5&gt;=94.5%,"AR","OS")))))</f>
        <v>BS</v>
      </c>
      <c r="EY5" s="141"/>
      <c r="EZ5" s="141"/>
      <c r="FA5" s="141"/>
      <c r="FB5" s="141"/>
      <c r="FC5" s="141"/>
      <c r="FD5" s="141"/>
      <c r="FE5" s="141"/>
      <c r="FF5" s="141"/>
      <c r="FG5" s="141"/>
      <c r="FH5" s="141"/>
      <c r="FI5" s="141"/>
      <c r="FJ5" s="141"/>
      <c r="FK5" s="152" t="s">
        <v>246</v>
      </c>
      <c r="FL5" s="152" t="s">
        <v>246</v>
      </c>
      <c r="FM5" s="152">
        <v>1</v>
      </c>
      <c r="FN5" s="152">
        <v>1</v>
      </c>
      <c r="FO5" s="152">
        <v>0.7</v>
      </c>
      <c r="FP5" s="152">
        <v>0</v>
      </c>
      <c r="FQ5" s="152" cm="1">
        <f t="array" aca="1" ref="FQ5" ca="1">FQ5:FT8</f>
        <v>0</v>
      </c>
      <c r="FR5" s="152"/>
      <c r="FS5" s="152">
        <v>0</v>
      </c>
      <c r="FT5" s="782" t="s">
        <v>1588</v>
      </c>
      <c r="FU5" s="148"/>
      <c r="FV5" s="8">
        <f t="shared" si="13"/>
        <v>46568</v>
      </c>
      <c r="FW5" s="14"/>
      <c r="FX5" s="141"/>
      <c r="FY5" s="14" t="s">
        <v>1280</v>
      </c>
      <c r="FZ5" s="80" t="s">
        <v>1281</v>
      </c>
      <c r="GA5" s="154" t="s">
        <v>1282</v>
      </c>
      <c r="GB5" s="155" t="s">
        <v>1283</v>
      </c>
      <c r="GC5" s="156" t="str">
        <f>FT5</f>
        <v>Progress: 
1. RBT (DONE)
2. RPP (DONE)
Next Action: 
Finalisasi Penyusunan KAK di DPID - target Jan 2026 (On Progress)
Note:
1. Berdasarkan memo DPID, target RPP &amp; KAK: Jan 2026
2. RPP: Informasi dari Pak Rifki DPID cukup 1 RPP dan akan di deliver oleh DPID - update tgl 29 Sep 2025</v>
      </c>
      <c r="GD5" s="155"/>
      <c r="GE5" s="157"/>
      <c r="GF5" s="157"/>
      <c r="GG5" s="157"/>
      <c r="GH5" s="158"/>
      <c r="GI5" s="141"/>
      <c r="GJ5" s="141"/>
      <c r="GK5" s="141"/>
      <c r="GL5" s="14"/>
      <c r="GM5" s="141"/>
      <c r="GN5" s="141"/>
      <c r="GO5" s="14"/>
      <c r="GP5" s="14"/>
      <c r="GQ5" s="141"/>
      <c r="GR5" s="141"/>
      <c r="GS5" s="141"/>
      <c r="GT5" s="141"/>
      <c r="GU5" s="141"/>
      <c r="HE5" s="159"/>
    </row>
    <row r="6" spans="1:213" ht="46.4" customHeight="1">
      <c r="A6" s="147" t="s">
        <v>1277</v>
      </c>
      <c r="B6" s="91" t="s">
        <v>1264</v>
      </c>
      <c r="C6" s="119" t="s">
        <v>1278</v>
      </c>
      <c r="D6" s="14" t="s">
        <v>1284</v>
      </c>
      <c r="E6" s="91">
        <v>2028</v>
      </c>
      <c r="F6" s="91">
        <v>2029</v>
      </c>
      <c r="G6" s="91" t="s">
        <v>288</v>
      </c>
      <c r="H6" s="91" t="s">
        <v>173</v>
      </c>
      <c r="I6" s="91" t="s">
        <v>174</v>
      </c>
      <c r="J6" s="91" t="s">
        <v>472</v>
      </c>
      <c r="K6" s="91" t="s">
        <v>458</v>
      </c>
      <c r="L6" s="148" t="s">
        <v>246</v>
      </c>
      <c r="M6" s="148" t="s">
        <v>246</v>
      </c>
      <c r="N6" s="148" t="s">
        <v>246</v>
      </c>
      <c r="O6" s="148" t="s">
        <v>246</v>
      </c>
      <c r="P6" s="148" t="s">
        <v>246</v>
      </c>
      <c r="Q6" s="148" t="s">
        <v>246</v>
      </c>
      <c r="R6" s="148">
        <v>46935</v>
      </c>
      <c r="S6" s="148">
        <v>47026</v>
      </c>
      <c r="T6" s="148">
        <v>46935</v>
      </c>
      <c r="U6" s="148">
        <v>47026</v>
      </c>
      <c r="V6" s="148">
        <v>47027</v>
      </c>
      <c r="W6" s="148">
        <v>47148</v>
      </c>
      <c r="X6" s="7" t="s">
        <v>246</v>
      </c>
      <c r="Y6" s="7" t="s">
        <v>246</v>
      </c>
      <c r="Z6" s="7" t="s">
        <v>246</v>
      </c>
      <c r="AA6" s="7" t="s">
        <v>246</v>
      </c>
      <c r="AB6" s="7" t="s">
        <v>246</v>
      </c>
      <c r="AC6" s="7" t="s">
        <v>246</v>
      </c>
      <c r="AD6" s="7" t="s">
        <v>246</v>
      </c>
      <c r="AE6" s="7" t="s">
        <v>246</v>
      </c>
      <c r="AF6" s="148">
        <v>47209</v>
      </c>
      <c r="AG6" s="148">
        <v>47483</v>
      </c>
      <c r="AH6" s="7" t="str">
        <f t="shared" si="14"/>
        <v>Not Started</v>
      </c>
      <c r="AI6" s="7" t="str">
        <f t="shared" si="27"/>
        <v>Not Started</v>
      </c>
      <c r="AJ6" s="7" t="str">
        <f t="shared" si="15"/>
        <v>Not Started</v>
      </c>
      <c r="AK6" s="7" t="str">
        <f t="shared" si="16"/>
        <v>Not Started</v>
      </c>
      <c r="AL6" s="7" t="str">
        <f t="shared" si="17"/>
        <v>Not Started</v>
      </c>
      <c r="AM6" s="7" t="str">
        <f t="shared" si="18"/>
        <v>Not Started</v>
      </c>
      <c r="AN6" s="7" t="str">
        <f t="shared" si="19"/>
        <v>Not Started</v>
      </c>
      <c r="AO6" s="7" t="str">
        <f t="shared" si="20"/>
        <v>Not Started</v>
      </c>
      <c r="AP6" s="7" t="str">
        <f t="shared" si="21"/>
        <v>Not Started</v>
      </c>
      <c r="AQ6" s="7" t="str">
        <f t="shared" si="22"/>
        <v>Not Started</v>
      </c>
      <c r="AR6" s="7" t="str">
        <f t="shared" si="23"/>
        <v>Not Started</v>
      </c>
      <c r="AS6" s="7" t="str">
        <f t="shared" si="24"/>
        <v>Not Started</v>
      </c>
      <c r="AT6" s="7"/>
      <c r="AU6" s="7"/>
      <c r="AV6" s="7"/>
      <c r="AW6" s="7"/>
      <c r="AX6" s="7"/>
      <c r="AY6" s="7"/>
      <c r="AZ6" s="7"/>
      <c r="BA6" s="7"/>
      <c r="BB6" s="7"/>
      <c r="BC6" s="7"/>
      <c r="BD6" s="7"/>
      <c r="BE6" s="7"/>
      <c r="BF6" s="91"/>
      <c r="BG6" s="91"/>
      <c r="BH6" s="91"/>
      <c r="BI6" s="91"/>
      <c r="BJ6" s="91"/>
      <c r="BK6" s="91"/>
      <c r="BL6" s="91"/>
      <c r="BM6" s="91"/>
      <c r="BN6" s="91"/>
      <c r="BO6" s="91"/>
      <c r="BP6" s="91"/>
      <c r="BQ6" s="91"/>
      <c r="BR6" s="91"/>
      <c r="BS6" s="91"/>
      <c r="BT6" s="91"/>
      <c r="BU6" s="91"/>
      <c r="BV6" s="91"/>
      <c r="BW6" s="91"/>
      <c r="BX6" s="91"/>
      <c r="BY6" s="91"/>
      <c r="BZ6" s="91"/>
      <c r="CA6" s="91"/>
      <c r="CB6" s="91"/>
      <c r="CC6" s="91"/>
      <c r="CD6" s="7" t="str">
        <f t="shared" si="25"/>
        <v>Not Started</v>
      </c>
      <c r="CE6" s="7" t="str">
        <f t="shared" si="29"/>
        <v>Not Started</v>
      </c>
      <c r="CF6" s="7" t="str">
        <f t="shared" si="29"/>
        <v>Not Started</v>
      </c>
      <c r="CG6" s="7" t="str">
        <f t="shared" si="29"/>
        <v>Not Started</v>
      </c>
      <c r="CH6" s="7" t="str">
        <f t="shared" si="29"/>
        <v>Not Started</v>
      </c>
      <c r="CI6" s="7" t="str">
        <f t="shared" si="29"/>
        <v>Not Started</v>
      </c>
      <c r="CJ6" s="7" t="str">
        <f t="shared" si="29"/>
        <v>Not Started</v>
      </c>
      <c r="CK6" s="7" t="str">
        <f t="shared" si="29"/>
        <v>Not Started</v>
      </c>
      <c r="CL6" s="7" t="str">
        <f t="shared" si="29"/>
        <v>Not Started</v>
      </c>
      <c r="CM6" s="7" t="str">
        <f t="shared" si="29"/>
        <v>Not Started</v>
      </c>
      <c r="CN6" s="7" t="str">
        <f t="shared" si="29"/>
        <v>Not Started</v>
      </c>
      <c r="CO6" s="7" t="str">
        <f t="shared" si="30"/>
        <v>Not Started</v>
      </c>
      <c r="CP6" s="7" t="str">
        <f t="shared" si="30"/>
        <v>Not Started</v>
      </c>
      <c r="CQ6" s="7" t="str">
        <f t="shared" si="30"/>
        <v>Not Started</v>
      </c>
      <c r="CR6" s="7" t="str">
        <f t="shared" si="30"/>
        <v>Not Started</v>
      </c>
      <c r="CS6" s="7" t="str">
        <f t="shared" si="30"/>
        <v>Not Started</v>
      </c>
      <c r="CT6" s="7" t="str">
        <f t="shared" si="30"/>
        <v>Not Started</v>
      </c>
      <c r="CU6" s="7" t="str">
        <f t="shared" si="30"/>
        <v>Not Started</v>
      </c>
      <c r="CV6" s="7" t="str">
        <f t="shared" si="30"/>
        <v>Not Started</v>
      </c>
      <c r="CW6" s="7" t="str">
        <f t="shared" si="30"/>
        <v>Not Started</v>
      </c>
      <c r="CX6" s="7" t="str">
        <f t="shared" si="30"/>
        <v>Not Started</v>
      </c>
      <c r="CY6" s="7" t="str">
        <f t="shared" si="30"/>
        <v>Not Started</v>
      </c>
      <c r="CZ6" s="7" t="str">
        <f t="shared" si="30"/>
        <v>Not Started</v>
      </c>
      <c r="DA6" s="7" t="str">
        <f t="shared" si="30"/>
        <v>Not Started</v>
      </c>
      <c r="DB6" s="152">
        <v>0</v>
      </c>
      <c r="DC6" s="152">
        <v>0</v>
      </c>
      <c r="DD6" s="152">
        <v>0</v>
      </c>
      <c r="DE6" s="152">
        <f>(($FM6/100%)*15%)+(($FN6/100%)*5%)+(($FO6/100%)*5%)+(($FP6/100%)*5%)+(($FQ6/100%)*30%)+(($FR6/100%)*35%)+(($FS6/100%)*5%)</f>
        <v>0</v>
      </c>
      <c r="DF6" s="152">
        <v>0</v>
      </c>
      <c r="DG6" s="152">
        <v>0</v>
      </c>
      <c r="DH6" s="152">
        <v>0</v>
      </c>
      <c r="DI6" s="152">
        <v>0</v>
      </c>
      <c r="DJ6" s="152">
        <f>(($FM6/100%)*15%)+(($FN6/100%)*5%)+(($FO6/100%)*5%)+(($FP6/100%)*5%)+(($FQ6/100%)*30%)+(($FR6/100%)*35%)+(($FS6/100%)*5%)</f>
        <v>0</v>
      </c>
      <c r="DK6" s="152"/>
      <c r="DL6" s="152"/>
      <c r="DM6" s="152"/>
      <c r="DN6" s="152"/>
      <c r="DO6" s="152"/>
      <c r="DP6" s="152"/>
      <c r="DQ6" s="152"/>
      <c r="DR6" s="152"/>
      <c r="DS6" s="152"/>
      <c r="DT6" s="152"/>
      <c r="DU6" s="152"/>
      <c r="DV6" s="152"/>
      <c r="DW6" s="152"/>
      <c r="DX6" s="152"/>
      <c r="DY6" s="152"/>
      <c r="DZ6" s="141"/>
      <c r="EA6" s="141"/>
      <c r="EB6" s="152">
        <f t="shared" si="4"/>
        <v>1</v>
      </c>
      <c r="EC6" s="152">
        <f t="shared" si="5"/>
        <v>1</v>
      </c>
      <c r="ED6" s="152">
        <f t="shared" si="6"/>
        <v>1</v>
      </c>
      <c r="EE6" s="152">
        <f t="shared" si="7"/>
        <v>1</v>
      </c>
      <c r="EF6" s="152">
        <f t="shared" si="8"/>
        <v>1</v>
      </c>
      <c r="EG6" s="152">
        <f t="shared" si="9"/>
        <v>1</v>
      </c>
      <c r="EH6" s="152">
        <f t="shared" si="10"/>
        <v>1</v>
      </c>
      <c r="EI6" s="152">
        <f t="shared" si="11"/>
        <v>1</v>
      </c>
      <c r="EJ6" s="152">
        <f t="shared" si="31"/>
        <v>1</v>
      </c>
      <c r="EK6" s="152"/>
      <c r="EL6" s="91"/>
      <c r="EM6" s="141"/>
      <c r="EN6" s="91" t="str">
        <f t="shared" si="32"/>
        <v>NS</v>
      </c>
      <c r="EO6" s="91" t="str">
        <f t="shared" si="32"/>
        <v>NS</v>
      </c>
      <c r="EP6" s="91" t="str">
        <f t="shared" si="32"/>
        <v>NS</v>
      </c>
      <c r="EQ6" s="91" t="str">
        <f t="shared" ref="EQ6:EV6" si="34">IF(BK6=0%,"NS",IF(DG6=100%,"DONE",IF(ED6&gt;=105%,"AS",IF(ED6&lt;94%,"BS","OS"))))</f>
        <v>NS</v>
      </c>
      <c r="ER6" s="91" t="str">
        <f t="shared" si="34"/>
        <v>NS</v>
      </c>
      <c r="ES6" s="91" t="str">
        <f t="shared" si="34"/>
        <v>NS</v>
      </c>
      <c r="ET6" s="91" t="str">
        <f t="shared" si="34"/>
        <v>NS</v>
      </c>
      <c r="EU6" s="91" t="str">
        <f t="shared" si="34"/>
        <v>NS</v>
      </c>
      <c r="EV6" s="91" t="str">
        <f t="shared" si="34"/>
        <v>NS</v>
      </c>
      <c r="EW6" s="91" t="str">
        <f>IF(BQ6=0%,"NS",IF(DN6=100%,"DONE",IF(EJ6&gt;=105%,"AS",IF(EJ6&lt;94%,"BS","OS"))))</f>
        <v>NS</v>
      </c>
      <c r="EX6" s="91"/>
      <c r="EY6" s="141"/>
      <c r="EZ6" s="141"/>
      <c r="FA6" s="141"/>
      <c r="FB6" s="141"/>
      <c r="FC6" s="141"/>
      <c r="FD6" s="141"/>
      <c r="FE6" s="141"/>
      <c r="FF6" s="141"/>
      <c r="FG6" s="141"/>
      <c r="FH6" s="141"/>
      <c r="FI6" s="141"/>
      <c r="FJ6" s="141"/>
      <c r="FK6" s="152"/>
      <c r="FL6" s="152"/>
      <c r="FM6" s="152"/>
      <c r="FN6" s="152"/>
      <c r="FO6" s="152"/>
      <c r="FP6" s="152"/>
      <c r="FQ6" s="152"/>
      <c r="FR6" s="152"/>
      <c r="FS6" s="152"/>
      <c r="FT6" s="14" t="s">
        <v>887</v>
      </c>
      <c r="FU6" s="14"/>
      <c r="FV6" s="8">
        <f t="shared" si="13"/>
        <v>47483</v>
      </c>
      <c r="FW6" s="14"/>
      <c r="FX6" s="141"/>
      <c r="FY6" s="14" t="s">
        <v>887</v>
      </c>
      <c r="FZ6" s="14" t="s">
        <v>887</v>
      </c>
      <c r="GA6" s="128"/>
      <c r="GB6" s="160"/>
      <c r="GC6" s="161"/>
      <c r="GD6" s="161"/>
      <c r="GE6" s="160"/>
      <c r="GF6" s="160"/>
      <c r="GG6" s="160"/>
      <c r="GH6" s="141"/>
      <c r="GI6" s="141"/>
      <c r="GJ6" s="141"/>
      <c r="GK6" s="141"/>
      <c r="GL6" s="14"/>
      <c r="GM6" s="141"/>
      <c r="GN6" s="141"/>
      <c r="GO6" s="14"/>
      <c r="GP6" s="14"/>
      <c r="GQ6" s="141"/>
      <c r="GR6" s="141"/>
      <c r="GS6" s="141"/>
      <c r="GT6" s="141"/>
      <c r="GU6" s="141"/>
    </row>
    <row r="7" spans="1:213" ht="29">
      <c r="A7" s="147" t="s">
        <v>1285</v>
      </c>
      <c r="B7" s="91" t="s">
        <v>1264</v>
      </c>
      <c r="C7" s="119" t="s">
        <v>1286</v>
      </c>
      <c r="D7" s="14" t="s">
        <v>1287</v>
      </c>
      <c r="E7" s="91">
        <v>2028</v>
      </c>
      <c r="F7" s="91">
        <v>2029</v>
      </c>
      <c r="G7" s="91" t="s">
        <v>288</v>
      </c>
      <c r="H7" s="91" t="s">
        <v>307</v>
      </c>
      <c r="I7" s="91" t="s">
        <v>308</v>
      </c>
      <c r="J7" s="91" t="s">
        <v>472</v>
      </c>
      <c r="K7" s="91" t="s">
        <v>458</v>
      </c>
      <c r="L7" s="148" t="s">
        <v>246</v>
      </c>
      <c r="M7" s="148" t="s">
        <v>246</v>
      </c>
      <c r="N7" s="148" t="s">
        <v>246</v>
      </c>
      <c r="O7" s="148" t="s">
        <v>246</v>
      </c>
      <c r="P7" s="148">
        <v>46844</v>
      </c>
      <c r="Q7" s="148">
        <v>46965</v>
      </c>
      <c r="R7" s="148">
        <v>46966</v>
      </c>
      <c r="S7" s="148">
        <v>47026</v>
      </c>
      <c r="T7" s="148">
        <v>46966</v>
      </c>
      <c r="U7" s="148">
        <v>47026</v>
      </c>
      <c r="V7" s="148">
        <v>47027</v>
      </c>
      <c r="W7" s="148">
        <v>46811</v>
      </c>
      <c r="X7" s="7" t="s">
        <v>246</v>
      </c>
      <c r="Y7" s="7" t="s">
        <v>246</v>
      </c>
      <c r="Z7" s="7" t="s">
        <v>246</v>
      </c>
      <c r="AA7" s="7" t="s">
        <v>246</v>
      </c>
      <c r="AB7" s="7" t="s">
        <v>246</v>
      </c>
      <c r="AC7" s="7" t="s">
        <v>246</v>
      </c>
      <c r="AD7" s="7" t="s">
        <v>246</v>
      </c>
      <c r="AE7" s="7" t="s">
        <v>246</v>
      </c>
      <c r="AF7" s="148">
        <v>47178</v>
      </c>
      <c r="AG7" s="150">
        <v>47483</v>
      </c>
      <c r="AH7" s="7" t="str">
        <f t="shared" si="14"/>
        <v>Not Started</v>
      </c>
      <c r="AI7" s="7" t="str">
        <f t="shared" si="27"/>
        <v>Not Started</v>
      </c>
      <c r="AJ7" s="7" t="str">
        <f t="shared" si="15"/>
        <v>Not Started</v>
      </c>
      <c r="AK7" s="7" t="str">
        <f t="shared" si="16"/>
        <v>Not Started</v>
      </c>
      <c r="AL7" s="7" t="str">
        <f t="shared" si="17"/>
        <v>Not Started</v>
      </c>
      <c r="AM7" s="7" t="str">
        <f t="shared" si="18"/>
        <v>Not Started</v>
      </c>
      <c r="AN7" s="7" t="str">
        <f t="shared" si="19"/>
        <v>Not Started</v>
      </c>
      <c r="AO7" s="7" t="str">
        <f t="shared" si="20"/>
        <v>Not Started</v>
      </c>
      <c r="AP7" s="7" t="str">
        <f t="shared" si="21"/>
        <v>Not Started</v>
      </c>
      <c r="AQ7" s="7" t="str">
        <f t="shared" si="22"/>
        <v>Not Started</v>
      </c>
      <c r="AR7" s="7" t="str">
        <f t="shared" si="23"/>
        <v>Not Started</v>
      </c>
      <c r="AS7" s="7" t="str">
        <f t="shared" si="24"/>
        <v>Not Started</v>
      </c>
      <c r="AT7" s="7"/>
      <c r="AU7" s="7"/>
      <c r="AV7" s="7"/>
      <c r="AW7" s="7"/>
      <c r="AX7" s="7"/>
      <c r="AY7" s="7"/>
      <c r="AZ7" s="7"/>
      <c r="BA7" s="7"/>
      <c r="BB7" s="7"/>
      <c r="BC7" s="7"/>
      <c r="BD7" s="7"/>
      <c r="BE7" s="7"/>
      <c r="BF7" s="91"/>
      <c r="BG7" s="91"/>
      <c r="BH7" s="91"/>
      <c r="BI7" s="91"/>
      <c r="BJ7" s="91"/>
      <c r="BK7" s="91"/>
      <c r="BL7" s="91"/>
      <c r="BM7" s="91"/>
      <c r="BN7" s="91"/>
      <c r="BO7" s="91"/>
      <c r="BP7" s="91"/>
      <c r="BQ7" s="91"/>
      <c r="BR7" s="91"/>
      <c r="BS7" s="91"/>
      <c r="BT7" s="91"/>
      <c r="BU7" s="91"/>
      <c r="BV7" s="91"/>
      <c r="BW7" s="91"/>
      <c r="BX7" s="91"/>
      <c r="BY7" s="91"/>
      <c r="BZ7" s="91"/>
      <c r="CA7" s="91"/>
      <c r="CB7" s="91"/>
      <c r="CC7" s="91"/>
      <c r="CD7" s="7" t="str">
        <f t="shared" si="25"/>
        <v>Not Started</v>
      </c>
      <c r="CE7" s="7" t="str">
        <f t="shared" si="29"/>
        <v>Not Started</v>
      </c>
      <c r="CF7" s="7" t="str">
        <f t="shared" si="29"/>
        <v>Not Started</v>
      </c>
      <c r="CG7" s="7" t="str">
        <f t="shared" si="29"/>
        <v>Not Started</v>
      </c>
      <c r="CH7" s="7" t="str">
        <f t="shared" si="29"/>
        <v>Not Started</v>
      </c>
      <c r="CI7" s="7" t="str">
        <f t="shared" si="29"/>
        <v>Not Started</v>
      </c>
      <c r="CJ7" s="7" t="str">
        <f t="shared" si="29"/>
        <v>Not Started</v>
      </c>
      <c r="CK7" s="7" t="str">
        <f t="shared" si="29"/>
        <v>Not Started</v>
      </c>
      <c r="CL7" s="7" t="str">
        <f t="shared" si="29"/>
        <v>Not Started</v>
      </c>
      <c r="CM7" s="7" t="str">
        <f t="shared" si="29"/>
        <v>Not Started</v>
      </c>
      <c r="CN7" s="7" t="str">
        <f t="shared" si="29"/>
        <v>Not Started</v>
      </c>
      <c r="CO7" s="7" t="str">
        <f t="shared" ref="CO7:CO12" si="35">IF(DN7=0%,"Not Started",IF(DN7&lt;5%,"Proses RBT-RBB",IF(DN7=5%,"Selesai RBT-RBB",IF(DN7&lt;10%,"Proses RBT-RBL",IF(DN7=10%,"Selesai RBT-RBL",IF(DN7&lt;15%,"Proses RBT-RBTD",IF(DN7=15%,"Selesai RBT-RBTD",IF(DN7&lt;20%,"Proses RPP",IF(DN7=20%,"Selesai RPP",IF(DN7&lt;25%,"Proses KAK",IF(DN7=25%,"Selesai KAK",IF(DN7&lt;30%,"Proses Pengadaan",IF(DN7=30%,"Selesai Pengadaan",IF(DN7&lt;45%,"Proses Desain",IF(DN7=45%,"Selesai Desain",IF(DN7&lt;80%,"Proses Pengembangan",IF(DN7=80%,"Selesai Pengembangan",IF(DN7&lt;87.5%,"Proses SIT",IF(DN7=87.5%,"Selesai SIT",IF(DN7&lt;95%,"Proses UAT",IF(DN7=95%,"Selesai UAT",IF(DN7&lt;100%,"Proses Implementasi","Selesai Implementasi"))))))))))))))))))))))</f>
        <v>Not Started</v>
      </c>
      <c r="CP7" s="7"/>
      <c r="CQ7" s="7"/>
      <c r="CR7" s="7"/>
      <c r="CS7" s="7"/>
      <c r="CT7" s="7"/>
      <c r="CU7" s="7"/>
      <c r="CV7" s="7"/>
      <c r="CW7" s="7"/>
      <c r="CX7" s="7"/>
      <c r="CY7" s="7"/>
      <c r="CZ7" s="7"/>
      <c r="DA7" s="7"/>
      <c r="DB7" s="152">
        <f>(($FM7/100%)*15%)+(($FN7/100%)*5%)+(($FO7/100%)*5%)+(($FP7/100%)*5%)+(($FQ7/100%)*30%)+(($FR7/100%)*35%)+(($FS7/100%)*5%)</f>
        <v>0</v>
      </c>
      <c r="DC7" s="91"/>
      <c r="DD7" s="141"/>
      <c r="DE7" s="141"/>
      <c r="DF7" s="141"/>
      <c r="DG7" s="163">
        <v>0</v>
      </c>
      <c r="DH7" s="141"/>
      <c r="DI7" s="141"/>
      <c r="DJ7" s="141"/>
      <c r="DK7" s="141"/>
      <c r="DL7" s="141"/>
      <c r="DM7" s="141"/>
      <c r="DN7" s="141"/>
      <c r="DO7" s="141"/>
      <c r="DP7" s="141"/>
      <c r="DQ7" s="141"/>
      <c r="DR7" s="141"/>
      <c r="DS7" s="141"/>
      <c r="DT7" s="141"/>
      <c r="DU7" s="141"/>
      <c r="DV7" s="141"/>
      <c r="DW7" s="141"/>
      <c r="DX7" s="141"/>
      <c r="DY7" s="141"/>
      <c r="DZ7" s="141"/>
      <c r="EA7" s="141"/>
      <c r="EB7" s="152">
        <f t="shared" si="4"/>
        <v>1</v>
      </c>
      <c r="EC7" s="152">
        <f t="shared" si="5"/>
        <v>1</v>
      </c>
      <c r="ED7" s="152">
        <f t="shared" si="6"/>
        <v>1</v>
      </c>
      <c r="EE7" s="152">
        <f t="shared" si="7"/>
        <v>1</v>
      </c>
      <c r="EF7" s="152">
        <f t="shared" si="8"/>
        <v>1</v>
      </c>
      <c r="EG7" s="152">
        <f t="shared" si="9"/>
        <v>1</v>
      </c>
      <c r="EH7" s="152">
        <f t="shared" si="10"/>
        <v>1</v>
      </c>
      <c r="EI7" s="152">
        <f t="shared" si="11"/>
        <v>1</v>
      </c>
      <c r="EJ7" s="152">
        <f t="shared" si="31"/>
        <v>1</v>
      </c>
      <c r="EK7" s="152"/>
      <c r="EL7" s="91"/>
      <c r="EM7" s="141"/>
      <c r="EN7" s="141"/>
      <c r="EO7" s="141"/>
      <c r="EP7" s="141"/>
      <c r="EQ7" s="141"/>
      <c r="ER7" s="141"/>
      <c r="ES7" s="141"/>
      <c r="ET7" s="141"/>
      <c r="EU7" s="141"/>
      <c r="EV7" s="141"/>
      <c r="EW7" s="141"/>
      <c r="EX7" s="141"/>
      <c r="EY7" s="141"/>
      <c r="EZ7" s="141"/>
      <c r="FA7" s="141"/>
      <c r="FB7" s="141"/>
      <c r="FC7" s="141"/>
      <c r="FD7" s="141"/>
      <c r="FE7" s="141"/>
      <c r="FF7" s="141"/>
      <c r="FG7" s="141"/>
      <c r="FH7" s="141"/>
      <c r="FI7" s="141"/>
      <c r="FJ7" s="141"/>
      <c r="FK7" s="152"/>
      <c r="FL7" s="152"/>
      <c r="FM7" s="152"/>
      <c r="FN7" s="152"/>
      <c r="FO7" s="152"/>
      <c r="FP7" s="152"/>
      <c r="FQ7" s="152"/>
      <c r="FR7" s="152"/>
      <c r="FS7" s="152"/>
      <c r="FT7" s="14"/>
      <c r="FU7" s="14"/>
      <c r="FV7" s="8">
        <f t="shared" si="13"/>
        <v>47483</v>
      </c>
      <c r="FW7" s="14"/>
      <c r="FX7" s="141"/>
      <c r="FY7" s="141"/>
      <c r="FZ7" s="141"/>
      <c r="GA7" s="128"/>
      <c r="GB7" s="167"/>
      <c r="GC7" s="14"/>
      <c r="GD7" s="14"/>
      <c r="GE7" s="141"/>
      <c r="GF7" s="141"/>
      <c r="GG7" s="141"/>
      <c r="GH7" s="141"/>
      <c r="GI7" s="141"/>
      <c r="GJ7" s="141"/>
      <c r="GK7" s="141"/>
      <c r="GL7" s="14"/>
      <c r="GM7" s="141"/>
      <c r="GN7" s="141"/>
      <c r="GO7" s="14"/>
      <c r="GP7" s="14"/>
      <c r="GQ7" s="141"/>
      <c r="GR7" s="141"/>
      <c r="GS7" s="141"/>
      <c r="GT7" s="141"/>
      <c r="GU7" s="141"/>
    </row>
    <row r="8" spans="1:213" ht="210.65" customHeight="1">
      <c r="A8" s="147" t="s">
        <v>1285</v>
      </c>
      <c r="B8" s="91" t="s">
        <v>1264</v>
      </c>
      <c r="C8" s="119" t="s">
        <v>1286</v>
      </c>
      <c r="D8" s="14" t="s">
        <v>1288</v>
      </c>
      <c r="E8" s="91">
        <v>2025</v>
      </c>
      <c r="F8" s="91">
        <v>2025</v>
      </c>
      <c r="G8" s="91" t="s">
        <v>288</v>
      </c>
      <c r="H8" s="91" t="s">
        <v>307</v>
      </c>
      <c r="I8" s="91" t="s">
        <v>308</v>
      </c>
      <c r="J8" s="91" t="s">
        <v>472</v>
      </c>
      <c r="K8" s="91" t="s">
        <v>458</v>
      </c>
      <c r="L8" s="148" t="s">
        <v>246</v>
      </c>
      <c r="M8" s="148" t="s">
        <v>246</v>
      </c>
      <c r="N8" s="148" t="s">
        <v>246</v>
      </c>
      <c r="O8" s="148" t="s">
        <v>246</v>
      </c>
      <c r="P8" s="148">
        <v>45658</v>
      </c>
      <c r="Q8" s="148">
        <v>45747</v>
      </c>
      <c r="R8" s="148">
        <v>45748</v>
      </c>
      <c r="S8" s="148">
        <v>45808</v>
      </c>
      <c r="T8" s="148">
        <v>45809</v>
      </c>
      <c r="U8" s="148">
        <v>45831</v>
      </c>
      <c r="V8" s="148">
        <v>45832</v>
      </c>
      <c r="W8" s="148">
        <v>45951</v>
      </c>
      <c r="X8" s="7" t="s">
        <v>246</v>
      </c>
      <c r="Y8" s="7" t="s">
        <v>246</v>
      </c>
      <c r="Z8" s="7" t="s">
        <v>246</v>
      </c>
      <c r="AA8" s="7" t="s">
        <v>246</v>
      </c>
      <c r="AB8" s="7" t="s">
        <v>246</v>
      </c>
      <c r="AC8" s="7" t="s">
        <v>246</v>
      </c>
      <c r="AD8" s="7" t="s">
        <v>246</v>
      </c>
      <c r="AE8" s="7" t="s">
        <v>246</v>
      </c>
      <c r="AF8" s="8">
        <v>45943</v>
      </c>
      <c r="AG8" s="150" t="s">
        <v>1289</v>
      </c>
      <c r="AH8" s="7" t="str">
        <f t="shared" si="14"/>
        <v>Proses RBT-RBL</v>
      </c>
      <c r="AI8" s="7" t="str">
        <f t="shared" si="27"/>
        <v>Proses RPP</v>
      </c>
      <c r="AJ8" s="7" t="str">
        <f t="shared" si="15"/>
        <v>Proses Pengadaan</v>
      </c>
      <c r="AK8" s="7" t="str">
        <f t="shared" si="16"/>
        <v>Proses Delivery</v>
      </c>
      <c r="AL8" s="7" t="str">
        <f t="shared" si="17"/>
        <v>Proses Delivery</v>
      </c>
      <c r="AM8" s="7" t="str">
        <f t="shared" si="18"/>
        <v>Proses Delivery</v>
      </c>
      <c r="AN8" s="7" t="str">
        <f t="shared" si="19"/>
        <v>Proses Delivery</v>
      </c>
      <c r="AO8" s="7" t="str">
        <f t="shared" si="20"/>
        <v>Proses Pengembangan</v>
      </c>
      <c r="AP8" s="7" t="str">
        <f t="shared" si="21"/>
        <v>Proses Pengembangan</v>
      </c>
      <c r="AQ8" s="7" t="str">
        <f t="shared" si="22"/>
        <v>Proses Pengembangan</v>
      </c>
      <c r="AR8" s="7" t="str">
        <f t="shared" si="23"/>
        <v>Proses Pengembangan</v>
      </c>
      <c r="AS8" s="7" t="str">
        <f t="shared" si="24"/>
        <v>Selesai Implementasi</v>
      </c>
      <c r="AT8" s="7"/>
      <c r="AU8" s="7"/>
      <c r="AV8" s="7"/>
      <c r="AW8" s="7"/>
      <c r="AX8" s="7"/>
      <c r="AY8" s="7"/>
      <c r="AZ8" s="7"/>
      <c r="BA8" s="7"/>
      <c r="BB8" s="7"/>
      <c r="BC8" s="7"/>
      <c r="BD8" s="7"/>
      <c r="BE8" s="7"/>
      <c r="BF8" s="100">
        <v>8.7999999999999995E-2</v>
      </c>
      <c r="BG8" s="100">
        <v>0.17100000000000001</v>
      </c>
      <c r="BH8" s="100">
        <v>0.254</v>
      </c>
      <c r="BI8" s="100">
        <v>0.33700000000000002</v>
      </c>
      <c r="BJ8" s="100">
        <v>0.42</v>
      </c>
      <c r="BK8" s="100">
        <v>0.502</v>
      </c>
      <c r="BL8" s="100">
        <v>0.58499999999999996</v>
      </c>
      <c r="BM8" s="100">
        <v>0.66800000000000004</v>
      </c>
      <c r="BN8" s="100">
        <v>0.751</v>
      </c>
      <c r="BO8" s="100">
        <v>0.83399999999999996</v>
      </c>
      <c r="BP8" s="100">
        <v>0.91700000000000004</v>
      </c>
      <c r="BQ8" s="100">
        <v>1</v>
      </c>
      <c r="BR8" s="100"/>
      <c r="BS8" s="100"/>
      <c r="BT8" s="100"/>
      <c r="BU8" s="100"/>
      <c r="BV8" s="100"/>
      <c r="BW8" s="100"/>
      <c r="BX8" s="100"/>
      <c r="BY8" s="100"/>
      <c r="BZ8" s="100"/>
      <c r="CA8" s="100"/>
      <c r="CB8" s="100"/>
      <c r="CC8" s="100"/>
      <c r="CD8" s="7" t="str">
        <f t="shared" si="25"/>
        <v>Proses RPP</v>
      </c>
      <c r="CE8" s="7" t="str">
        <f t="shared" si="29"/>
        <v>Proses RPP</v>
      </c>
      <c r="CF8" s="7" t="str">
        <f t="shared" si="29"/>
        <v>Proses RPP</v>
      </c>
      <c r="CG8" s="7" t="str">
        <f t="shared" si="29"/>
        <v>Proses RPP</v>
      </c>
      <c r="CH8" s="7" t="str">
        <f t="shared" si="29"/>
        <v>Selesai RPP</v>
      </c>
      <c r="CI8" s="7" t="str">
        <f t="shared" si="29"/>
        <v>Proses KAK</v>
      </c>
      <c r="CJ8" s="7" t="str">
        <f t="shared" si="29"/>
        <v>Proses KAK</v>
      </c>
      <c r="CK8" s="7" t="str">
        <f t="shared" si="29"/>
        <v>Selesai KAK</v>
      </c>
      <c r="CL8" s="7" t="str">
        <f t="shared" si="29"/>
        <v>Proses Pengadaan</v>
      </c>
      <c r="CM8" s="7" t="str">
        <f t="shared" si="29"/>
        <v>Proses Pengembangan</v>
      </c>
      <c r="CN8" s="7" t="str">
        <f t="shared" si="29"/>
        <v>Selesai Implementasi</v>
      </c>
      <c r="CO8" s="7" t="str">
        <f t="shared" si="35"/>
        <v>Not Started</v>
      </c>
      <c r="CP8" s="7"/>
      <c r="CQ8" s="7"/>
      <c r="CR8" s="7"/>
      <c r="CS8" s="7"/>
      <c r="CT8" s="7"/>
      <c r="CU8" s="7"/>
      <c r="CV8" s="7"/>
      <c r="CW8" s="7"/>
      <c r="CX8" s="7"/>
      <c r="CY8" s="7"/>
      <c r="CZ8" s="7"/>
      <c r="DA8" s="7"/>
      <c r="DB8" s="171">
        <v>0.18</v>
      </c>
      <c r="DC8" s="171">
        <v>0.18</v>
      </c>
      <c r="DD8" s="171">
        <v>0.19</v>
      </c>
      <c r="DE8" s="171">
        <v>0.19</v>
      </c>
      <c r="DF8" s="171">
        <v>0.2</v>
      </c>
      <c r="DG8" s="171">
        <v>0.22</v>
      </c>
      <c r="DH8" s="171">
        <v>0.24</v>
      </c>
      <c r="DI8" s="171">
        <v>0.25</v>
      </c>
      <c r="DJ8" s="171">
        <v>0.27</v>
      </c>
      <c r="DK8" s="171">
        <v>0.5</v>
      </c>
      <c r="DL8" s="171">
        <f>(($FM8/100%)*15%)+(($FN8/100%)*5%)+(($FO8/100%)*5%)+(($FP8/100%)*5%)+(($FS8/100%)*70%)</f>
        <v>1</v>
      </c>
      <c r="DM8" s="171">
        <v>1</v>
      </c>
      <c r="DN8" s="171"/>
      <c r="DO8" s="171"/>
      <c r="DP8" s="171"/>
      <c r="DQ8" s="171"/>
      <c r="DR8" s="171"/>
      <c r="DS8" s="171"/>
      <c r="DT8" s="171"/>
      <c r="DU8" s="171"/>
      <c r="DV8" s="171"/>
      <c r="DW8" s="171"/>
      <c r="DX8" s="171"/>
      <c r="DY8" s="171"/>
      <c r="DZ8" s="171">
        <f>IF(BG8=0%,100%,(DC8/BG8))</f>
        <v>1.0526315789473684</v>
      </c>
      <c r="EA8" s="171">
        <f>IF(BH8=0%,100%,(DD8/BH8))</f>
        <v>0.74803149606299213</v>
      </c>
      <c r="EB8" s="171">
        <f t="shared" si="4"/>
        <v>0.56379821958456966</v>
      </c>
      <c r="EC8" s="171">
        <f t="shared" si="5"/>
        <v>0.47619047619047622</v>
      </c>
      <c r="ED8" s="171">
        <f t="shared" si="6"/>
        <v>0.43824701195219123</v>
      </c>
      <c r="EE8" s="171">
        <f t="shared" si="7"/>
        <v>0.41025641025641024</v>
      </c>
      <c r="EF8" s="171">
        <f t="shared" si="8"/>
        <v>0.37425149700598798</v>
      </c>
      <c r="EG8" s="171">
        <f t="shared" si="9"/>
        <v>0.35952063914780297</v>
      </c>
      <c r="EH8" s="171">
        <f t="shared" si="10"/>
        <v>0.59952038369304561</v>
      </c>
      <c r="EI8" s="171">
        <f t="shared" si="11"/>
        <v>1.0905125408942202</v>
      </c>
      <c r="EJ8" s="171">
        <f t="shared" si="31"/>
        <v>0</v>
      </c>
      <c r="EK8" s="171"/>
      <c r="EL8" s="91" t="e">
        <f>IF(BF8=0%,"NS",IF(DB8=100%,"DONE",IF(#REF!&gt;100%,"AS",IF(#REF!&lt;75%,"BS",IF(CD8&lt;&gt;AH8,"BS",IF(#REF!&lt;70%,"AR","OS"))))))</f>
        <v>#REF!</v>
      </c>
      <c r="EM8" s="91" t="str">
        <f>IF(BG8=0%,"NS",IF(DC8=100%,"DONE",IF(DZ8&gt;100%,"AS",IF(DZ8&lt;75%,"BS",IF(CE8&lt;&gt;AI8,"BS",IF(DZ8&lt;70%,"AR","OS"))))))</f>
        <v>AS</v>
      </c>
      <c r="EN8" s="91" t="str">
        <f t="shared" ref="EN8:EV8" si="36">IF(BH8=0%,"NS",IF(DD8=100%,"DONE",IF(EA8&gt;=105%,"AS",IF(EA8&lt;94%,"BS","OS"))))</f>
        <v>BS</v>
      </c>
      <c r="EO8" s="91" t="str">
        <f t="shared" si="36"/>
        <v>BS</v>
      </c>
      <c r="EP8" s="91" t="str">
        <f t="shared" si="36"/>
        <v>BS</v>
      </c>
      <c r="EQ8" s="91" t="str">
        <f t="shared" si="36"/>
        <v>BS</v>
      </c>
      <c r="ER8" s="91" t="str">
        <f t="shared" si="36"/>
        <v>BS</v>
      </c>
      <c r="ES8" s="91" t="str">
        <f t="shared" si="36"/>
        <v>BS</v>
      </c>
      <c r="ET8" s="91" t="str">
        <f t="shared" si="36"/>
        <v>BS</v>
      </c>
      <c r="EU8" s="91" t="str">
        <f t="shared" si="36"/>
        <v>BS</v>
      </c>
      <c r="EV8" s="91" t="str">
        <f t="shared" si="36"/>
        <v>DONE</v>
      </c>
      <c r="EW8" s="91" t="str">
        <f>IF(BQ8=0%,"NS",IF(DM8=100%,"DONE",IF(EJ8&gt;=105%,"AS",IF(EJ8&lt;94%,"BS","OS"))))</f>
        <v>DONE</v>
      </c>
      <c r="EX8" s="91"/>
      <c r="EY8" s="141"/>
      <c r="EZ8" s="141"/>
      <c r="FA8" s="141"/>
      <c r="FB8" s="141"/>
      <c r="FC8" s="141"/>
      <c r="FD8" s="141"/>
      <c r="FE8" s="141"/>
      <c r="FF8" s="141"/>
      <c r="FG8" s="141"/>
      <c r="FH8" s="141"/>
      <c r="FI8" s="141"/>
      <c r="FJ8" s="141"/>
      <c r="FK8" s="171" t="s">
        <v>246</v>
      </c>
      <c r="FL8" s="171" t="s">
        <v>246</v>
      </c>
      <c r="FM8" s="630">
        <v>1</v>
      </c>
      <c r="FN8" s="630">
        <v>1</v>
      </c>
      <c r="FO8" s="630">
        <v>1</v>
      </c>
      <c r="FP8" s="630">
        <v>1</v>
      </c>
      <c r="FQ8" s="171"/>
      <c r="FR8" s="171"/>
      <c r="FS8" s="630">
        <v>1</v>
      </c>
      <c r="FT8" s="631" t="s">
        <v>1633</v>
      </c>
      <c r="FU8" s="14"/>
      <c r="FV8" s="8" t="str">
        <f t="shared" si="13"/>
        <v>31-Des-25</v>
      </c>
      <c r="FW8" s="14"/>
      <c r="FX8" s="141"/>
      <c r="FY8" s="14" t="s">
        <v>1290</v>
      </c>
      <c r="FZ8" s="14" t="s">
        <v>1291</v>
      </c>
      <c r="GA8" s="154" t="s">
        <v>1292</v>
      </c>
      <c r="GB8" s="119" t="s">
        <v>1293</v>
      </c>
      <c r="GC8" s="156" t="str">
        <f>FT8</f>
        <v>Status: 
1. Pengadaan -&gt; Tahapan Izin Prinsip Pengadaan oleh DMAP (DONE)
2. Klarifikasi hasil negosiasi (DONE)
3. persetujuan pemberitahuan pemenang (DONE)
4. Penerbitan SPPP - 29 Oktober 2025 (DONE)
5.  Kick off Meeting - 5 Nov 2025 (DONE)
6.  Implementasi - 24 Nov 2025
7. BAP Penyediaan Barang/Subscription - dikirim ke MKA tgl 21-11-25 (DONE)
8. Sirkular M02 Bayar di MKA (DONE)
Next Action:
1. Agreement ERP dari sisi DMAP (On Progress)
2. Kirim LD Bayar ke TMI oleh MKA (Pending)
3. Pembayaran oleh TMI (To Do)
Note:
Untuk dikirim ke TMI, perlu approval agreement di ERP (info dari MKA)
Terbit SPPP - target 21 Okt 2025
Retarget SPPP -&gt; 24 Okt 2025
Vendor PT Mitra Integrasi Informatika</v>
      </c>
      <c r="GD8" s="14"/>
      <c r="GE8" s="141"/>
      <c r="GF8" s="141"/>
      <c r="GG8" s="141"/>
      <c r="GH8" s="141"/>
      <c r="GI8" s="141"/>
      <c r="GJ8" s="141"/>
      <c r="GK8" s="141"/>
      <c r="GL8" s="14"/>
      <c r="GM8" s="141"/>
      <c r="GN8" s="141"/>
      <c r="GO8" s="14"/>
      <c r="GP8" s="14"/>
      <c r="GQ8" s="141"/>
      <c r="GR8" s="141"/>
      <c r="GS8" s="141"/>
      <c r="GT8" s="141"/>
      <c r="GU8" s="141"/>
    </row>
    <row r="9" spans="1:213" s="440" customFormat="1" ht="255" customHeight="1">
      <c r="A9" s="420" t="s">
        <v>1285</v>
      </c>
      <c r="B9" s="421" t="s">
        <v>1264</v>
      </c>
      <c r="C9" s="422" t="s">
        <v>1294</v>
      </c>
      <c r="D9" s="423" t="s">
        <v>1295</v>
      </c>
      <c r="E9" s="421">
        <v>2025</v>
      </c>
      <c r="F9" s="421">
        <v>2025</v>
      </c>
      <c r="G9" s="91" t="s">
        <v>288</v>
      </c>
      <c r="H9" s="91" t="s">
        <v>307</v>
      </c>
      <c r="I9" s="91" t="s">
        <v>308</v>
      </c>
      <c r="J9" s="91" t="s">
        <v>472</v>
      </c>
      <c r="K9" s="91" t="s">
        <v>458</v>
      </c>
      <c r="L9" s="424" t="s">
        <v>246</v>
      </c>
      <c r="M9" s="424" t="s">
        <v>246</v>
      </c>
      <c r="N9" s="424" t="s">
        <v>246</v>
      </c>
      <c r="O9" s="424" t="s">
        <v>246</v>
      </c>
      <c r="P9" s="425">
        <v>45658</v>
      </c>
      <c r="Q9" s="425">
        <v>45777</v>
      </c>
      <c r="R9" s="425">
        <v>45778</v>
      </c>
      <c r="S9" s="425">
        <v>45808</v>
      </c>
      <c r="T9" s="425">
        <v>45778</v>
      </c>
      <c r="U9" s="424">
        <v>45804</v>
      </c>
      <c r="V9" s="425">
        <v>45805</v>
      </c>
      <c r="W9" s="425">
        <v>45924</v>
      </c>
      <c r="X9" s="426">
        <v>45931</v>
      </c>
      <c r="Y9" s="426">
        <v>46022</v>
      </c>
      <c r="Z9" s="427" t="s">
        <v>246</v>
      </c>
      <c r="AA9" s="427" t="s">
        <v>246</v>
      </c>
      <c r="AB9" s="427" t="s">
        <v>246</v>
      </c>
      <c r="AC9" s="427" t="s">
        <v>246</v>
      </c>
      <c r="AD9" s="427" t="s">
        <v>246</v>
      </c>
      <c r="AE9" s="427" t="s">
        <v>246</v>
      </c>
      <c r="AF9" s="426">
        <v>45931</v>
      </c>
      <c r="AG9" s="428" t="s">
        <v>1289</v>
      </c>
      <c r="AH9" s="427" t="str">
        <f t="shared" si="14"/>
        <v>Proses RBT-RBL</v>
      </c>
      <c r="AI9" s="427" t="str">
        <f t="shared" si="27"/>
        <v>Proses RPP</v>
      </c>
      <c r="AJ9" s="427" t="str">
        <f t="shared" si="15"/>
        <v>Proses Pengadaan</v>
      </c>
      <c r="AK9" s="427" t="str">
        <f t="shared" si="16"/>
        <v>Proses Delivery</v>
      </c>
      <c r="AL9" s="427" t="str">
        <f t="shared" si="17"/>
        <v>Proses Delivery</v>
      </c>
      <c r="AM9" s="427" t="str">
        <f t="shared" si="18"/>
        <v>Proses Delivery</v>
      </c>
      <c r="AN9" s="427" t="str">
        <f t="shared" si="19"/>
        <v>Proses Delivery</v>
      </c>
      <c r="AO9" s="427" t="str">
        <f t="shared" si="20"/>
        <v>Proses Pengembangan</v>
      </c>
      <c r="AP9" s="427" t="str">
        <f t="shared" si="21"/>
        <v>Proses Pengembangan</v>
      </c>
      <c r="AQ9" s="427" t="str">
        <f t="shared" si="22"/>
        <v>Proses Pengembangan</v>
      </c>
      <c r="AR9" s="427" t="str">
        <f t="shared" si="23"/>
        <v>Proses Pengembangan</v>
      </c>
      <c r="AS9" s="427" t="str">
        <f t="shared" si="24"/>
        <v>Selesai Implementasi</v>
      </c>
      <c r="AT9" s="427"/>
      <c r="AU9" s="427"/>
      <c r="AV9" s="427"/>
      <c r="AW9" s="427"/>
      <c r="AX9" s="427"/>
      <c r="AY9" s="427"/>
      <c r="AZ9" s="427"/>
      <c r="BA9" s="427"/>
      <c r="BB9" s="427"/>
      <c r="BC9" s="427"/>
      <c r="BD9" s="427"/>
      <c r="BE9" s="427"/>
      <c r="BF9" s="429">
        <v>8.7999999999999995E-2</v>
      </c>
      <c r="BG9" s="429">
        <v>0.17100000000000001</v>
      </c>
      <c r="BH9" s="429">
        <v>0.254</v>
      </c>
      <c r="BI9" s="429">
        <v>0.33700000000000002</v>
      </c>
      <c r="BJ9" s="429">
        <v>0.42</v>
      </c>
      <c r="BK9" s="429">
        <v>0.502</v>
      </c>
      <c r="BL9" s="429">
        <v>0.58499999999999996</v>
      </c>
      <c r="BM9" s="429">
        <v>0.66800000000000004</v>
      </c>
      <c r="BN9" s="429">
        <v>0.751</v>
      </c>
      <c r="BO9" s="429">
        <v>0.83399999999999996</v>
      </c>
      <c r="BP9" s="429">
        <v>0.91700000000000004</v>
      </c>
      <c r="BQ9" s="429">
        <v>1</v>
      </c>
      <c r="BR9" s="429"/>
      <c r="BS9" s="429"/>
      <c r="BT9" s="429"/>
      <c r="BU9" s="429"/>
      <c r="BV9" s="429"/>
      <c r="BW9" s="429"/>
      <c r="BX9" s="429"/>
      <c r="BY9" s="429"/>
      <c r="BZ9" s="429"/>
      <c r="CA9" s="429"/>
      <c r="CB9" s="429"/>
      <c r="CC9" s="429"/>
      <c r="CD9" s="427" t="str">
        <f t="shared" si="25"/>
        <v>Proses RBT-RBB</v>
      </c>
      <c r="CE9" s="427" t="str">
        <f t="shared" si="29"/>
        <v>Proses RBT-RBL</v>
      </c>
      <c r="CF9" s="427" t="str">
        <f t="shared" si="29"/>
        <v>Proses RPP</v>
      </c>
      <c r="CG9" s="427" t="str">
        <f t="shared" si="29"/>
        <v>Proses RPP</v>
      </c>
      <c r="CH9" s="427" t="str">
        <f t="shared" si="29"/>
        <v>Proses KAK</v>
      </c>
      <c r="CI9" s="427" t="str">
        <f t="shared" si="29"/>
        <v>Selesai KAK</v>
      </c>
      <c r="CJ9" s="427" t="str">
        <f t="shared" si="29"/>
        <v>Proses Pengadaan</v>
      </c>
      <c r="CK9" s="427" t="str">
        <f t="shared" si="29"/>
        <v>Selesai Pengadaan</v>
      </c>
      <c r="CL9" s="427" t="str">
        <f t="shared" si="29"/>
        <v>Selesai Pengembangan</v>
      </c>
      <c r="CM9" s="427" t="str">
        <f t="shared" si="29"/>
        <v>Selesai Implementasi</v>
      </c>
      <c r="CN9" s="427" t="str">
        <f t="shared" si="29"/>
        <v>Selesai Implementasi</v>
      </c>
      <c r="CO9" s="427" t="str">
        <f t="shared" si="35"/>
        <v>Not Started</v>
      </c>
      <c r="CP9" s="427"/>
      <c r="CQ9" s="427"/>
      <c r="CR9" s="427"/>
      <c r="CS9" s="427"/>
      <c r="CT9" s="427"/>
      <c r="CU9" s="427"/>
      <c r="CV9" s="427"/>
      <c r="CW9" s="427"/>
      <c r="CX9" s="427"/>
      <c r="CY9" s="427"/>
      <c r="CZ9" s="427"/>
      <c r="DA9" s="427"/>
      <c r="DB9" s="430">
        <v>0.04</v>
      </c>
      <c r="DC9" s="430">
        <v>0.08</v>
      </c>
      <c r="DD9" s="430">
        <v>0.19</v>
      </c>
      <c r="DE9" s="430">
        <v>0.19</v>
      </c>
      <c r="DF9" s="430">
        <v>0.23</v>
      </c>
      <c r="DG9" s="430">
        <v>0.25</v>
      </c>
      <c r="DH9" s="430">
        <v>0.27</v>
      </c>
      <c r="DI9" s="430">
        <v>0.3</v>
      </c>
      <c r="DJ9" s="430">
        <v>0.8</v>
      </c>
      <c r="DK9" s="430">
        <v>1</v>
      </c>
      <c r="DL9" s="430">
        <f>(($FM9/100%)*15%)+(($FN9/100%)*5%)+(($FO9/100%)*5%)+(($FP9/100%)*5%)+(($FS9/100%)*70%)</f>
        <v>1</v>
      </c>
      <c r="DM9" s="430"/>
      <c r="DN9" s="430"/>
      <c r="DO9" s="430"/>
      <c r="DP9" s="430"/>
      <c r="DQ9" s="430"/>
      <c r="DR9" s="430"/>
      <c r="DS9" s="430"/>
      <c r="DT9" s="430"/>
      <c r="DU9" s="430"/>
      <c r="DV9" s="430"/>
      <c r="DW9" s="430"/>
      <c r="DX9" s="430"/>
      <c r="DY9" s="430"/>
      <c r="DZ9" s="430">
        <f>IF(BG9=0%,100%,(DC9/BG9))</f>
        <v>0.46783625730994149</v>
      </c>
      <c r="EA9" s="430">
        <f>IF(BH9=0%,100%,(DD9/BH9))</f>
        <v>0.74803149606299213</v>
      </c>
      <c r="EB9" s="430">
        <f t="shared" si="4"/>
        <v>0.56379821958456966</v>
      </c>
      <c r="EC9" s="430">
        <f t="shared" si="5"/>
        <v>0.54761904761904767</v>
      </c>
      <c r="ED9" s="430">
        <f t="shared" si="6"/>
        <v>0.49800796812749004</v>
      </c>
      <c r="EE9" s="430">
        <f t="shared" si="7"/>
        <v>0.46153846153846162</v>
      </c>
      <c r="EF9" s="430">
        <f t="shared" si="8"/>
        <v>0.44910179640718556</v>
      </c>
      <c r="EG9" s="430">
        <f t="shared" si="9"/>
        <v>1.0652463382157125</v>
      </c>
      <c r="EH9" s="430">
        <f t="shared" si="10"/>
        <v>1.1990407673860912</v>
      </c>
      <c r="EI9" s="430">
        <f t="shared" si="11"/>
        <v>1.0905125408942202</v>
      </c>
      <c r="EJ9" s="430">
        <f t="shared" si="31"/>
        <v>0</v>
      </c>
      <c r="EK9" s="430"/>
      <c r="EL9" s="421" t="e">
        <f>IF(BF9=0%,"NS",IF(DB9=100%,"DONE",IF(#REF!&gt;100%,"AS",IF(#REF!&lt;75%,"BS",IF(CD9&lt;&gt;AH9,"BS",IF(#REF!&lt;70%,"AR","OS"))))))</f>
        <v>#REF!</v>
      </c>
      <c r="EM9" s="421" t="str">
        <f>IF(BG9=0%,"NS",IF(DC9=100%,"DONE",IF(DZ9&gt;100%,"AS",IF(DZ9&lt;75%,"BS",IF(CE9&lt;&gt;AI9,"BS",IF(DZ9&lt;70%,"AR","OS"))))))</f>
        <v>BS</v>
      </c>
      <c r="EN9" s="421" t="str">
        <f t="shared" ref="EN9:EP12" si="37">IF(BH9=0%,"NS",IF(DD9=100%,"DONE",IF(EA9&gt;=105%,"AS",IF(EA9&lt;94%,"BS","OS"))))</f>
        <v>BS</v>
      </c>
      <c r="EO9" s="421" t="str">
        <f t="shared" si="37"/>
        <v>BS</v>
      </c>
      <c r="EP9" s="421" t="str">
        <f t="shared" si="37"/>
        <v>BS</v>
      </c>
      <c r="EQ9" s="421" t="str">
        <f t="shared" ref="EQ9:EV12" si="38">IF(BK9=0%,"NS",IF(DG9=100%,"DONE",IF(ED9&gt;=105%,"AS",IF(ED9&lt;94.45%,"BS",IF(ED9&gt;=94.5%,"AR","OS")))))</f>
        <v>BS</v>
      </c>
      <c r="ER9" s="421" t="str">
        <f t="shared" si="38"/>
        <v>BS</v>
      </c>
      <c r="ES9" s="421" t="str">
        <f t="shared" si="38"/>
        <v>BS</v>
      </c>
      <c r="ET9" s="421" t="str">
        <f t="shared" si="38"/>
        <v>AS</v>
      </c>
      <c r="EU9" s="421" t="str">
        <f t="shared" si="38"/>
        <v>DONE</v>
      </c>
      <c r="EV9" s="421" t="str">
        <f t="shared" si="38"/>
        <v>DONE</v>
      </c>
      <c r="EW9" s="421" t="str">
        <f>IF(BQ9=0%,"NS",IF(DN9=100%,"DONE",IF(EJ9&gt;=105%,"AS",IF(EJ9&lt;94.45%,"BS",IF(EJ9&gt;=94.5%,"AR","OS")))))</f>
        <v>BS</v>
      </c>
      <c r="EX9" s="421"/>
      <c r="EY9" s="431"/>
      <c r="EZ9" s="431"/>
      <c r="FA9" s="431"/>
      <c r="FB9" s="431"/>
      <c r="FC9" s="431"/>
      <c r="FD9" s="431"/>
      <c r="FE9" s="431"/>
      <c r="FF9" s="431"/>
      <c r="FG9" s="431"/>
      <c r="FH9" s="431"/>
      <c r="FI9" s="431"/>
      <c r="FJ9" s="431"/>
      <c r="FK9" s="430" t="s">
        <v>246</v>
      </c>
      <c r="FL9" s="430" t="s">
        <v>246</v>
      </c>
      <c r="FM9" s="432">
        <v>1</v>
      </c>
      <c r="FN9" s="432">
        <v>1</v>
      </c>
      <c r="FO9" s="432">
        <v>1</v>
      </c>
      <c r="FP9" s="432">
        <v>1</v>
      </c>
      <c r="FQ9" s="430">
        <v>0</v>
      </c>
      <c r="FR9" s="430">
        <v>0</v>
      </c>
      <c r="FS9" s="433">
        <v>1</v>
      </c>
      <c r="FT9" s="434" t="s">
        <v>1296</v>
      </c>
      <c r="FU9" s="423"/>
      <c r="FV9" s="435" t="str">
        <f t="shared" si="13"/>
        <v>31-Des-25</v>
      </c>
      <c r="FW9" s="423"/>
      <c r="FX9" s="431"/>
      <c r="FY9" s="423" t="s">
        <v>1297</v>
      </c>
      <c r="FZ9" s="423" t="s">
        <v>1298</v>
      </c>
      <c r="GA9" s="436" t="s">
        <v>1299</v>
      </c>
      <c r="GB9" s="437" t="s">
        <v>1300</v>
      </c>
      <c r="GC9" s="438" t="str">
        <f>FT9</f>
        <v>Status: 
1. Proses Pengadaan: Dari prinsipal sudah kirim Invoice. selanjutnya akan dilakukan proses pembayaran via MKA (DONE)
2. sudah dilakukan kickoff meeting dengan KPPKE dan Living security di tgl 16 Juli 2025 (DONE)
3.   Sudah dilakukan technical meeting dengan Living Security tgl 23 Juli 2025, melibatkan tim KPPIS dan SOC (DONE)
4. konfigurasi integrasi dgn Microsoft dan pembuatan campaigns - 30 Juli 2025 (DONE)
5. Pembuatan workflow (DONE)
6. Pembayaran subscription tahun pertama(DONE)
7. Training dan sharing knowledge (DONE)
8. Pengetesan aplikasi di internal GKKS (DONE)
9. Transfer knowledge Bersama principal dan PPKE - 29 Sep 2025 (DONE)
Next Action:
2. Pembuatan M.01 serah terima operasional
Note:
Berdasarkan kontrak, tahap konfigurasi selama 60 Hari sejak kontrak diterbitkan (30 Juni 2025), maka masa konfigurasi, training dan sharing knowledge sampai dgn 29 Agustus 2025</v>
      </c>
      <c r="GD9" s="423"/>
      <c r="GE9" s="431"/>
      <c r="GF9" s="431"/>
      <c r="GG9" s="431"/>
      <c r="GH9" s="431"/>
      <c r="GI9" s="431"/>
      <c r="GJ9" s="431"/>
      <c r="GK9" s="431"/>
      <c r="GL9" s="423"/>
      <c r="GM9" s="431"/>
      <c r="GN9" s="431"/>
      <c r="GO9" s="423"/>
      <c r="GP9" s="423"/>
      <c r="GQ9" s="431"/>
      <c r="GR9" s="431"/>
      <c r="GS9" s="431"/>
      <c r="GT9" s="431"/>
      <c r="GU9" s="431"/>
      <c r="GV9" s="439"/>
      <c r="GW9" s="439"/>
      <c r="GX9" s="439"/>
      <c r="GY9" s="439"/>
      <c r="GZ9" s="439"/>
      <c r="HA9" s="439"/>
      <c r="HB9" s="439"/>
      <c r="HC9" s="439"/>
      <c r="HD9" s="439"/>
    </row>
    <row r="10" spans="1:213" ht="59.25" customHeight="1">
      <c r="A10" s="147" t="s">
        <v>1285</v>
      </c>
      <c r="B10" s="91" t="s">
        <v>1264</v>
      </c>
      <c r="C10" s="119" t="s">
        <v>1286</v>
      </c>
      <c r="D10" s="14" t="s">
        <v>1301</v>
      </c>
      <c r="E10" s="91">
        <v>2028</v>
      </c>
      <c r="F10" s="91">
        <v>2029</v>
      </c>
      <c r="G10" s="91" t="s">
        <v>288</v>
      </c>
      <c r="H10" s="91" t="s">
        <v>323</v>
      </c>
      <c r="I10" s="91" t="s">
        <v>308</v>
      </c>
      <c r="J10" s="91" t="s">
        <v>472</v>
      </c>
      <c r="K10" s="91" t="s">
        <v>458</v>
      </c>
      <c r="L10" s="148" t="s">
        <v>246</v>
      </c>
      <c r="M10" s="148" t="s">
        <v>246</v>
      </c>
      <c r="N10" s="148" t="s">
        <v>246</v>
      </c>
      <c r="O10" s="148" t="s">
        <v>246</v>
      </c>
      <c r="P10" s="148">
        <v>46905</v>
      </c>
      <c r="Q10" s="148">
        <v>47026</v>
      </c>
      <c r="R10" s="148">
        <v>47027</v>
      </c>
      <c r="S10" s="148">
        <v>47118</v>
      </c>
      <c r="T10" s="148">
        <v>47088</v>
      </c>
      <c r="U10" s="148">
        <v>47118</v>
      </c>
      <c r="V10" s="148">
        <v>47119</v>
      </c>
      <c r="W10" s="148">
        <v>47299</v>
      </c>
      <c r="X10" s="7" t="s">
        <v>246</v>
      </c>
      <c r="Y10" s="7" t="s">
        <v>246</v>
      </c>
      <c r="Z10" s="7" t="s">
        <v>246</v>
      </c>
      <c r="AA10" s="7" t="s">
        <v>246</v>
      </c>
      <c r="AB10" s="7" t="s">
        <v>246</v>
      </c>
      <c r="AC10" s="7" t="s">
        <v>246</v>
      </c>
      <c r="AD10" s="7" t="s">
        <v>246</v>
      </c>
      <c r="AE10" s="7" t="s">
        <v>246</v>
      </c>
      <c r="AF10" s="148">
        <v>47300</v>
      </c>
      <c r="AG10" s="148">
        <v>47483</v>
      </c>
      <c r="AH10" s="7" t="str">
        <f t="shared" si="14"/>
        <v>Not Started</v>
      </c>
      <c r="AI10" s="7" t="str">
        <f t="shared" si="27"/>
        <v>Not Started</v>
      </c>
      <c r="AJ10" s="7" t="str">
        <f t="shared" si="15"/>
        <v>Not Started</v>
      </c>
      <c r="AK10" s="7" t="str">
        <f t="shared" si="16"/>
        <v>Not Started</v>
      </c>
      <c r="AL10" s="7" t="str">
        <f t="shared" si="17"/>
        <v>Not Started</v>
      </c>
      <c r="AM10" s="7" t="str">
        <f t="shared" si="18"/>
        <v>Not Started</v>
      </c>
      <c r="AN10" s="7" t="str">
        <f t="shared" si="19"/>
        <v>Not Started</v>
      </c>
      <c r="AO10" s="7" t="str">
        <f t="shared" si="20"/>
        <v>Not Started</v>
      </c>
      <c r="AP10" s="7" t="str">
        <f t="shared" si="21"/>
        <v>Not Started</v>
      </c>
      <c r="AQ10" s="7" t="str">
        <f t="shared" si="22"/>
        <v>Not Started</v>
      </c>
      <c r="AR10" s="7" t="str">
        <f t="shared" si="23"/>
        <v>Not Started</v>
      </c>
      <c r="AS10" s="7" t="str">
        <f t="shared" si="24"/>
        <v>Not Started</v>
      </c>
      <c r="AT10" s="7"/>
      <c r="AU10" s="7"/>
      <c r="AV10" s="7"/>
      <c r="AW10" s="7"/>
      <c r="AX10" s="7"/>
      <c r="AY10" s="7"/>
      <c r="AZ10" s="7"/>
      <c r="BA10" s="7"/>
      <c r="BB10" s="7"/>
      <c r="BC10" s="7"/>
      <c r="BD10" s="7"/>
      <c r="BE10" s="7"/>
      <c r="BF10" s="91"/>
      <c r="BG10" s="91"/>
      <c r="BH10" s="91"/>
      <c r="BI10" s="91"/>
      <c r="BJ10" s="91"/>
      <c r="BK10" s="91"/>
      <c r="BL10" s="91"/>
      <c r="BM10" s="91"/>
      <c r="BN10" s="91"/>
      <c r="BO10" s="91"/>
      <c r="BP10" s="91"/>
      <c r="BQ10" s="91"/>
      <c r="BR10" s="91"/>
      <c r="BS10" s="91"/>
      <c r="BT10" s="91"/>
      <c r="BU10" s="91"/>
      <c r="BV10" s="91"/>
      <c r="BW10" s="91"/>
      <c r="BX10" s="91"/>
      <c r="BY10" s="91"/>
      <c r="BZ10" s="91"/>
      <c r="CA10" s="91"/>
      <c r="CB10" s="91"/>
      <c r="CC10" s="91"/>
      <c r="CD10" s="7" t="str">
        <f t="shared" si="25"/>
        <v>Not Started</v>
      </c>
      <c r="CE10" s="7" t="str">
        <f t="shared" si="29"/>
        <v>Not Started</v>
      </c>
      <c r="CF10" s="7" t="str">
        <f t="shared" si="29"/>
        <v>Not Started</v>
      </c>
      <c r="CG10" s="7" t="str">
        <f t="shared" si="29"/>
        <v>Not Started</v>
      </c>
      <c r="CH10" s="7" t="str">
        <f t="shared" si="29"/>
        <v>Not Started</v>
      </c>
      <c r="CI10" s="7" t="str">
        <f t="shared" si="29"/>
        <v>Not Started</v>
      </c>
      <c r="CJ10" s="7" t="str">
        <f t="shared" si="29"/>
        <v>Not Started</v>
      </c>
      <c r="CK10" s="7" t="str">
        <f t="shared" si="29"/>
        <v>Not Started</v>
      </c>
      <c r="CL10" s="7" t="str">
        <f t="shared" si="29"/>
        <v>Not Started</v>
      </c>
      <c r="CM10" s="7" t="str">
        <f t="shared" si="29"/>
        <v>Not Started</v>
      </c>
      <c r="CN10" s="7" t="str">
        <f t="shared" si="29"/>
        <v>Not Started</v>
      </c>
      <c r="CO10" s="7" t="str">
        <f t="shared" si="35"/>
        <v>Not Started</v>
      </c>
      <c r="CP10" s="7"/>
      <c r="CQ10" s="7"/>
      <c r="CR10" s="7"/>
      <c r="CS10" s="7"/>
      <c r="CT10" s="7"/>
      <c r="CU10" s="7"/>
      <c r="CV10" s="7"/>
      <c r="CW10" s="7"/>
      <c r="CX10" s="7"/>
      <c r="CY10" s="7"/>
      <c r="CZ10" s="7"/>
      <c r="DA10" s="7"/>
      <c r="DB10" s="152">
        <f>(($FM10/100%)*15%)+(($FN10/100%)*5%)+(($FO10/100%)*5%)+(($FP10/100%)*5%)+(($FQ10/100%)*30%)+(($FR10/100%)*35%)+(($FS10/100%)*5%)</f>
        <v>0</v>
      </c>
      <c r="DC10" s="91"/>
      <c r="DD10" s="141"/>
      <c r="DE10" s="141"/>
      <c r="DF10" s="141"/>
      <c r="DG10" s="141"/>
      <c r="DH10" s="141"/>
      <c r="DI10" s="141"/>
      <c r="DJ10" s="141"/>
      <c r="DK10" s="141"/>
      <c r="DL10" s="141"/>
      <c r="DM10" s="141"/>
      <c r="DN10" s="141"/>
      <c r="DO10" s="141"/>
      <c r="DP10" s="141"/>
      <c r="DQ10" s="141"/>
      <c r="DR10" s="141"/>
      <c r="DS10" s="141"/>
      <c r="DT10" s="141"/>
      <c r="DU10" s="141"/>
      <c r="DV10" s="141"/>
      <c r="DW10" s="141"/>
      <c r="DX10" s="141"/>
      <c r="DY10" s="141"/>
      <c r="DZ10" s="141"/>
      <c r="EA10" s="141"/>
      <c r="EB10" s="152">
        <f t="shared" si="4"/>
        <v>1</v>
      </c>
      <c r="EC10" s="152">
        <f t="shared" si="5"/>
        <v>1</v>
      </c>
      <c r="ED10" s="152">
        <f t="shared" si="6"/>
        <v>1</v>
      </c>
      <c r="EE10" s="152">
        <f t="shared" si="7"/>
        <v>1</v>
      </c>
      <c r="EF10" s="152">
        <f t="shared" si="8"/>
        <v>1</v>
      </c>
      <c r="EG10" s="152">
        <f t="shared" si="9"/>
        <v>1</v>
      </c>
      <c r="EH10" s="152">
        <f t="shared" si="10"/>
        <v>1</v>
      </c>
      <c r="EI10" s="152">
        <f t="shared" si="11"/>
        <v>1</v>
      </c>
      <c r="EJ10" s="152">
        <f t="shared" si="31"/>
        <v>1</v>
      </c>
      <c r="EK10" s="152"/>
      <c r="EL10" s="91"/>
      <c r="EM10" s="141"/>
      <c r="EN10" s="91" t="str">
        <f t="shared" si="37"/>
        <v>NS</v>
      </c>
      <c r="EO10" s="91" t="str">
        <f t="shared" si="37"/>
        <v>NS</v>
      </c>
      <c r="EP10" s="91" t="str">
        <f t="shared" si="37"/>
        <v>NS</v>
      </c>
      <c r="EQ10" s="91" t="str">
        <f t="shared" si="38"/>
        <v>NS</v>
      </c>
      <c r="ER10" s="91" t="str">
        <f t="shared" si="38"/>
        <v>NS</v>
      </c>
      <c r="ES10" s="91" t="str">
        <f t="shared" si="38"/>
        <v>NS</v>
      </c>
      <c r="ET10" s="91" t="str">
        <f t="shared" si="38"/>
        <v>NS</v>
      </c>
      <c r="EU10" s="91" t="str">
        <f t="shared" si="38"/>
        <v>NS</v>
      </c>
      <c r="EV10" s="91" t="str">
        <f t="shared" si="38"/>
        <v>NS</v>
      </c>
      <c r="EW10" s="91" t="str">
        <f>IF(BQ10=0%,"NS",IF(DN10=100%,"DONE",IF(EJ10&gt;=105%,"AS",IF(EJ10&lt;94.45%,"BS",IF(EJ10&gt;=94.5%,"AR","OS")))))</f>
        <v>NS</v>
      </c>
      <c r="EX10" s="91"/>
      <c r="EY10" s="141"/>
      <c r="EZ10" s="141"/>
      <c r="FA10" s="141"/>
      <c r="FB10" s="141"/>
      <c r="FC10" s="141"/>
      <c r="FD10" s="141"/>
      <c r="FE10" s="141"/>
      <c r="FF10" s="141"/>
      <c r="FG10" s="141"/>
      <c r="FH10" s="141"/>
      <c r="FI10" s="141"/>
      <c r="FJ10" s="141"/>
      <c r="FK10" s="152"/>
      <c r="FL10" s="152"/>
      <c r="FM10" s="152"/>
      <c r="FN10" s="152"/>
      <c r="FO10" s="152"/>
      <c r="FP10" s="152"/>
      <c r="FQ10" s="152"/>
      <c r="FR10" s="152"/>
      <c r="FS10" s="152"/>
      <c r="FT10" s="168"/>
      <c r="FU10" s="14"/>
      <c r="FV10" s="8">
        <f t="shared" si="13"/>
        <v>47483</v>
      </c>
      <c r="FW10" s="14"/>
      <c r="FX10" s="141"/>
      <c r="FY10" s="141"/>
      <c r="FZ10" s="14"/>
      <c r="GA10" s="128"/>
      <c r="GB10" s="141"/>
      <c r="GC10" s="14"/>
      <c r="GD10" s="14"/>
      <c r="GE10" s="141"/>
      <c r="GF10" s="141"/>
      <c r="GG10" s="141"/>
      <c r="GH10" s="141"/>
      <c r="GI10" s="141"/>
      <c r="GJ10" s="141"/>
      <c r="GK10" s="141"/>
      <c r="GL10" s="14"/>
      <c r="GM10" s="141"/>
      <c r="GN10" s="141"/>
      <c r="GO10" s="14"/>
      <c r="GP10" s="14"/>
      <c r="GQ10" s="141"/>
      <c r="GR10" s="141"/>
      <c r="GS10" s="141"/>
      <c r="GT10" s="141"/>
      <c r="GU10" s="141"/>
    </row>
    <row r="11" spans="1:213" ht="35.15" customHeight="1">
      <c r="A11" s="147" t="s">
        <v>1285</v>
      </c>
      <c r="B11" s="91" t="s">
        <v>1264</v>
      </c>
      <c r="C11" s="119" t="s">
        <v>1286</v>
      </c>
      <c r="D11" s="14" t="s">
        <v>1302</v>
      </c>
      <c r="E11" s="91">
        <v>2028</v>
      </c>
      <c r="F11" s="91">
        <v>2029</v>
      </c>
      <c r="G11" s="91" t="s">
        <v>288</v>
      </c>
      <c r="H11" s="91" t="s">
        <v>307</v>
      </c>
      <c r="I11" s="91" t="s">
        <v>308</v>
      </c>
      <c r="J11" s="91" t="s">
        <v>472</v>
      </c>
      <c r="K11" s="91" t="s">
        <v>458</v>
      </c>
      <c r="L11" s="148" t="s">
        <v>246</v>
      </c>
      <c r="M11" s="148" t="s">
        <v>246</v>
      </c>
      <c r="N11" s="148" t="s">
        <v>246</v>
      </c>
      <c r="O11" s="148" t="s">
        <v>246</v>
      </c>
      <c r="P11" s="148">
        <v>46905</v>
      </c>
      <c r="Q11" s="148">
        <v>47026</v>
      </c>
      <c r="R11" s="148">
        <v>47027</v>
      </c>
      <c r="S11" s="148">
        <v>47118</v>
      </c>
      <c r="T11" s="148">
        <v>47088</v>
      </c>
      <c r="U11" s="148">
        <v>47118</v>
      </c>
      <c r="V11" s="148">
        <v>47119</v>
      </c>
      <c r="W11" s="148">
        <v>47299</v>
      </c>
      <c r="X11" s="7" t="s">
        <v>246</v>
      </c>
      <c r="Y11" s="7" t="s">
        <v>246</v>
      </c>
      <c r="Z11" s="7" t="s">
        <v>246</v>
      </c>
      <c r="AA11" s="7" t="s">
        <v>246</v>
      </c>
      <c r="AB11" s="7" t="s">
        <v>246</v>
      </c>
      <c r="AC11" s="7" t="s">
        <v>246</v>
      </c>
      <c r="AD11" s="7" t="s">
        <v>246</v>
      </c>
      <c r="AE11" s="7" t="s">
        <v>246</v>
      </c>
      <c r="AF11" s="148">
        <v>47300</v>
      </c>
      <c r="AG11" s="148">
        <v>47483</v>
      </c>
      <c r="AH11" s="7" t="str">
        <f t="shared" si="14"/>
        <v>Not Started</v>
      </c>
      <c r="AI11" s="7" t="str">
        <f t="shared" si="27"/>
        <v>Not Started</v>
      </c>
      <c r="AJ11" s="7" t="str">
        <f t="shared" si="15"/>
        <v>Not Started</v>
      </c>
      <c r="AK11" s="7" t="str">
        <f t="shared" si="16"/>
        <v>Not Started</v>
      </c>
      <c r="AL11" s="7" t="str">
        <f t="shared" si="17"/>
        <v>Not Started</v>
      </c>
      <c r="AM11" s="7" t="str">
        <f t="shared" si="18"/>
        <v>Not Started</v>
      </c>
      <c r="AN11" s="7" t="str">
        <f t="shared" si="19"/>
        <v>Not Started</v>
      </c>
      <c r="AO11" s="7" t="str">
        <f t="shared" si="20"/>
        <v>Not Started</v>
      </c>
      <c r="AP11" s="7" t="str">
        <f t="shared" si="21"/>
        <v>Not Started</v>
      </c>
      <c r="AQ11" s="7" t="str">
        <f t="shared" si="22"/>
        <v>Not Started</v>
      </c>
      <c r="AR11" s="7" t="str">
        <f t="shared" si="23"/>
        <v>Not Started</v>
      </c>
      <c r="AS11" s="7" t="str">
        <f t="shared" si="24"/>
        <v>Not Started</v>
      </c>
      <c r="AT11" s="7"/>
      <c r="AU11" s="7"/>
      <c r="AV11" s="7"/>
      <c r="AW11" s="7"/>
      <c r="AX11" s="7"/>
      <c r="AY11" s="7"/>
      <c r="AZ11" s="7"/>
      <c r="BA11" s="7"/>
      <c r="BB11" s="7"/>
      <c r="BC11" s="7"/>
      <c r="BD11" s="7"/>
      <c r="BE11" s="7"/>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7" t="str">
        <f t="shared" si="25"/>
        <v>Not Started</v>
      </c>
      <c r="CE11" s="7" t="str">
        <f t="shared" si="29"/>
        <v>Not Started</v>
      </c>
      <c r="CF11" s="7" t="str">
        <f t="shared" si="29"/>
        <v>Not Started</v>
      </c>
      <c r="CG11" s="7" t="str">
        <f t="shared" si="29"/>
        <v>Not Started</v>
      </c>
      <c r="CH11" s="7" t="str">
        <f t="shared" si="29"/>
        <v>Not Started</v>
      </c>
      <c r="CI11" s="7" t="str">
        <f t="shared" si="29"/>
        <v>Not Started</v>
      </c>
      <c r="CJ11" s="7" t="str">
        <f t="shared" si="29"/>
        <v>Not Started</v>
      </c>
      <c r="CK11" s="7" t="str">
        <f t="shared" si="29"/>
        <v>Not Started</v>
      </c>
      <c r="CL11" s="7" t="str">
        <f t="shared" si="29"/>
        <v>Not Started</v>
      </c>
      <c r="CM11" s="7" t="str">
        <f t="shared" si="29"/>
        <v>Not Started</v>
      </c>
      <c r="CN11" s="7" t="str">
        <f t="shared" si="29"/>
        <v>Not Started</v>
      </c>
      <c r="CO11" s="7" t="str">
        <f t="shared" si="35"/>
        <v>Not Started</v>
      </c>
      <c r="CP11" s="7"/>
      <c r="CQ11" s="7"/>
      <c r="CR11" s="7"/>
      <c r="CS11" s="7"/>
      <c r="CT11" s="7"/>
      <c r="CU11" s="7"/>
      <c r="CV11" s="7"/>
      <c r="CW11" s="7"/>
      <c r="CX11" s="7"/>
      <c r="CY11" s="7"/>
      <c r="CZ11" s="7"/>
      <c r="DA11" s="7"/>
      <c r="DB11" s="152">
        <f>(($FM11/100%)*15%)+(($FN11/100%)*5%)+(($FO11/100%)*5%)+(($FP11/100%)*5%)+(($FQ11/100%)*30%)+(($FR11/100%)*35%)+(($FS11/100%)*5%)</f>
        <v>0</v>
      </c>
      <c r="DC11" s="91"/>
      <c r="DD11" s="141"/>
      <c r="DE11" s="141"/>
      <c r="DF11" s="141"/>
      <c r="DG11" s="141"/>
      <c r="DH11" s="141"/>
      <c r="DI11" s="141"/>
      <c r="DJ11" s="141"/>
      <c r="DK11" s="141"/>
      <c r="DL11" s="141"/>
      <c r="DM11" s="141"/>
      <c r="DN11" s="141"/>
      <c r="DO11" s="141"/>
      <c r="DP11" s="141"/>
      <c r="DQ11" s="141"/>
      <c r="DR11" s="141"/>
      <c r="DS11" s="141"/>
      <c r="DT11" s="141"/>
      <c r="DU11" s="141"/>
      <c r="DV11" s="141"/>
      <c r="DW11" s="141"/>
      <c r="DX11" s="141"/>
      <c r="DY11" s="141"/>
      <c r="DZ11" s="141"/>
      <c r="EA11" s="141"/>
      <c r="EB11" s="152">
        <f t="shared" si="4"/>
        <v>1</v>
      </c>
      <c r="EC11" s="152">
        <f t="shared" si="5"/>
        <v>1</v>
      </c>
      <c r="ED11" s="152">
        <f t="shared" si="6"/>
        <v>1</v>
      </c>
      <c r="EE11" s="152">
        <f t="shared" si="7"/>
        <v>1</v>
      </c>
      <c r="EF11" s="152">
        <f t="shared" si="8"/>
        <v>1</v>
      </c>
      <c r="EG11" s="152">
        <f t="shared" si="9"/>
        <v>1</v>
      </c>
      <c r="EH11" s="152">
        <f t="shared" si="10"/>
        <v>1</v>
      </c>
      <c r="EI11" s="152">
        <f t="shared" si="11"/>
        <v>1</v>
      </c>
      <c r="EJ11" s="152">
        <f t="shared" si="31"/>
        <v>1</v>
      </c>
      <c r="EK11" s="152"/>
      <c r="EL11" s="91"/>
      <c r="EM11" s="141"/>
      <c r="EN11" s="91" t="str">
        <f t="shared" si="37"/>
        <v>NS</v>
      </c>
      <c r="EO11" s="91" t="str">
        <f t="shared" si="37"/>
        <v>NS</v>
      </c>
      <c r="EP11" s="91" t="str">
        <f t="shared" si="37"/>
        <v>NS</v>
      </c>
      <c r="EQ11" s="91" t="str">
        <f t="shared" si="38"/>
        <v>NS</v>
      </c>
      <c r="ER11" s="91" t="str">
        <f t="shared" si="38"/>
        <v>NS</v>
      </c>
      <c r="ES11" s="91" t="str">
        <f t="shared" si="38"/>
        <v>NS</v>
      </c>
      <c r="ET11" s="91" t="str">
        <f t="shared" si="38"/>
        <v>NS</v>
      </c>
      <c r="EU11" s="91" t="str">
        <f t="shared" si="38"/>
        <v>NS</v>
      </c>
      <c r="EV11" s="91" t="str">
        <f t="shared" si="38"/>
        <v>NS</v>
      </c>
      <c r="EW11" s="91" t="str">
        <f>IF(BQ11=0%,"NS",IF(DN11=100%,"DONE",IF(EJ11&gt;=105%,"AS",IF(EJ11&lt;94.45%,"BS",IF(EJ11&gt;=94.5%,"AR","OS")))))</f>
        <v>NS</v>
      </c>
      <c r="EX11" s="91"/>
      <c r="EY11" s="141"/>
      <c r="EZ11" s="141"/>
      <c r="FA11" s="141"/>
      <c r="FB11" s="141"/>
      <c r="FC11" s="141"/>
      <c r="FD11" s="141"/>
      <c r="FE11" s="141"/>
      <c r="FF11" s="141"/>
      <c r="FG11" s="141"/>
      <c r="FH11" s="141"/>
      <c r="FI11" s="141"/>
      <c r="FJ11" s="141"/>
      <c r="FK11" s="152"/>
      <c r="FL11" s="152"/>
      <c r="FM11" s="152"/>
      <c r="FN11" s="152"/>
      <c r="FO11" s="152"/>
      <c r="FP11" s="152"/>
      <c r="FQ11" s="152"/>
      <c r="FR11" s="152"/>
      <c r="FS11" s="152"/>
      <c r="FT11" s="14" t="s">
        <v>887</v>
      </c>
      <c r="FU11" s="14"/>
      <c r="FV11" s="8">
        <f t="shared" si="13"/>
        <v>47483</v>
      </c>
      <c r="FW11" s="14"/>
      <c r="FX11" s="141"/>
      <c r="FY11" s="141"/>
      <c r="FZ11" s="14"/>
      <c r="GA11" s="128"/>
      <c r="GB11" s="141"/>
      <c r="GC11" s="14"/>
      <c r="GD11" s="14"/>
      <c r="GE11" s="141"/>
      <c r="GF11" s="141"/>
      <c r="GG11" s="141"/>
      <c r="GH11" s="141"/>
      <c r="GI11" s="141"/>
      <c r="GJ11" s="141"/>
      <c r="GK11" s="141"/>
      <c r="GL11" s="14"/>
      <c r="GM11" s="141"/>
      <c r="GN11" s="141"/>
      <c r="GO11" s="14"/>
      <c r="GP11" s="14"/>
      <c r="GQ11" s="141"/>
      <c r="GR11" s="141"/>
      <c r="GS11" s="141"/>
      <c r="GT11" s="141"/>
      <c r="GU11" s="141"/>
    </row>
    <row r="12" spans="1:213" ht="58">
      <c r="A12" s="147" t="s">
        <v>1285</v>
      </c>
      <c r="B12" s="91" t="s">
        <v>1264</v>
      </c>
      <c r="C12" s="119" t="s">
        <v>1286</v>
      </c>
      <c r="D12" s="14" t="s">
        <v>1303</v>
      </c>
      <c r="E12" s="91">
        <v>2027</v>
      </c>
      <c r="F12" s="91">
        <v>2029</v>
      </c>
      <c r="G12" s="91" t="s">
        <v>288</v>
      </c>
      <c r="H12" s="91" t="s">
        <v>323</v>
      </c>
      <c r="I12" s="91" t="s">
        <v>308</v>
      </c>
      <c r="J12" s="91" t="s">
        <v>472</v>
      </c>
      <c r="K12" s="91" t="s">
        <v>458</v>
      </c>
      <c r="L12" s="148" t="s">
        <v>246</v>
      </c>
      <c r="M12" s="148" t="s">
        <v>246</v>
      </c>
      <c r="N12" s="148" t="s">
        <v>246</v>
      </c>
      <c r="O12" s="148" t="s">
        <v>246</v>
      </c>
      <c r="P12" s="148">
        <v>46569</v>
      </c>
      <c r="Q12" s="148">
        <v>46752</v>
      </c>
      <c r="R12" s="148">
        <v>46753</v>
      </c>
      <c r="S12" s="148">
        <v>46843</v>
      </c>
      <c r="T12" s="148">
        <v>46813</v>
      </c>
      <c r="U12" s="148">
        <v>46843</v>
      </c>
      <c r="V12" s="148">
        <v>46813</v>
      </c>
      <c r="W12" s="148">
        <v>47026</v>
      </c>
      <c r="X12" s="7" t="s">
        <v>246</v>
      </c>
      <c r="Y12" s="7" t="s">
        <v>246</v>
      </c>
      <c r="Z12" s="7" t="s">
        <v>246</v>
      </c>
      <c r="AA12" s="7" t="s">
        <v>246</v>
      </c>
      <c r="AB12" s="7" t="s">
        <v>246</v>
      </c>
      <c r="AC12" s="7" t="s">
        <v>246</v>
      </c>
      <c r="AD12" s="7" t="s">
        <v>246</v>
      </c>
      <c r="AE12" s="7" t="s">
        <v>246</v>
      </c>
      <c r="AF12" s="148">
        <v>47088</v>
      </c>
      <c r="AG12" s="148">
        <v>47208</v>
      </c>
      <c r="AH12" s="7" t="str">
        <f t="shared" si="14"/>
        <v>Not Started</v>
      </c>
      <c r="AI12" s="7" t="str">
        <f t="shared" si="27"/>
        <v>Not Started</v>
      </c>
      <c r="AJ12" s="7" t="str">
        <f t="shared" si="15"/>
        <v>Not Started</v>
      </c>
      <c r="AK12" s="7" t="str">
        <f t="shared" si="16"/>
        <v>Not Started</v>
      </c>
      <c r="AL12" s="7" t="str">
        <f t="shared" si="17"/>
        <v>Not Started</v>
      </c>
      <c r="AM12" s="7" t="str">
        <f t="shared" si="18"/>
        <v>Not Started</v>
      </c>
      <c r="AN12" s="7" t="str">
        <f t="shared" si="19"/>
        <v>Not Started</v>
      </c>
      <c r="AO12" s="7" t="str">
        <f t="shared" si="20"/>
        <v>Not Started</v>
      </c>
      <c r="AP12" s="7" t="str">
        <f t="shared" si="21"/>
        <v>Not Started</v>
      </c>
      <c r="AQ12" s="7" t="str">
        <f t="shared" si="22"/>
        <v>Not Started</v>
      </c>
      <c r="AR12" s="7" t="str">
        <f t="shared" si="23"/>
        <v>Not Started</v>
      </c>
      <c r="AS12" s="7" t="str">
        <f t="shared" si="24"/>
        <v>Not Started</v>
      </c>
      <c r="AT12" s="7"/>
      <c r="AU12" s="7"/>
      <c r="AV12" s="7"/>
      <c r="AW12" s="7"/>
      <c r="AX12" s="7"/>
      <c r="AY12" s="7"/>
      <c r="AZ12" s="7"/>
      <c r="BA12" s="7"/>
      <c r="BB12" s="7"/>
      <c r="BC12" s="7"/>
      <c r="BD12" s="7"/>
      <c r="BE12" s="7"/>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7" t="str">
        <f t="shared" si="25"/>
        <v>Not Started</v>
      </c>
      <c r="CE12" s="7" t="str">
        <f t="shared" si="29"/>
        <v>Not Started</v>
      </c>
      <c r="CF12" s="7" t="str">
        <f t="shared" si="29"/>
        <v>Not Started</v>
      </c>
      <c r="CG12" s="7" t="str">
        <f t="shared" si="29"/>
        <v>Not Started</v>
      </c>
      <c r="CH12" s="7" t="str">
        <f t="shared" si="29"/>
        <v>Not Started</v>
      </c>
      <c r="CI12" s="7" t="str">
        <f t="shared" si="29"/>
        <v>Not Started</v>
      </c>
      <c r="CJ12" s="7" t="str">
        <f t="shared" si="29"/>
        <v>Not Started</v>
      </c>
      <c r="CK12" s="7" t="str">
        <f t="shared" si="29"/>
        <v>Not Started</v>
      </c>
      <c r="CL12" s="7" t="str">
        <f t="shared" si="29"/>
        <v>Not Started</v>
      </c>
      <c r="CM12" s="7" t="str">
        <f t="shared" si="29"/>
        <v>Not Started</v>
      </c>
      <c r="CN12" s="7" t="str">
        <f t="shared" si="29"/>
        <v>Not Started</v>
      </c>
      <c r="CO12" s="7" t="str">
        <f t="shared" si="35"/>
        <v>Not Started</v>
      </c>
      <c r="CP12" s="7"/>
      <c r="CQ12" s="7"/>
      <c r="CR12" s="7"/>
      <c r="CS12" s="7"/>
      <c r="CT12" s="7"/>
      <c r="CU12" s="7"/>
      <c r="CV12" s="7"/>
      <c r="CW12" s="7"/>
      <c r="CX12" s="7"/>
      <c r="CY12" s="7"/>
      <c r="CZ12" s="7"/>
      <c r="DA12" s="7"/>
      <c r="DB12" s="152">
        <f>(($FM12/100%)*15%)+(($FN12/100%)*5%)+(($FO12/100%)*5%)+(($FP12/100%)*5%)+(($FQ12/100%)*30%)+(($FR12/100%)*35%)+(($FS12/100%)*5%)</f>
        <v>0</v>
      </c>
      <c r="DC12" s="91"/>
      <c r="DD12" s="141"/>
      <c r="DE12" s="141"/>
      <c r="DF12" s="141"/>
      <c r="DG12" s="141"/>
      <c r="DH12" s="141"/>
      <c r="DI12" s="141"/>
      <c r="DJ12" s="141"/>
      <c r="DK12" s="141"/>
      <c r="DL12" s="141"/>
      <c r="DM12" s="141"/>
      <c r="DN12" s="141"/>
      <c r="DO12" s="141"/>
      <c r="DP12" s="141"/>
      <c r="DQ12" s="141"/>
      <c r="DR12" s="141"/>
      <c r="DS12" s="141"/>
      <c r="DT12" s="141"/>
      <c r="DU12" s="141"/>
      <c r="DV12" s="141"/>
      <c r="DW12" s="141"/>
      <c r="DX12" s="141"/>
      <c r="DY12" s="141"/>
      <c r="DZ12" s="141"/>
      <c r="EA12" s="141"/>
      <c r="EB12" s="152">
        <f t="shared" si="4"/>
        <v>1</v>
      </c>
      <c r="EC12" s="152">
        <f t="shared" si="5"/>
        <v>1</v>
      </c>
      <c r="ED12" s="152">
        <f t="shared" si="6"/>
        <v>1</v>
      </c>
      <c r="EE12" s="152">
        <f t="shared" si="7"/>
        <v>1</v>
      </c>
      <c r="EF12" s="152">
        <f t="shared" si="8"/>
        <v>1</v>
      </c>
      <c r="EG12" s="152">
        <f t="shared" si="9"/>
        <v>1</v>
      </c>
      <c r="EH12" s="152">
        <f t="shared" si="10"/>
        <v>1</v>
      </c>
      <c r="EI12" s="152">
        <f t="shared" si="11"/>
        <v>1</v>
      </c>
      <c r="EJ12" s="152">
        <f t="shared" si="31"/>
        <v>1</v>
      </c>
      <c r="EK12" s="152"/>
      <c r="EL12" s="91"/>
      <c r="EM12" s="141"/>
      <c r="EN12" s="91" t="str">
        <f t="shared" si="37"/>
        <v>NS</v>
      </c>
      <c r="EO12" s="91" t="str">
        <f t="shared" si="37"/>
        <v>NS</v>
      </c>
      <c r="EP12" s="91" t="str">
        <f t="shared" si="37"/>
        <v>NS</v>
      </c>
      <c r="EQ12" s="91" t="str">
        <f t="shared" si="38"/>
        <v>NS</v>
      </c>
      <c r="ER12" s="91" t="str">
        <f t="shared" si="38"/>
        <v>NS</v>
      </c>
      <c r="ES12" s="91" t="str">
        <f t="shared" si="38"/>
        <v>NS</v>
      </c>
      <c r="ET12" s="91" t="str">
        <f t="shared" si="38"/>
        <v>NS</v>
      </c>
      <c r="EU12" s="91" t="str">
        <f t="shared" si="38"/>
        <v>NS</v>
      </c>
      <c r="EV12" s="91" t="str">
        <f t="shared" si="38"/>
        <v>NS</v>
      </c>
      <c r="EW12" s="91" t="str">
        <f>IF(BQ12=0%,"NS",IF(DN12=100%,"DONE",IF(EJ12&gt;=105%,"AS",IF(EJ12&lt;94.45%,"BS",IF(EJ12&gt;=94.5%,"AR","OS")))))</f>
        <v>NS</v>
      </c>
      <c r="EX12" s="91"/>
      <c r="EY12" s="141"/>
      <c r="EZ12" s="141"/>
      <c r="FA12" s="141"/>
      <c r="FB12" s="141"/>
      <c r="FC12" s="141"/>
      <c r="FD12" s="141"/>
      <c r="FE12" s="141"/>
      <c r="FF12" s="141"/>
      <c r="FG12" s="141"/>
      <c r="FH12" s="141"/>
      <c r="FI12" s="141"/>
      <c r="FJ12" s="141"/>
      <c r="FK12" s="152"/>
      <c r="FL12" s="152"/>
      <c r="FM12" s="152"/>
      <c r="FN12" s="152"/>
      <c r="FO12" s="152"/>
      <c r="FP12" s="152"/>
      <c r="FQ12" s="152"/>
      <c r="FR12" s="152"/>
      <c r="FS12" s="152"/>
      <c r="FT12" s="14" t="s">
        <v>887</v>
      </c>
      <c r="FU12" s="14"/>
      <c r="FV12" s="8">
        <f t="shared" si="13"/>
        <v>47208</v>
      </c>
      <c r="FW12" s="14"/>
      <c r="FX12" s="141"/>
      <c r="FY12" s="141"/>
      <c r="FZ12" s="14"/>
      <c r="GA12" s="128"/>
      <c r="GB12" s="141"/>
      <c r="GC12" s="14"/>
      <c r="GD12" s="14"/>
      <c r="GE12" s="141"/>
      <c r="GF12" s="141"/>
      <c r="GG12" s="141"/>
      <c r="GH12" s="141"/>
      <c r="GI12" s="141"/>
      <c r="GJ12" s="141"/>
      <c r="GK12" s="141"/>
      <c r="GL12" s="14"/>
      <c r="GM12" s="141"/>
      <c r="GN12" s="141"/>
      <c r="GO12" s="14"/>
      <c r="GP12" s="14"/>
      <c r="GQ12" s="141"/>
      <c r="GR12" s="141"/>
      <c r="GS12" s="141"/>
      <c r="GT12" s="141"/>
      <c r="GU12" s="141"/>
    </row>
    <row r="13" spans="1:213" ht="15" customHeight="1">
      <c r="C13" s="21"/>
    </row>
  </sheetData>
  <sheetProtection sort="0" autoFilter="0" pivotTables="0"/>
  <autoFilter ref="A2:HD12" xr:uid="{41ED01AD-BF77-4217-ADE8-A1F3E9B78A2E}"/>
  <mergeCells count="21">
    <mergeCell ref="AF1:AG1"/>
    <mergeCell ref="AH1:BE1"/>
    <mergeCell ref="FK1:FS1"/>
    <mergeCell ref="FX1:GI1"/>
    <mergeCell ref="GJ1:GU1"/>
    <mergeCell ref="EY1:FJ1"/>
    <mergeCell ref="BF1:CC1"/>
    <mergeCell ref="CD1:DA1"/>
    <mergeCell ref="DB1:DY1"/>
    <mergeCell ref="DZ1:EK1"/>
    <mergeCell ref="EL1:EX1"/>
    <mergeCell ref="V1:W1"/>
    <mergeCell ref="X1:Y1"/>
    <mergeCell ref="Z1:AA1"/>
    <mergeCell ref="AB1:AC1"/>
    <mergeCell ref="AD1:AE1"/>
    <mergeCell ref="L1:M1"/>
    <mergeCell ref="N1:O1"/>
    <mergeCell ref="P1:Q1"/>
    <mergeCell ref="R1:S1"/>
    <mergeCell ref="T1:U1"/>
  </mergeCells>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7DEF2-1048-43EC-B3AD-69C5921241D5}">
  <dimension ref="A1:FC50"/>
  <sheetViews>
    <sheetView zoomScale="70" zoomScaleNormal="70" workbookViewId="0">
      <pane xSplit="5" ySplit="2" topLeftCell="F3" activePane="bottomRight" state="frozen"/>
      <selection pane="topRight" activeCell="F1" sqref="F1"/>
      <selection pane="bottomLeft" activeCell="A3" sqref="A3"/>
      <selection pane="bottomRight" activeCell="DQ14" sqref="DQ14"/>
    </sheetView>
  </sheetViews>
  <sheetFormatPr defaultRowHeight="14.5"/>
  <cols>
    <col min="2" max="2" width="25.81640625" customWidth="1"/>
    <col min="3" max="4" width="41.81640625" customWidth="1"/>
    <col min="6" max="6" width="11.1796875" bestFit="1" customWidth="1"/>
    <col min="15" max="15" width="12.1796875" bestFit="1" customWidth="1"/>
    <col min="16" max="16" width="12.1796875" customWidth="1"/>
    <col min="17" max="17" width="12.54296875" customWidth="1"/>
    <col min="18" max="18" width="12" customWidth="1"/>
    <col min="19" max="19" width="12.1796875" customWidth="1"/>
    <col min="20" max="20" width="12.81640625" customWidth="1"/>
    <col min="27" max="27" width="12.1796875" bestFit="1" customWidth="1"/>
    <col min="28" max="28" width="11.81640625" bestFit="1" customWidth="1"/>
    <col min="29" max="112" width="8.7265625" customWidth="1"/>
    <col min="122" max="122" width="55.1796875" customWidth="1"/>
    <col min="123" max="123" width="29.81640625" customWidth="1"/>
    <col min="126" max="127" width="8.81640625" bestFit="1" customWidth="1"/>
    <col min="128" max="128" width="15" customWidth="1"/>
    <col min="129" max="129" width="23.1796875" customWidth="1"/>
    <col min="130" max="130" width="20.54296875" customWidth="1"/>
    <col min="131" max="131" width="34" customWidth="1"/>
    <col min="132" max="132" width="36.54296875" customWidth="1"/>
    <col min="133" max="150" width="8.81640625" bestFit="1" customWidth="1"/>
  </cols>
  <sheetData>
    <row r="1" spans="1:159" s="1" customFormat="1" ht="43.5">
      <c r="A1" s="135" t="s">
        <v>58</v>
      </c>
      <c r="B1" s="134" t="s">
        <v>1096</v>
      </c>
      <c r="C1" s="136" t="s">
        <v>1256</v>
      </c>
      <c r="D1" s="134" t="s">
        <v>63</v>
      </c>
      <c r="E1" s="137" t="s">
        <v>64</v>
      </c>
      <c r="F1" s="406" t="s">
        <v>1304</v>
      </c>
      <c r="G1" s="985" t="s">
        <v>1257</v>
      </c>
      <c r="H1" s="985"/>
      <c r="I1" s="985" t="s">
        <v>1258</v>
      </c>
      <c r="J1" s="985"/>
      <c r="K1" s="986" t="s">
        <v>80</v>
      </c>
      <c r="L1" s="986"/>
      <c r="M1" s="986" t="s">
        <v>81</v>
      </c>
      <c r="N1" s="986"/>
      <c r="O1" s="986" t="s">
        <v>1259</v>
      </c>
      <c r="P1" s="986"/>
      <c r="Q1" s="987" t="s">
        <v>83</v>
      </c>
      <c r="R1" s="987"/>
      <c r="S1" s="988" t="s">
        <v>1260</v>
      </c>
      <c r="T1" s="988"/>
      <c r="U1" s="986" t="s">
        <v>85</v>
      </c>
      <c r="V1" s="986"/>
      <c r="W1" s="986" t="s">
        <v>86</v>
      </c>
      <c r="X1" s="986"/>
      <c r="Y1" s="986" t="s">
        <v>87</v>
      </c>
      <c r="Z1" s="986"/>
      <c r="AA1" s="986" t="s">
        <v>88</v>
      </c>
      <c r="AB1" s="986"/>
      <c r="AC1" s="994" t="s">
        <v>89</v>
      </c>
      <c r="AD1" s="994"/>
      <c r="AE1" s="994"/>
      <c r="AF1" s="994"/>
      <c r="AG1" s="994"/>
      <c r="AH1" s="994"/>
      <c r="AI1" s="994"/>
      <c r="AJ1" s="994"/>
      <c r="AK1" s="994"/>
      <c r="AL1" s="994"/>
      <c r="AM1" s="994"/>
      <c r="AN1" s="994"/>
      <c r="AO1" s="998" t="s">
        <v>90</v>
      </c>
      <c r="AP1" s="998"/>
      <c r="AQ1" s="998"/>
      <c r="AR1" s="998"/>
      <c r="AS1" s="998"/>
      <c r="AT1" s="998"/>
      <c r="AU1" s="998"/>
      <c r="AV1" s="998"/>
      <c r="AW1" s="998"/>
      <c r="AX1" s="998"/>
      <c r="AY1" s="998"/>
      <c r="AZ1" s="998"/>
      <c r="BA1" s="994" t="s">
        <v>91</v>
      </c>
      <c r="BB1" s="994"/>
      <c r="BC1" s="994"/>
      <c r="BD1" s="994"/>
      <c r="BE1" s="994"/>
      <c r="BF1" s="994"/>
      <c r="BG1" s="994"/>
      <c r="BH1" s="994"/>
      <c r="BI1" s="994"/>
      <c r="BJ1" s="994"/>
      <c r="BK1" s="994"/>
      <c r="BL1" s="994"/>
      <c r="BM1" s="994" t="s">
        <v>92</v>
      </c>
      <c r="BN1" s="994"/>
      <c r="BO1" s="994"/>
      <c r="BP1" s="994"/>
      <c r="BQ1" s="994"/>
      <c r="BR1" s="994"/>
      <c r="BS1" s="994"/>
      <c r="BT1" s="994"/>
      <c r="BU1" s="994"/>
      <c r="BV1" s="994"/>
      <c r="BW1" s="994"/>
      <c r="BX1" s="994"/>
      <c r="BY1" s="994" t="s">
        <v>93</v>
      </c>
      <c r="BZ1" s="994"/>
      <c r="CA1" s="994"/>
      <c r="CB1" s="994"/>
      <c r="CC1" s="994"/>
      <c r="CD1" s="994"/>
      <c r="CE1" s="994"/>
      <c r="CF1" s="994"/>
      <c r="CG1" s="994"/>
      <c r="CH1" s="994"/>
      <c r="CI1" s="994"/>
      <c r="CJ1" s="994"/>
      <c r="CK1" s="994" t="s">
        <v>94</v>
      </c>
      <c r="CL1" s="994"/>
      <c r="CM1" s="994"/>
      <c r="CN1" s="994"/>
      <c r="CO1" s="994"/>
      <c r="CP1" s="994"/>
      <c r="CQ1" s="994"/>
      <c r="CR1" s="994"/>
      <c r="CS1" s="994"/>
      <c r="CT1" s="994"/>
      <c r="CU1" s="994"/>
      <c r="CV1" s="994"/>
      <c r="CW1" s="994" t="s">
        <v>1102</v>
      </c>
      <c r="CX1" s="994"/>
      <c r="CY1" s="994"/>
      <c r="CZ1" s="994"/>
      <c r="DA1" s="994"/>
      <c r="DB1" s="994"/>
      <c r="DC1" s="994"/>
      <c r="DD1" s="994"/>
      <c r="DE1" s="994"/>
      <c r="DF1" s="994"/>
      <c r="DG1" s="994"/>
      <c r="DH1" s="994"/>
      <c r="DI1" s="992" t="s">
        <v>96</v>
      </c>
      <c r="DJ1" s="992"/>
      <c r="DK1" s="992"/>
      <c r="DL1" s="992"/>
      <c r="DM1" s="992"/>
      <c r="DN1" s="992"/>
      <c r="DO1" s="992"/>
      <c r="DP1" s="992"/>
      <c r="DQ1" s="992"/>
      <c r="DR1" s="138" t="s">
        <v>97</v>
      </c>
      <c r="DS1" s="139" t="s">
        <v>98</v>
      </c>
      <c r="DT1" s="140" t="s">
        <v>77</v>
      </c>
      <c r="DU1" s="140" t="s">
        <v>102</v>
      </c>
      <c r="DV1" s="993" t="s">
        <v>103</v>
      </c>
      <c r="DW1" s="993"/>
      <c r="DX1" s="993"/>
      <c r="DY1" s="993"/>
      <c r="DZ1" s="993"/>
      <c r="EA1" s="993"/>
      <c r="EB1" s="993"/>
      <c r="EC1" s="993"/>
      <c r="ED1" s="993"/>
      <c r="EE1" s="993"/>
      <c r="EF1" s="993"/>
      <c r="EG1" s="993"/>
      <c r="EH1" s="993" t="s">
        <v>104</v>
      </c>
      <c r="EI1" s="993"/>
      <c r="EJ1" s="993"/>
      <c r="EK1" s="993"/>
      <c r="EL1" s="993"/>
      <c r="EM1" s="993"/>
      <c r="EN1" s="993"/>
      <c r="EO1" s="993"/>
      <c r="EP1" s="993"/>
      <c r="EQ1" s="993"/>
      <c r="ER1" s="993"/>
      <c r="ES1" s="993"/>
      <c r="ET1" s="11"/>
      <c r="EU1" s="11"/>
      <c r="EV1" s="11"/>
      <c r="EW1" s="11"/>
      <c r="EX1" s="11"/>
      <c r="EY1" s="11"/>
      <c r="EZ1" s="11"/>
      <c r="FA1" s="11"/>
      <c r="FB1" s="11"/>
    </row>
    <row r="2" spans="1:159" s="3" customFormat="1" ht="29.5" thickBot="1">
      <c r="A2" s="142" t="s">
        <v>114</v>
      </c>
      <c r="B2" s="144" t="s">
        <v>120</v>
      </c>
      <c r="C2" s="143" t="s">
        <v>121</v>
      </c>
      <c r="D2" s="143" t="s">
        <v>122</v>
      </c>
      <c r="E2" s="143" t="s">
        <v>123</v>
      </c>
      <c r="F2" s="201"/>
      <c r="G2" s="201" t="s">
        <v>137</v>
      </c>
      <c r="H2" s="143" t="s">
        <v>138</v>
      </c>
      <c r="I2" s="143" t="s">
        <v>137</v>
      </c>
      <c r="J2" s="143" t="s">
        <v>138</v>
      </c>
      <c r="K2" s="143" t="s">
        <v>137</v>
      </c>
      <c r="L2" s="143" t="s">
        <v>138</v>
      </c>
      <c r="M2" s="143" t="s">
        <v>137</v>
      </c>
      <c r="N2" s="143" t="s">
        <v>138</v>
      </c>
      <c r="O2" s="143" t="s">
        <v>137</v>
      </c>
      <c r="P2" s="143" t="s">
        <v>138</v>
      </c>
      <c r="Q2" s="143" t="s">
        <v>137</v>
      </c>
      <c r="R2" s="143" t="s">
        <v>138</v>
      </c>
      <c r="S2" s="143" t="s">
        <v>137</v>
      </c>
      <c r="T2" s="143" t="s">
        <v>138</v>
      </c>
      <c r="U2" s="143" t="s">
        <v>137</v>
      </c>
      <c r="V2" s="143" t="s">
        <v>138</v>
      </c>
      <c r="W2" s="143" t="s">
        <v>137</v>
      </c>
      <c r="X2" s="143" t="s">
        <v>138</v>
      </c>
      <c r="Y2" s="143" t="s">
        <v>137</v>
      </c>
      <c r="Z2" s="143" t="s">
        <v>138</v>
      </c>
      <c r="AA2" s="143" t="s">
        <v>137</v>
      </c>
      <c r="AB2" s="143" t="s">
        <v>138</v>
      </c>
      <c r="AC2" s="145" t="s">
        <v>2</v>
      </c>
      <c r="AD2" s="145" t="s">
        <v>3</v>
      </c>
      <c r="AE2" s="145" t="s">
        <v>4</v>
      </c>
      <c r="AF2" s="145" t="s">
        <v>5</v>
      </c>
      <c r="AG2" s="145" t="s">
        <v>6</v>
      </c>
      <c r="AH2" s="145" t="s">
        <v>7</v>
      </c>
      <c r="AI2" s="145" t="s">
        <v>8</v>
      </c>
      <c r="AJ2" s="145" t="s">
        <v>1261</v>
      </c>
      <c r="AK2" s="145" t="s">
        <v>10</v>
      </c>
      <c r="AL2" s="145" t="s">
        <v>11</v>
      </c>
      <c r="AM2" s="145" t="s">
        <v>12</v>
      </c>
      <c r="AN2" s="145" t="s">
        <v>13</v>
      </c>
      <c r="AO2" s="145" t="s">
        <v>2</v>
      </c>
      <c r="AP2" s="145" t="s">
        <v>3</v>
      </c>
      <c r="AQ2" s="145" t="s">
        <v>4</v>
      </c>
      <c r="AR2" s="145" t="s">
        <v>5</v>
      </c>
      <c r="AS2" s="145" t="s">
        <v>6</v>
      </c>
      <c r="AT2" s="145" t="s">
        <v>7</v>
      </c>
      <c r="AU2" s="145" t="s">
        <v>8</v>
      </c>
      <c r="AV2" s="145" t="s">
        <v>1261</v>
      </c>
      <c r="AW2" s="145" t="s">
        <v>10</v>
      </c>
      <c r="AX2" s="145" t="s">
        <v>11</v>
      </c>
      <c r="AY2" s="145" t="s">
        <v>12</v>
      </c>
      <c r="AZ2" s="145" t="s">
        <v>13</v>
      </c>
      <c r="BA2" s="145" t="s">
        <v>2</v>
      </c>
      <c r="BB2" s="145" t="s">
        <v>3</v>
      </c>
      <c r="BC2" s="145" t="s">
        <v>4</v>
      </c>
      <c r="BD2" s="145" t="s">
        <v>5</v>
      </c>
      <c r="BE2" s="145" t="s">
        <v>6</v>
      </c>
      <c r="BF2" s="145" t="s">
        <v>7</v>
      </c>
      <c r="BG2" s="145" t="s">
        <v>8</v>
      </c>
      <c r="BH2" s="145" t="s">
        <v>1261</v>
      </c>
      <c r="BI2" s="145" t="s">
        <v>10</v>
      </c>
      <c r="BJ2" s="145" t="s">
        <v>11</v>
      </c>
      <c r="BK2" s="145" t="s">
        <v>12</v>
      </c>
      <c r="BL2" s="145" t="s">
        <v>13</v>
      </c>
      <c r="BM2" s="145" t="s">
        <v>2</v>
      </c>
      <c r="BN2" s="145" t="s">
        <v>3</v>
      </c>
      <c r="BO2" s="145" t="s">
        <v>4</v>
      </c>
      <c r="BP2" s="145" t="s">
        <v>5</v>
      </c>
      <c r="BQ2" s="145" t="s">
        <v>6</v>
      </c>
      <c r="BR2" s="145" t="s">
        <v>7</v>
      </c>
      <c r="BS2" s="145" t="s">
        <v>8</v>
      </c>
      <c r="BT2" s="145" t="s">
        <v>1261</v>
      </c>
      <c r="BU2" s="145" t="s">
        <v>10</v>
      </c>
      <c r="BV2" s="145" t="s">
        <v>11</v>
      </c>
      <c r="BW2" s="145" t="s">
        <v>12</v>
      </c>
      <c r="BX2" s="145" t="s">
        <v>13</v>
      </c>
      <c r="BY2" s="145" t="s">
        <v>2</v>
      </c>
      <c r="BZ2" s="145" t="s">
        <v>3</v>
      </c>
      <c r="CA2" s="145" t="s">
        <v>4</v>
      </c>
      <c r="CB2" s="145" t="s">
        <v>5</v>
      </c>
      <c r="CC2" s="145" t="s">
        <v>6</v>
      </c>
      <c r="CD2" s="145" t="s">
        <v>7</v>
      </c>
      <c r="CE2" s="145" t="s">
        <v>8</v>
      </c>
      <c r="CF2" s="145" t="s">
        <v>1261</v>
      </c>
      <c r="CG2" s="145" t="s">
        <v>10</v>
      </c>
      <c r="CH2" s="145" t="s">
        <v>11</v>
      </c>
      <c r="CI2" s="145" t="s">
        <v>12</v>
      </c>
      <c r="CJ2" s="145" t="s">
        <v>13</v>
      </c>
      <c r="CK2" s="145" t="s">
        <v>2</v>
      </c>
      <c r="CL2" s="145" t="s">
        <v>3</v>
      </c>
      <c r="CM2" s="145" t="s">
        <v>4</v>
      </c>
      <c r="CN2" s="145" t="s">
        <v>5</v>
      </c>
      <c r="CO2" s="145" t="s">
        <v>6</v>
      </c>
      <c r="CP2" s="145" t="s">
        <v>7</v>
      </c>
      <c r="CQ2" s="145" t="s">
        <v>8</v>
      </c>
      <c r="CR2" s="145" t="s">
        <v>1261</v>
      </c>
      <c r="CS2" s="145" t="s">
        <v>10</v>
      </c>
      <c r="CT2" s="145" t="s">
        <v>11</v>
      </c>
      <c r="CU2" s="145" t="s">
        <v>12</v>
      </c>
      <c r="CV2" s="145" t="s">
        <v>13</v>
      </c>
      <c r="CW2" s="145"/>
      <c r="CX2" s="145" t="s">
        <v>3</v>
      </c>
      <c r="CY2" s="145" t="s">
        <v>4</v>
      </c>
      <c r="CZ2" s="145" t="s">
        <v>5</v>
      </c>
      <c r="DA2" s="145" t="s">
        <v>6</v>
      </c>
      <c r="DB2" s="145" t="s">
        <v>7</v>
      </c>
      <c r="DC2" s="145" t="s">
        <v>8</v>
      </c>
      <c r="DD2" s="145" t="s">
        <v>9</v>
      </c>
      <c r="DE2" s="145" t="s">
        <v>10</v>
      </c>
      <c r="DF2" s="145" t="s">
        <v>11</v>
      </c>
      <c r="DG2" s="145" t="s">
        <v>12</v>
      </c>
      <c r="DH2" s="145" t="s">
        <v>13</v>
      </c>
      <c r="DI2" s="146" t="s">
        <v>1257</v>
      </c>
      <c r="DJ2" s="146" t="s">
        <v>1258</v>
      </c>
      <c r="DK2" s="146" t="s">
        <v>80</v>
      </c>
      <c r="DL2" s="146" t="s">
        <v>81</v>
      </c>
      <c r="DM2" s="146" t="s">
        <v>78</v>
      </c>
      <c r="DN2" s="146" t="s">
        <v>139</v>
      </c>
      <c r="DO2" s="146" t="s">
        <v>1260</v>
      </c>
      <c r="DP2" s="146" t="s">
        <v>85</v>
      </c>
      <c r="DQ2" s="146" t="s">
        <v>142</v>
      </c>
      <c r="DR2" s="144" t="s">
        <v>1111</v>
      </c>
      <c r="DS2" s="143" t="s">
        <v>143</v>
      </c>
      <c r="DT2" s="143" t="s">
        <v>144</v>
      </c>
      <c r="DU2" s="143" t="s">
        <v>147</v>
      </c>
      <c r="DV2" s="143" t="s">
        <v>148</v>
      </c>
      <c r="DW2" s="144" t="s">
        <v>149</v>
      </c>
      <c r="DX2" s="143" t="s">
        <v>150</v>
      </c>
      <c r="DY2" s="143" t="s">
        <v>151</v>
      </c>
      <c r="DZ2" s="143" t="s">
        <v>152</v>
      </c>
      <c r="EA2" s="143" t="s">
        <v>153</v>
      </c>
      <c r="EB2" s="143" t="s">
        <v>154</v>
      </c>
      <c r="EC2" s="143" t="s">
        <v>155</v>
      </c>
      <c r="ED2" s="143" t="s">
        <v>156</v>
      </c>
      <c r="EE2" s="143" t="s">
        <v>157</v>
      </c>
      <c r="EF2" s="143" t="s">
        <v>158</v>
      </c>
      <c r="EG2" s="143" t="s">
        <v>159</v>
      </c>
      <c r="EH2" s="143" t="s">
        <v>148</v>
      </c>
      <c r="EI2" s="143" t="s">
        <v>149</v>
      </c>
      <c r="EJ2" s="143" t="s">
        <v>150</v>
      </c>
      <c r="EK2" s="143" t="s">
        <v>151</v>
      </c>
      <c r="EL2" s="143" t="s">
        <v>152</v>
      </c>
      <c r="EM2" s="143" t="s">
        <v>153</v>
      </c>
      <c r="EN2" s="143" t="s">
        <v>154</v>
      </c>
      <c r="EO2" s="143" t="s">
        <v>155</v>
      </c>
      <c r="EP2" s="143" t="s">
        <v>156</v>
      </c>
      <c r="EQ2" s="143" t="s">
        <v>157</v>
      </c>
      <c r="ER2" s="143" t="s">
        <v>158</v>
      </c>
      <c r="ES2" s="143" t="s">
        <v>159</v>
      </c>
      <c r="ET2" s="11"/>
      <c r="EU2" s="11"/>
      <c r="EV2" s="11"/>
      <c r="EW2" s="11"/>
      <c r="EX2" s="11"/>
      <c r="EY2" s="11"/>
      <c r="EZ2" s="11"/>
      <c r="FA2" s="11"/>
      <c r="FB2" s="11"/>
    </row>
    <row r="3" spans="1:159" s="3" customFormat="1" ht="55.5" customHeight="1">
      <c r="A3" s="7" t="s">
        <v>1305</v>
      </c>
      <c r="B3" s="119" t="s">
        <v>1306</v>
      </c>
      <c r="C3" s="80" t="s">
        <v>1307</v>
      </c>
      <c r="D3" s="91">
        <v>2026</v>
      </c>
      <c r="E3" s="91">
        <v>2029</v>
      </c>
      <c r="F3" s="91" t="s">
        <v>1308</v>
      </c>
      <c r="G3" s="148" t="s">
        <v>903</v>
      </c>
      <c r="H3" s="7" t="s">
        <v>903</v>
      </c>
      <c r="I3" s="148" t="s">
        <v>903</v>
      </c>
      <c r="J3" s="7" t="s">
        <v>903</v>
      </c>
      <c r="K3" s="148" t="s">
        <v>903</v>
      </c>
      <c r="L3" s="7" t="s">
        <v>903</v>
      </c>
      <c r="M3" s="148" t="s">
        <v>903</v>
      </c>
      <c r="N3" s="7" t="s">
        <v>903</v>
      </c>
      <c r="O3" s="149">
        <v>46118</v>
      </c>
      <c r="P3" s="148">
        <v>46146</v>
      </c>
      <c r="Q3" s="148">
        <v>46147</v>
      </c>
      <c r="R3" s="148">
        <v>46265</v>
      </c>
      <c r="S3" s="148" t="s">
        <v>903</v>
      </c>
      <c r="T3" s="7" t="s">
        <v>903</v>
      </c>
      <c r="U3" s="7" t="s">
        <v>903</v>
      </c>
      <c r="V3" s="8" t="s">
        <v>903</v>
      </c>
      <c r="W3" s="8" t="s">
        <v>903</v>
      </c>
      <c r="X3" s="7" t="s">
        <v>903</v>
      </c>
      <c r="Y3" s="7" t="s">
        <v>903</v>
      </c>
      <c r="Z3" s="7" t="s">
        <v>903</v>
      </c>
      <c r="AA3" s="148">
        <v>46266</v>
      </c>
      <c r="AB3" s="148">
        <v>47483</v>
      </c>
      <c r="AC3" s="17" t="s">
        <v>1309</v>
      </c>
      <c r="AD3" s="7" t="str">
        <f t="shared" ref="AD3:AN3" si="0">IF(AP3=0%,"Not Started",IF(AP3&lt;5%,"Proses RBT-RBB",IF(AP3=5%,"Selesai RBT-RBB",IF(AP3&lt;10%,"Proses RBT-RBL",IF(AP3=10%,"Selesai RBT-RBL",IF(AP3&lt;15%,"Proses RBT-RBTD",IF(AP3=15%,"Selesai RBT",IF(AP3&lt;20%,"Proses RPP",IF(AP3=20%,"Selesai RPP",IF(AP3&lt;25%,"Proses KAK",IF(AP3=25%,"Selesai KAK",IF(AP3&lt;30%,"Proses Pengadaan",IF(AP3=30%,"Selesai Pengadaan",IF(AP3&lt;60%,"Proses Delivery",IF(AP3=60%,"Selesai Delivery",IF(AP3&lt;95%,"Proses Pengembangan",IF(AP3=95%,"Selesai Pengembangan",IF(AP3&lt;100%,"Proses Implementasi","Selesai Implementasi"))))))))))))))))))</f>
        <v>Not Started</v>
      </c>
      <c r="AE3" s="7" t="str">
        <f t="shared" si="0"/>
        <v>Not Started</v>
      </c>
      <c r="AF3" s="7" t="str">
        <f t="shared" si="0"/>
        <v>Not Started</v>
      </c>
      <c r="AG3" s="7" t="str">
        <f t="shared" si="0"/>
        <v>Not Started</v>
      </c>
      <c r="AH3" s="7" t="str">
        <f t="shared" si="0"/>
        <v>Not Started</v>
      </c>
      <c r="AI3" s="7" t="str">
        <f t="shared" si="0"/>
        <v>Not Started</v>
      </c>
      <c r="AJ3" s="7" t="str">
        <f t="shared" si="0"/>
        <v>Not Started</v>
      </c>
      <c r="AK3" s="7" t="str">
        <f t="shared" si="0"/>
        <v>Not Started</v>
      </c>
      <c r="AL3" s="7" t="str">
        <f t="shared" si="0"/>
        <v>Not Started</v>
      </c>
      <c r="AM3" s="7" t="str">
        <f t="shared" si="0"/>
        <v>Not Started</v>
      </c>
      <c r="AN3" s="7" t="str">
        <f t="shared" si="0"/>
        <v>Not Started</v>
      </c>
      <c r="AO3" s="7"/>
      <c r="AP3" s="100"/>
      <c r="AQ3" s="100"/>
      <c r="AR3" s="100"/>
      <c r="AS3" s="100"/>
      <c r="AT3" s="100"/>
      <c r="AU3" s="100"/>
      <c r="AV3" s="100"/>
      <c r="AW3" s="100"/>
      <c r="AX3" s="100"/>
      <c r="AY3" s="100"/>
      <c r="AZ3" s="100"/>
      <c r="BA3" s="100">
        <v>0.3</v>
      </c>
      <c r="BB3" s="7" t="str">
        <f t="shared" ref="BB3:BM3" si="1">IF(BN3=0%,"Not Started",IF(BN3&lt;5%,"Proses RBT-RBB",IF(BN3=5%,"Selesai RBT-RBB",IF(BN3&lt;10%,"Proses RBT-RBL",IF(BN3=10%,"Selesai RBT-RBL",IF(BN3&lt;15%,"Proses RBT-RBTD",IF(BN3=15%,"Selesai RBT-RBTD",IF(BN3&lt;20%,"Proses RPP",IF(BN3=20%,"Selesai RPP",IF(BN3&lt;25%,"Proses KAK",IF(BN3=25%,"Selesai KAK",IF(BN3&lt;30%,"Proses Pengadaan",IF(BN3=30%,"Selesai Pengadaan",IF(BN3&lt;45%,"Proses Desain",IF(BN3=45%,"Selesai Desain",IF(BN3&lt;80%,"Proses Pengembangan",IF(BN3=80%,"Selesai Pengembangan",IF(BN3&lt;87.5%,"Proses SIT",IF(BN3=87.5%,"Selesai SIT",IF(BN3&lt;95%,"Proses UAT",IF(BN3=95%,"Selesai UAT",IF(BN3&lt;100%,"Proses Implementasi","Selesai Implementasi"))))))))))))))))))))))</f>
        <v>Proses RBT-RBB</v>
      </c>
      <c r="BC3" s="7" t="str">
        <f t="shared" si="1"/>
        <v>Proses RBT-RBB</v>
      </c>
      <c r="BD3" s="7" t="str">
        <f t="shared" si="1"/>
        <v>Proses RBT-RBL</v>
      </c>
      <c r="BE3" s="7" t="str">
        <f t="shared" si="1"/>
        <v>Proses RBT-RBL</v>
      </c>
      <c r="BF3" s="7" t="str">
        <f t="shared" si="1"/>
        <v>Proses RPP</v>
      </c>
      <c r="BG3" s="7" t="str">
        <f t="shared" si="1"/>
        <v>Selesai RPP</v>
      </c>
      <c r="BH3" s="7" t="str">
        <f t="shared" si="1"/>
        <v>Proses KAK</v>
      </c>
      <c r="BI3" s="7" t="str">
        <f t="shared" si="1"/>
        <v>Proses KAK</v>
      </c>
      <c r="BJ3" s="7" t="str">
        <f t="shared" si="1"/>
        <v>Proses KAK</v>
      </c>
      <c r="BK3" s="7" t="e">
        <f t="shared" si="1"/>
        <v>#VALUE!</v>
      </c>
      <c r="BL3" s="7" t="str">
        <f t="shared" si="1"/>
        <v>Not Started</v>
      </c>
      <c r="BM3" s="7" t="str">
        <f t="shared" si="1"/>
        <v>Not Started</v>
      </c>
      <c r="BN3" s="171">
        <v>0.03</v>
      </c>
      <c r="BO3" s="196">
        <v>3.7499999999999999E-2</v>
      </c>
      <c r="BP3" s="197">
        <v>8.7999999999999995E-2</v>
      </c>
      <c r="BQ3" s="171">
        <v>0.09</v>
      </c>
      <c r="BR3" s="171">
        <v>0.16</v>
      </c>
      <c r="BS3" s="171">
        <v>0.2</v>
      </c>
      <c r="BT3" s="171">
        <v>0.21</v>
      </c>
      <c r="BU3" s="171">
        <v>0.21</v>
      </c>
      <c r="BV3" s="171">
        <v>0.22</v>
      </c>
      <c r="BW3" s="171" t="e">
        <f>(($DL3/100%)*15%)+(($DM3/100%)*5%)+(($DN3/100%)*5%)+(($DO3/100%)*5%)+(($DP3/100%)*30%)+(($DQ3/100%)*35%)+(($DR3/100%)*5%)</f>
        <v>#VALUE!</v>
      </c>
      <c r="BX3" s="171"/>
      <c r="BY3" s="171"/>
      <c r="BZ3" s="171">
        <f>IF(AP3=0%,100%,(BN3/AP3))</f>
        <v>1</v>
      </c>
      <c r="CA3" s="171">
        <f>IF(AQ3=0%,100%,(BO3/AQ3))</f>
        <v>1</v>
      </c>
      <c r="CB3" s="171" t="e">
        <f>BP3/AR3</f>
        <v>#DIV/0!</v>
      </c>
      <c r="CC3" s="171">
        <f t="shared" ref="CC3:CK3" si="2">IF(AS3=0%,100%,(BQ3/AS3))</f>
        <v>1</v>
      </c>
      <c r="CD3" s="171">
        <f t="shared" si="2"/>
        <v>1</v>
      </c>
      <c r="CE3" s="171">
        <f t="shared" si="2"/>
        <v>1</v>
      </c>
      <c r="CF3" s="171">
        <f t="shared" si="2"/>
        <v>1</v>
      </c>
      <c r="CG3" s="171">
        <f t="shared" si="2"/>
        <v>1</v>
      </c>
      <c r="CH3" s="171">
        <f t="shared" si="2"/>
        <v>1</v>
      </c>
      <c r="CI3" s="171">
        <f t="shared" si="2"/>
        <v>1</v>
      </c>
      <c r="CJ3" s="171">
        <f t="shared" si="2"/>
        <v>1</v>
      </c>
      <c r="CK3" s="171">
        <f t="shared" si="2"/>
        <v>0</v>
      </c>
      <c r="CL3" s="91" t="str">
        <f>IF(AP3=0%,"NS",IF(BN3=100%,"DONE",IF(BZ3&gt;100%,"AS",IF(BZ3&lt;75%,"BS",IF(BB3&lt;&gt;AD3,"BS",IF(BZ3&lt;70%,"AR","OS"))))))</f>
        <v>NS</v>
      </c>
      <c r="CM3" s="91" t="str">
        <f>IF(AQ3=0%,"NS",IF(BO3=100%,"DONE",IF(CA3&gt;100%,"AS",IF(CA3&lt;75%,"BS",IF(CA3&lt;70%,"AR","OS")))))</f>
        <v>NS</v>
      </c>
      <c r="CN3" s="91" t="str">
        <f>IF(AR3=0%,"NS",IF(BP3=100%,"DONE",IF(CB3&gt;=105%,"AS",IF(CB3&lt;94%,"BS","OS"))))</f>
        <v>NS</v>
      </c>
      <c r="CO3" s="91" t="str">
        <f>IF(AS3=0%,"NS",IF(BQ3=100%,"DONE",IF(CC3&gt;=105%,"AS",IF(CC3&lt;94%,"BS","OS"))))</f>
        <v>NS</v>
      </c>
      <c r="CP3" s="91" t="str">
        <f>IF(AT3=0%,"NS",IF(BR3=100%,"DONE",IF(CD3&gt;=105%,"AS",IF(CD3&lt;94%,"BS","OS"))))</f>
        <v>NS</v>
      </c>
      <c r="CQ3" s="91" t="str">
        <f t="shared" ref="CQ3:CW3" si="3">IF(AU3=0%,"NS",IF(BS3=100%,"DONE",IF(CE3&gt;100%,"AS",IF(CE3&lt;75%,"BS",IF(BG3&lt;&gt;AI3,"BS",IF(CE3&lt;70%,"AR","OS"))))))</f>
        <v>NS</v>
      </c>
      <c r="CR3" s="91" t="str">
        <f t="shared" si="3"/>
        <v>NS</v>
      </c>
      <c r="CS3" s="91" t="str">
        <f t="shared" si="3"/>
        <v>NS</v>
      </c>
      <c r="CT3" s="91" t="str">
        <f t="shared" si="3"/>
        <v>NS</v>
      </c>
      <c r="CU3" s="91" t="str">
        <f t="shared" si="3"/>
        <v>NS</v>
      </c>
      <c r="CV3" s="91" t="str">
        <f t="shared" si="3"/>
        <v>NS</v>
      </c>
      <c r="CW3" s="91" t="str">
        <f t="shared" si="3"/>
        <v>BS</v>
      </c>
      <c r="CX3" s="141"/>
      <c r="CY3" s="141"/>
      <c r="CZ3" s="141"/>
      <c r="DA3" s="198"/>
      <c r="DB3" s="141"/>
      <c r="DC3" s="141"/>
      <c r="DD3" s="141"/>
      <c r="DE3" s="141"/>
      <c r="DF3" s="141"/>
      <c r="DG3" s="141"/>
      <c r="DH3" s="141"/>
      <c r="DI3" s="141"/>
      <c r="DJ3" s="171"/>
      <c r="DK3" s="171"/>
      <c r="DL3" s="171"/>
      <c r="DM3" s="171">
        <v>0.4</v>
      </c>
      <c r="DN3" s="171"/>
      <c r="DO3" s="171"/>
      <c r="DP3" s="171"/>
      <c r="DQ3" s="171"/>
      <c r="DR3" s="442" t="s">
        <v>694</v>
      </c>
      <c r="DS3" s="199"/>
      <c r="DT3" s="14"/>
      <c r="DU3" s="8"/>
      <c r="DV3" s="14"/>
      <c r="DW3" s="141"/>
      <c r="DX3" s="14"/>
      <c r="DY3" s="80"/>
      <c r="DZ3" s="119"/>
      <c r="EA3" s="156"/>
      <c r="EB3" s="156"/>
      <c r="EC3" s="156"/>
      <c r="ED3" s="167"/>
      <c r="EE3" s="167"/>
      <c r="EF3" s="167"/>
      <c r="EG3" s="141"/>
      <c r="EH3" s="141"/>
      <c r="EI3" s="141"/>
      <c r="EJ3" s="141"/>
      <c r="EK3" s="14"/>
      <c r="EL3" s="141"/>
      <c r="EM3" s="141"/>
      <c r="EN3" s="14"/>
      <c r="EO3" s="14"/>
      <c r="EP3" s="141"/>
      <c r="EQ3" s="141"/>
      <c r="ER3" s="141"/>
      <c r="ES3" s="141"/>
      <c r="ET3" s="141"/>
      <c r="EU3" s="11"/>
      <c r="EV3" s="11"/>
      <c r="EW3" s="11"/>
      <c r="EX3" s="11"/>
      <c r="EY3" s="11"/>
      <c r="EZ3" s="11"/>
      <c r="FA3" s="11"/>
      <c r="FB3" s="11"/>
      <c r="FC3" s="11"/>
    </row>
    <row r="4" spans="1:159" s="3" customFormat="1" ht="174">
      <c r="A4" s="7" t="s">
        <v>1305</v>
      </c>
      <c r="B4" s="119" t="s">
        <v>1306</v>
      </c>
      <c r="C4" s="80" t="s">
        <v>1310</v>
      </c>
      <c r="D4" s="91">
        <v>2026</v>
      </c>
      <c r="E4" s="91">
        <v>2026</v>
      </c>
      <c r="F4" s="91" t="s">
        <v>1308</v>
      </c>
      <c r="G4" s="141"/>
      <c r="H4" s="148"/>
      <c r="I4" s="148"/>
      <c r="J4" s="148"/>
      <c r="K4" s="148"/>
      <c r="L4" s="148"/>
      <c r="M4" s="148"/>
      <c r="N4" s="148"/>
      <c r="O4" s="149">
        <v>45993</v>
      </c>
      <c r="P4" s="148">
        <v>46017</v>
      </c>
      <c r="Q4" s="148">
        <v>46018</v>
      </c>
      <c r="R4" s="148">
        <v>46199</v>
      </c>
      <c r="S4" s="148"/>
      <c r="T4" s="7"/>
      <c r="U4" s="7"/>
      <c r="V4" s="8"/>
      <c r="W4" s="8"/>
      <c r="X4" s="7"/>
      <c r="Y4" s="7"/>
      <c r="Z4" s="7"/>
      <c r="AA4" s="148">
        <v>46202</v>
      </c>
      <c r="AB4" s="148">
        <v>46265</v>
      </c>
      <c r="AC4" s="17"/>
      <c r="AD4" s="7"/>
      <c r="AE4" s="7"/>
      <c r="AF4" s="7"/>
      <c r="AG4" s="7"/>
      <c r="AH4" s="7"/>
      <c r="AI4" s="7"/>
      <c r="AJ4" s="7"/>
      <c r="AK4" s="7"/>
      <c r="AL4" s="7"/>
      <c r="AM4" s="7"/>
      <c r="AN4" s="7"/>
      <c r="AO4" s="7"/>
      <c r="AP4" s="100"/>
      <c r="AQ4" s="100"/>
      <c r="AR4" s="100"/>
      <c r="AS4" s="100"/>
      <c r="AT4" s="100"/>
      <c r="AU4" s="100"/>
      <c r="AV4" s="100"/>
      <c r="AW4" s="100"/>
      <c r="AX4" s="100"/>
      <c r="AY4" s="100"/>
      <c r="AZ4" s="100"/>
      <c r="BA4" s="100"/>
      <c r="BB4" s="7"/>
      <c r="BC4" s="7"/>
      <c r="BD4" s="7"/>
      <c r="BE4" s="7"/>
      <c r="BF4" s="7"/>
      <c r="BG4" s="7"/>
      <c r="BH4" s="7"/>
      <c r="BI4" s="7"/>
      <c r="BJ4" s="7"/>
      <c r="BK4" s="7"/>
      <c r="BL4" s="7"/>
      <c r="BM4" s="7"/>
      <c r="BN4" s="171"/>
      <c r="BO4" s="196"/>
      <c r="BP4" s="197"/>
      <c r="BQ4" s="171"/>
      <c r="BR4" s="171"/>
      <c r="BS4" s="171"/>
      <c r="BT4" s="171"/>
      <c r="BU4" s="171"/>
      <c r="BV4" s="171"/>
      <c r="BW4" s="171"/>
      <c r="BX4" s="171"/>
      <c r="BY4" s="171"/>
      <c r="BZ4" s="171"/>
      <c r="CA4" s="171"/>
      <c r="CB4" s="171"/>
      <c r="CC4" s="171"/>
      <c r="CD4" s="171"/>
      <c r="CE4" s="171"/>
      <c r="CF4" s="171"/>
      <c r="CG4" s="171"/>
      <c r="CH4" s="171"/>
      <c r="CI4" s="171"/>
      <c r="CJ4" s="171"/>
      <c r="CK4" s="171"/>
      <c r="CL4" s="91"/>
      <c r="CM4" s="91"/>
      <c r="CN4" s="91"/>
      <c r="CO4" s="91"/>
      <c r="CP4" s="91"/>
      <c r="CQ4" s="91"/>
      <c r="CR4" s="91"/>
      <c r="CS4" s="91"/>
      <c r="CT4" s="91"/>
      <c r="CU4" s="91"/>
      <c r="CV4" s="91"/>
      <c r="CW4" s="91"/>
      <c r="CX4" s="141"/>
      <c r="CY4" s="141"/>
      <c r="CZ4" s="141"/>
      <c r="DA4" s="198"/>
      <c r="DB4" s="141"/>
      <c r="DC4" s="141"/>
      <c r="DD4" s="141"/>
      <c r="DE4" s="141"/>
      <c r="DF4" s="141"/>
      <c r="DG4" s="141"/>
      <c r="DH4" s="141"/>
      <c r="DI4" s="141"/>
      <c r="DJ4" s="171"/>
      <c r="DK4" s="171"/>
      <c r="DL4" s="171"/>
      <c r="DM4" s="171">
        <v>0.4</v>
      </c>
      <c r="DN4" s="171"/>
      <c r="DO4" s="171"/>
      <c r="DP4" s="171"/>
      <c r="DQ4" s="171"/>
      <c r="DR4" s="571" t="s">
        <v>1622</v>
      </c>
      <c r="DS4" s="199"/>
      <c r="DT4" s="14"/>
      <c r="DU4" s="8"/>
      <c r="DV4" s="14"/>
      <c r="DW4" s="141"/>
      <c r="DX4" s="14"/>
      <c r="DY4" s="80"/>
      <c r="DZ4" s="200"/>
      <c r="EA4" s="156"/>
      <c r="EB4" s="156"/>
      <c r="EC4" s="156"/>
      <c r="ED4" s="167"/>
      <c r="EE4" s="167"/>
      <c r="EF4" s="167"/>
      <c r="EG4" s="141"/>
      <c r="EH4" s="141"/>
      <c r="EI4" s="141"/>
      <c r="EJ4" s="141"/>
      <c r="EK4" s="14"/>
      <c r="EL4" s="141"/>
      <c r="EM4" s="141"/>
      <c r="EN4" s="14"/>
      <c r="EO4" s="14"/>
      <c r="EP4" s="141"/>
      <c r="EQ4" s="141"/>
      <c r="ER4" s="141"/>
      <c r="ES4" s="141"/>
      <c r="EU4" s="11"/>
      <c r="EV4" s="11"/>
      <c r="EW4" s="11"/>
      <c r="EX4" s="11"/>
      <c r="EY4" s="11"/>
      <c r="EZ4" s="11"/>
      <c r="FA4" s="11"/>
      <c r="FB4" s="11"/>
      <c r="FC4" s="11"/>
    </row>
    <row r="5" spans="1:159" s="3" customFormat="1" ht="29">
      <c r="A5" s="7" t="s">
        <v>1305</v>
      </c>
      <c r="B5" s="119" t="s">
        <v>1306</v>
      </c>
      <c r="C5" s="119" t="s">
        <v>1311</v>
      </c>
      <c r="D5" s="91">
        <v>2024</v>
      </c>
      <c r="E5" s="91">
        <v>2025</v>
      </c>
      <c r="F5" s="91" t="s">
        <v>1308</v>
      </c>
      <c r="G5" s="141"/>
      <c r="H5" s="148"/>
      <c r="I5" s="148"/>
      <c r="J5" s="148"/>
      <c r="K5" s="148"/>
      <c r="L5" s="148"/>
      <c r="M5" s="148"/>
      <c r="N5" s="148"/>
      <c r="O5" s="555"/>
      <c r="P5" s="556"/>
      <c r="Q5" s="556"/>
      <c r="R5" s="556"/>
      <c r="S5" s="556"/>
      <c r="T5" s="557"/>
      <c r="U5" s="557"/>
      <c r="V5" s="451"/>
      <c r="W5" s="451"/>
      <c r="X5" s="557"/>
      <c r="Y5" s="557"/>
      <c r="Z5" s="557"/>
      <c r="AA5" s="557"/>
      <c r="AB5" s="451"/>
      <c r="AC5" s="17"/>
      <c r="AD5" s="7"/>
      <c r="AE5" s="7"/>
      <c r="AF5" s="7"/>
      <c r="AG5" s="7"/>
      <c r="AH5" s="7"/>
      <c r="AI5" s="7"/>
      <c r="AJ5" s="7"/>
      <c r="AK5" s="7"/>
      <c r="AL5" s="7"/>
      <c r="AM5" s="7"/>
      <c r="AN5" s="7"/>
      <c r="AO5" s="7"/>
      <c r="AP5" s="100"/>
      <c r="AQ5" s="100"/>
      <c r="AR5" s="100"/>
      <c r="AS5" s="100"/>
      <c r="AT5" s="100"/>
      <c r="AU5" s="100"/>
      <c r="AV5" s="100"/>
      <c r="AW5" s="100"/>
      <c r="AX5" s="100"/>
      <c r="AY5" s="100"/>
      <c r="AZ5" s="100"/>
      <c r="BA5" s="100"/>
      <c r="BB5" s="7"/>
      <c r="BC5" s="7"/>
      <c r="BD5" s="7"/>
      <c r="BE5" s="7"/>
      <c r="BF5" s="7"/>
      <c r="BG5" s="7"/>
      <c r="BH5" s="7"/>
      <c r="BI5" s="7"/>
      <c r="BJ5" s="7"/>
      <c r="BK5" s="7"/>
      <c r="BL5" s="7"/>
      <c r="BM5" s="7"/>
      <c r="BN5" s="171"/>
      <c r="BO5" s="196"/>
      <c r="BP5" s="197"/>
      <c r="BQ5" s="171"/>
      <c r="BR5" s="171"/>
      <c r="BS5" s="171"/>
      <c r="BT5" s="171"/>
      <c r="BU5" s="171"/>
      <c r="BV5" s="171"/>
      <c r="BW5" s="171"/>
      <c r="BX5" s="171"/>
      <c r="BY5" s="171"/>
      <c r="BZ5" s="171"/>
      <c r="CA5" s="171"/>
      <c r="CB5" s="171"/>
      <c r="CC5" s="171"/>
      <c r="CD5" s="171"/>
      <c r="CE5" s="171"/>
      <c r="CF5" s="171"/>
      <c r="CG5" s="171"/>
      <c r="CH5" s="171"/>
      <c r="CI5" s="171"/>
      <c r="CJ5" s="171"/>
      <c r="CK5" s="171"/>
      <c r="CL5" s="91"/>
      <c r="CM5" s="91"/>
      <c r="CN5" s="91"/>
      <c r="CO5" s="91"/>
      <c r="CP5" s="91"/>
      <c r="CQ5" s="91"/>
      <c r="CR5" s="91"/>
      <c r="CS5" s="91"/>
      <c r="CT5" s="91"/>
      <c r="CU5" s="91"/>
      <c r="CV5" s="91"/>
      <c r="CW5" s="91"/>
      <c r="CX5" s="141"/>
      <c r="CY5" s="141"/>
      <c r="CZ5" s="141"/>
      <c r="DA5" s="198"/>
      <c r="DB5" s="141"/>
      <c r="DC5" s="141"/>
      <c r="DD5" s="141"/>
      <c r="DE5" s="141"/>
      <c r="DF5" s="141"/>
      <c r="DG5" s="141"/>
      <c r="DH5" s="141"/>
      <c r="DI5" s="141"/>
      <c r="DJ5" s="171"/>
      <c r="DK5" s="171"/>
      <c r="DL5" s="171"/>
      <c r="DM5" s="171"/>
      <c r="DN5" s="171"/>
      <c r="DO5" s="171"/>
      <c r="DP5" s="171"/>
      <c r="DQ5" s="171"/>
      <c r="DR5" s="442"/>
      <c r="DS5" s="199"/>
      <c r="DT5" s="14"/>
      <c r="DU5" s="8"/>
      <c r="DV5" s="14"/>
      <c r="DW5" s="141"/>
      <c r="DX5" s="14"/>
      <c r="DY5" s="80"/>
      <c r="DZ5" s="200"/>
      <c r="EA5" s="156"/>
      <c r="EB5" s="156"/>
      <c r="EC5" s="156"/>
      <c r="ED5" s="167"/>
      <c r="EE5" s="167"/>
      <c r="EF5" s="167"/>
      <c r="EG5" s="141"/>
      <c r="EH5" s="141"/>
      <c r="EI5" s="141"/>
      <c r="EJ5" s="141"/>
      <c r="EK5" s="14"/>
      <c r="EL5" s="141"/>
      <c r="EM5" s="141"/>
      <c r="EN5" s="14"/>
      <c r="EO5" s="14"/>
      <c r="EP5" s="141"/>
      <c r="EQ5" s="141"/>
      <c r="ER5" s="141"/>
      <c r="ES5" s="141"/>
      <c r="EU5" s="11"/>
      <c r="EV5" s="11"/>
      <c r="EW5" s="11"/>
      <c r="EX5" s="11"/>
      <c r="EY5" s="11"/>
      <c r="EZ5" s="11"/>
      <c r="FA5" s="11"/>
      <c r="FB5" s="11"/>
      <c r="FC5" s="11"/>
    </row>
    <row r="6" spans="1:159" s="3" customFormat="1" ht="44.25" customHeight="1">
      <c r="A6" s="7" t="s">
        <v>1305</v>
      </c>
      <c r="B6" s="119" t="s">
        <v>1306</v>
      </c>
      <c r="C6" s="14" t="s">
        <v>1312</v>
      </c>
      <c r="D6" s="91">
        <v>2027</v>
      </c>
      <c r="E6" s="91">
        <v>2029</v>
      </c>
      <c r="F6" s="91" t="s">
        <v>1308</v>
      </c>
      <c r="G6" s="148"/>
      <c r="H6" s="148"/>
      <c r="I6" s="148"/>
      <c r="J6" s="148"/>
      <c r="K6" s="170"/>
      <c r="L6" s="170"/>
      <c r="M6" s="170"/>
      <c r="N6" s="554"/>
      <c r="O6" s="157"/>
      <c r="P6" s="157"/>
      <c r="Q6" s="157"/>
      <c r="R6" s="157"/>
      <c r="S6" s="157"/>
      <c r="T6" s="157"/>
      <c r="U6" s="157"/>
      <c r="V6" s="157"/>
      <c r="W6" s="157"/>
      <c r="X6" s="157"/>
      <c r="Y6" s="157"/>
      <c r="Z6" s="157"/>
      <c r="AA6" s="157"/>
      <c r="AB6" s="157"/>
      <c r="AC6" s="549" t="str">
        <f t="shared" ref="AC6:AN6" si="4">IF(AO6=0%,"Not Started",IF(AO6&lt;5%,"Proses RBT-RBB",IF(AO6=5%,"Selesai RBT-RBB",IF(AO6&lt;10%,"Proses RBT-RBL",IF(AO6=10%,"Selesai RBT-RBL",IF(AO6&lt;15%,"Proses RBT-RBTD",IF(AO6=15%,"Selesai RBT",IF(AO6&lt;20%,"Proses RPP",IF(AO6=20%,"Selesai RPP",IF(AO6&lt;25%,"Proses KAK",IF(AO6=25%,"Selesai KAK",IF(AO6&lt;30%,"Proses Pengadaan",IF(AO6=30%,"Selesai Pengadaan",IF(AO6&lt;60%,"Proses Delivery",IF(AO6=60%,"Selesai Delivery",IF(AO6&lt;95%,"Proses Pengembangan",IF(AO6=95%,"Selesai Pengembangan",IF(AO6&lt;100%,"Proses Implementasi","Selesai Implementasi"))))))))))))))))))</f>
        <v>Not Started</v>
      </c>
      <c r="AD6" s="7" t="str">
        <f t="shared" si="4"/>
        <v>Not Started</v>
      </c>
      <c r="AE6" s="7" t="str">
        <f t="shared" si="4"/>
        <v>Not Started</v>
      </c>
      <c r="AF6" s="7" t="str">
        <f t="shared" si="4"/>
        <v>Not Started</v>
      </c>
      <c r="AG6" s="7" t="str">
        <f t="shared" si="4"/>
        <v>Not Started</v>
      </c>
      <c r="AH6" s="7" t="str">
        <f t="shared" si="4"/>
        <v>Not Started</v>
      </c>
      <c r="AI6" s="7" t="str">
        <f t="shared" si="4"/>
        <v>Not Started</v>
      </c>
      <c r="AJ6" s="7" t="str">
        <f t="shared" si="4"/>
        <v>Not Started</v>
      </c>
      <c r="AK6" s="7" t="str">
        <f t="shared" si="4"/>
        <v>Not Started</v>
      </c>
      <c r="AL6" s="7" t="str">
        <f t="shared" si="4"/>
        <v>Not Started</v>
      </c>
      <c r="AM6" s="7" t="str">
        <f t="shared" si="4"/>
        <v>Not Started</v>
      </c>
      <c r="AN6" s="7" t="str">
        <f t="shared" si="4"/>
        <v>Not Started</v>
      </c>
      <c r="AO6" s="91"/>
      <c r="AP6" s="91"/>
      <c r="AQ6" s="91"/>
      <c r="AR6" s="151"/>
      <c r="AS6" s="91"/>
      <c r="AT6" s="91"/>
      <c r="AU6" s="100"/>
      <c r="AV6" s="100"/>
      <c r="AW6" s="100"/>
      <c r="AX6" s="100"/>
      <c r="AY6" s="100"/>
      <c r="AZ6" s="100"/>
      <c r="BA6" s="7" t="str">
        <f t="shared" ref="BA6:BL6" si="5">IF(BM6=0%,"Not Started",IF(BM6&lt;5%,"Proses RBT-RBB",IF(BM6=5%,"Selesai RBT-RBB",IF(BM6&lt;10%,"Proses RBT-RBL",IF(BM6=10%,"Selesai RBT-RBL",IF(BM6&lt;15%,"Proses RBT-RBTD",IF(BM6=15%,"Selesai RBT-RBTD",IF(BM6&lt;20%,"Proses RPP",IF(BM6=20%,"Selesai RPP",IF(BM6&lt;25%,"Proses KAK",IF(BM6=25%,"Selesai KAK",IF(BM6&lt;30%,"Proses Pengadaan",IF(BM6=30%,"Selesai Pengadaan",IF(BM6&lt;45%,"Proses Desain",IF(BM6=45%,"Selesai Desain",IF(BM6&lt;80%,"Proses Pengembangan",IF(BM6=80%,"Selesai Pengembangan",IF(BM6&lt;87.5%,"Proses SIT",IF(BM6=87.5%,"Selesai SIT",IF(BM6&lt;95%,"Proses UAT",IF(BM6=95%,"Selesai UAT",IF(BM6&lt;100%,"Proses Implementasi","Selesai Implementasi"))))))))))))))))))))))</f>
        <v>Not Started</v>
      </c>
      <c r="BB6" s="7" t="str">
        <f t="shared" si="5"/>
        <v>Not Started</v>
      </c>
      <c r="BC6" s="7" t="str">
        <f t="shared" si="5"/>
        <v>Not Started</v>
      </c>
      <c r="BD6" s="7" t="str">
        <f t="shared" si="5"/>
        <v>Not Started</v>
      </c>
      <c r="BE6" s="7" t="str">
        <f t="shared" si="5"/>
        <v>Not Started</v>
      </c>
      <c r="BF6" s="7" t="str">
        <f t="shared" si="5"/>
        <v>Not Started</v>
      </c>
      <c r="BG6" s="7" t="str">
        <f t="shared" si="5"/>
        <v>Not Started</v>
      </c>
      <c r="BH6" s="7" t="str">
        <f t="shared" si="5"/>
        <v>Not Started</v>
      </c>
      <c r="BI6" s="7" t="str">
        <f t="shared" si="5"/>
        <v>Not Started</v>
      </c>
      <c r="BJ6" s="7" t="str">
        <f t="shared" si="5"/>
        <v>Not Started</v>
      </c>
      <c r="BK6" s="7" t="str">
        <f t="shared" si="5"/>
        <v>Not Started</v>
      </c>
      <c r="BL6" s="7" t="str">
        <f t="shared" si="5"/>
        <v>Not Started</v>
      </c>
      <c r="BM6" s="171">
        <v>0</v>
      </c>
      <c r="BN6" s="171">
        <v>0</v>
      </c>
      <c r="BO6" s="171">
        <v>0</v>
      </c>
      <c r="BP6" s="171">
        <v>0</v>
      </c>
      <c r="BQ6" s="171">
        <v>0</v>
      </c>
      <c r="BR6" s="171">
        <v>0</v>
      </c>
      <c r="BS6" s="171">
        <v>0</v>
      </c>
      <c r="BT6" s="171">
        <v>0</v>
      </c>
      <c r="BU6" s="171">
        <f>(($DK6/100%)*15%)+(($DL6/100%)*5%)+(($DM6/100%)*5%)+(($DN6/100%)*5%)+(($DO6/100%)*30%)+(($DP6/100%)*35%)+(($DQ6/100%)*5%)</f>
        <v>0</v>
      </c>
      <c r="BV6" s="171"/>
      <c r="BW6" s="171"/>
      <c r="BX6" s="171"/>
      <c r="BY6" s="171">
        <f>IF(AO6=0%,100%,(BM6/AO6))</f>
        <v>1</v>
      </c>
      <c r="BZ6" s="171">
        <f>IF(AP6=0%,100%,(BN6/AP6))</f>
        <v>1</v>
      </c>
      <c r="CA6" s="171">
        <f>IF(AQ6=0%,100%,(BO6/AQ6))</f>
        <v>1</v>
      </c>
      <c r="CB6" s="171">
        <f t="shared" ref="CB6:CJ6" si="6">IF(AR6=0%,100%,(BP6/AR6))</f>
        <v>1</v>
      </c>
      <c r="CC6" s="171">
        <f t="shared" si="6"/>
        <v>1</v>
      </c>
      <c r="CD6" s="171">
        <f t="shared" si="6"/>
        <v>1</v>
      </c>
      <c r="CE6" s="171">
        <f t="shared" si="6"/>
        <v>1</v>
      </c>
      <c r="CF6" s="171">
        <f t="shared" si="6"/>
        <v>1</v>
      </c>
      <c r="CG6" s="171">
        <f t="shared" si="6"/>
        <v>1</v>
      </c>
      <c r="CH6" s="171">
        <f t="shared" si="6"/>
        <v>1</v>
      </c>
      <c r="CI6" s="171">
        <f t="shared" si="6"/>
        <v>1</v>
      </c>
      <c r="CJ6" s="171">
        <f t="shared" si="6"/>
        <v>1</v>
      </c>
      <c r="CK6" s="91" t="str">
        <f>IF(AO6=0%,"NS",IF(BM6=100%,"DONE",IF(BY6&gt;100%,"AS",IF(BY6&lt;75%,"BS",IF(BA6&lt;&gt;AC6,"BS",IF(BY6&lt;70%,"AR","OS"))))))</f>
        <v>NS</v>
      </c>
      <c r="CL6" s="91" t="str">
        <f>IF(AP6=0%,"NS",IF(BN6=100%,"DONE",IF(BZ6&gt;100%,"AS",IF(BZ6&lt;75%,"BS",IF(BB6&lt;&gt;AD6,"BS",IF(BZ6&lt;70%,"AR","OS"))))))</f>
        <v>NS</v>
      </c>
      <c r="CM6" s="91" t="str">
        <f>IF(AQ6=0%,"NS",IF(BO6=100%,"DONE",IF(CA6&gt;=105%,"AS",IF(CA6&lt;94%,"BS","OS"))))</f>
        <v>NS</v>
      </c>
      <c r="CN6" s="91" t="str">
        <f>IF(AR6=0%,"NS",IF(BP6=100%,"DONE",IF(CB6&gt;=105%,"AS",IF(CB6&lt;94%,"BS","OS"))))</f>
        <v>NS</v>
      </c>
      <c r="CO6" s="91" t="str">
        <f>IF(AS6=0%,"NS",IF(BQ6=100%,"DONE",IF(CC6&gt;=105%,"AS",IF(CC6&lt;94%,"BS","OS"))))</f>
        <v>NS</v>
      </c>
      <c r="CP6" s="91" t="str">
        <f t="shared" ref="CP6:CV6" si="7">IF(AT6=0%,"NS",IF(BR6=100%,"DONE",IF(CD6&gt;=105%,"AS",IF(CD6&lt;94.45%,"BS",IF(CD6&gt;=94.5%,"AR","OS")))))</f>
        <v>NS</v>
      </c>
      <c r="CQ6" s="91" t="str">
        <f t="shared" si="7"/>
        <v>NS</v>
      </c>
      <c r="CR6" s="91" t="str">
        <f t="shared" si="7"/>
        <v>NS</v>
      </c>
      <c r="CS6" s="91" t="str">
        <f t="shared" si="7"/>
        <v>NS</v>
      </c>
      <c r="CT6" s="91" t="str">
        <f t="shared" si="7"/>
        <v>NS</v>
      </c>
      <c r="CU6" s="91" t="str">
        <f t="shared" si="7"/>
        <v>NS</v>
      </c>
      <c r="CV6" s="91" t="str">
        <f t="shared" si="7"/>
        <v>NS</v>
      </c>
      <c r="CW6" s="141"/>
      <c r="CX6" s="141"/>
      <c r="CY6" s="141"/>
      <c r="CZ6" s="141"/>
      <c r="DA6" s="141"/>
      <c r="DB6" s="141"/>
      <c r="DC6" s="141"/>
      <c r="DD6" s="141"/>
      <c r="DE6" s="141"/>
      <c r="DF6" s="141"/>
      <c r="DG6" s="141"/>
      <c r="DH6" s="141"/>
      <c r="DI6" s="171"/>
      <c r="DJ6" s="171"/>
      <c r="DK6" s="171"/>
      <c r="DL6" s="171"/>
      <c r="DM6" s="171"/>
      <c r="DN6" s="171"/>
      <c r="DO6" s="171"/>
      <c r="DP6" s="171"/>
      <c r="DQ6" s="171"/>
      <c r="DR6" s="35"/>
      <c r="DS6" s="14"/>
      <c r="DT6" s="8"/>
      <c r="DU6" s="14"/>
      <c r="DV6" s="141"/>
      <c r="DW6" s="14"/>
      <c r="DX6" s="195"/>
      <c r="DY6" s="80"/>
      <c r="DZ6" s="164"/>
      <c r="EA6" s="156"/>
      <c r="EB6" s="14"/>
      <c r="EC6" s="141"/>
      <c r="ED6" s="141"/>
      <c r="EE6" s="141"/>
      <c r="EF6" s="141"/>
      <c r="EG6" s="141"/>
      <c r="EH6" s="141"/>
      <c r="EI6" s="141"/>
      <c r="EJ6" s="14"/>
      <c r="EK6" s="141"/>
      <c r="EL6" s="141"/>
      <c r="EM6" s="14"/>
      <c r="EN6" s="14"/>
      <c r="EO6" s="141"/>
      <c r="EP6" s="141"/>
      <c r="EQ6" s="141"/>
      <c r="ER6" s="141"/>
      <c r="ES6" s="141"/>
      <c r="ET6" s="11"/>
      <c r="EU6" s="11"/>
      <c r="EV6" s="11"/>
      <c r="EW6" s="11"/>
      <c r="EX6" s="11"/>
      <c r="EY6" s="11"/>
      <c r="EZ6" s="11"/>
      <c r="FA6" s="11"/>
      <c r="FB6" s="11"/>
    </row>
    <row r="7" spans="1:159" ht="29">
      <c r="A7" s="7" t="s">
        <v>1313</v>
      </c>
      <c r="B7" s="119" t="s">
        <v>1314</v>
      </c>
      <c r="C7" s="119" t="s">
        <v>1315</v>
      </c>
      <c r="D7" s="7">
        <v>2025</v>
      </c>
      <c r="E7" s="7">
        <v>2029</v>
      </c>
      <c r="F7" s="91" t="s">
        <v>1308</v>
      </c>
      <c r="G7" s="119"/>
      <c r="H7" s="119"/>
      <c r="I7" s="119"/>
      <c r="J7" s="119"/>
      <c r="K7" s="119"/>
      <c r="L7" s="119"/>
      <c r="M7" s="119"/>
      <c r="N7" s="119"/>
      <c r="O7" s="200"/>
      <c r="P7" s="200"/>
      <c r="Q7" s="200"/>
      <c r="R7" s="200"/>
      <c r="S7" s="200"/>
      <c r="T7" s="200"/>
      <c r="U7" s="200"/>
      <c r="V7" s="200"/>
      <c r="W7" s="200"/>
      <c r="X7" s="200"/>
      <c r="Y7" s="200"/>
      <c r="Z7" s="200"/>
      <c r="AA7" s="200"/>
      <c r="AB7" s="200"/>
      <c r="AC7" s="119"/>
      <c r="AD7" s="119"/>
      <c r="AE7" s="119"/>
      <c r="AF7" s="119"/>
      <c r="AG7" s="119"/>
      <c r="AH7" s="119"/>
      <c r="AI7" s="119"/>
      <c r="AJ7" s="119"/>
      <c r="AK7" s="119"/>
      <c r="AL7" s="119"/>
      <c r="AM7" s="119"/>
      <c r="AN7" s="119"/>
      <c r="AO7" s="119"/>
      <c r="AP7" s="119"/>
      <c r="AQ7" s="119"/>
      <c r="AR7" s="119"/>
      <c r="AS7" s="119"/>
      <c r="AT7" s="119"/>
      <c r="AU7" s="119"/>
      <c r="AV7" s="119"/>
      <c r="AW7" s="119"/>
      <c r="AX7" s="119"/>
      <c r="AY7" s="119"/>
      <c r="AZ7" s="119"/>
      <c r="BA7" s="119"/>
      <c r="BB7" s="119"/>
      <c r="BC7" s="119"/>
      <c r="BD7" s="119"/>
      <c r="BE7" s="119"/>
      <c r="BF7" s="119"/>
      <c r="BG7" s="119"/>
      <c r="BH7" s="119"/>
      <c r="BI7" s="119"/>
      <c r="BJ7" s="119"/>
      <c r="BK7" s="119"/>
      <c r="BL7" s="119"/>
      <c r="BM7" s="119"/>
      <c r="BN7" s="119"/>
      <c r="BO7" s="119"/>
      <c r="BP7" s="119"/>
      <c r="BQ7" s="119"/>
      <c r="BR7" s="119"/>
      <c r="BS7" s="119"/>
      <c r="BT7" s="119"/>
      <c r="BU7" s="119"/>
      <c r="BV7" s="119"/>
      <c r="BW7" s="119"/>
      <c r="BX7" s="119"/>
      <c r="BY7" s="119"/>
      <c r="BZ7" s="119"/>
      <c r="CA7" s="119"/>
      <c r="CB7" s="119"/>
      <c r="CC7" s="119"/>
      <c r="CD7" s="119"/>
      <c r="CE7" s="119"/>
      <c r="CF7" s="119"/>
      <c r="CG7" s="119"/>
      <c r="CH7" s="119"/>
      <c r="CI7" s="119"/>
      <c r="CJ7" s="119"/>
      <c r="CK7" s="119"/>
      <c r="CL7" s="119"/>
      <c r="CM7" s="119"/>
      <c r="CN7" s="119"/>
      <c r="CO7" s="119"/>
      <c r="CP7" s="119"/>
      <c r="CQ7" s="119"/>
      <c r="CR7" s="119"/>
      <c r="CS7" s="119"/>
      <c r="CT7" s="119"/>
      <c r="CU7" s="119"/>
      <c r="CV7" s="119"/>
      <c r="CW7" s="119"/>
      <c r="CX7" s="119"/>
      <c r="CY7" s="119"/>
      <c r="CZ7" s="119"/>
      <c r="DA7" s="119"/>
      <c r="DB7" s="119"/>
      <c r="DC7" s="119"/>
      <c r="DD7" s="119"/>
      <c r="DE7" s="119"/>
      <c r="DF7" s="119"/>
      <c r="DG7" s="119"/>
      <c r="DH7" s="119"/>
      <c r="DI7" s="119"/>
      <c r="DJ7" s="119"/>
      <c r="DK7" s="119"/>
      <c r="DL7" s="119"/>
      <c r="DM7" s="119"/>
      <c r="DN7" s="119"/>
      <c r="DO7" s="119"/>
      <c r="DP7" s="119"/>
      <c r="DQ7" s="119"/>
      <c r="DR7" s="119"/>
      <c r="DS7" s="119"/>
      <c r="DT7" s="119"/>
      <c r="DU7" s="119"/>
      <c r="DV7" s="119"/>
      <c r="DW7" s="119"/>
      <c r="DX7" s="119"/>
      <c r="DY7" s="119"/>
      <c r="DZ7" s="119"/>
      <c r="EA7" s="119"/>
      <c r="EB7" s="119"/>
      <c r="EC7" s="119"/>
      <c r="ED7" s="119"/>
      <c r="EE7" s="119"/>
      <c r="EF7" s="119"/>
      <c r="EG7" s="119"/>
      <c r="EH7" s="119"/>
      <c r="EI7" s="119"/>
      <c r="EJ7" s="119"/>
      <c r="EK7" s="119"/>
      <c r="EL7" s="119"/>
      <c r="EM7" s="119"/>
      <c r="EN7" s="119"/>
      <c r="EO7" s="119"/>
      <c r="EP7" s="119"/>
      <c r="EQ7" s="119"/>
      <c r="ER7" s="119"/>
      <c r="ES7" s="119"/>
    </row>
    <row r="8" spans="1:159" ht="29">
      <c r="A8" s="7"/>
      <c r="B8" s="119" t="s">
        <v>1314</v>
      </c>
      <c r="C8" s="119" t="s">
        <v>1316</v>
      </c>
      <c r="D8" s="7">
        <v>2026</v>
      </c>
      <c r="E8" s="7">
        <v>2026</v>
      </c>
      <c r="F8" s="91"/>
      <c r="G8" s="119"/>
      <c r="H8" s="119"/>
      <c r="I8" s="119"/>
      <c r="J8" s="119"/>
      <c r="K8" s="119"/>
      <c r="L8" s="119"/>
      <c r="M8" s="119"/>
      <c r="N8" s="119"/>
      <c r="O8" s="539">
        <v>46080</v>
      </c>
      <c r="P8" s="539">
        <v>46087</v>
      </c>
      <c r="Q8" s="539">
        <v>46171</v>
      </c>
      <c r="R8" s="539">
        <v>46203</v>
      </c>
      <c r="S8" s="539"/>
      <c r="T8" s="539"/>
      <c r="U8" s="148"/>
      <c r="V8" s="148"/>
      <c r="W8" s="148"/>
      <c r="X8" s="148"/>
      <c r="Y8" s="148"/>
      <c r="Z8" s="148"/>
      <c r="AA8" s="539">
        <v>46204</v>
      </c>
      <c r="AB8" s="539">
        <v>46265</v>
      </c>
      <c r="AC8" s="119"/>
      <c r="AD8" s="119"/>
      <c r="AE8" s="119"/>
      <c r="AF8" s="119"/>
      <c r="AG8" s="119"/>
      <c r="AH8" s="119"/>
      <c r="AI8" s="119"/>
      <c r="AJ8" s="119"/>
      <c r="AK8" s="119"/>
      <c r="AL8" s="119"/>
      <c r="AM8" s="119"/>
      <c r="AN8" s="119"/>
      <c r="AO8" s="119"/>
      <c r="AP8" s="119"/>
      <c r="AQ8" s="119"/>
      <c r="AR8" s="119"/>
      <c r="AS8" s="119"/>
      <c r="AT8" s="119"/>
      <c r="AU8" s="119"/>
      <c r="AV8" s="119"/>
      <c r="AW8" s="119"/>
      <c r="AX8" s="119"/>
      <c r="AY8" s="119"/>
      <c r="AZ8" s="119"/>
      <c r="BA8" s="119"/>
      <c r="BB8" s="119"/>
      <c r="BC8" s="119"/>
      <c r="BD8" s="119"/>
      <c r="BE8" s="119"/>
      <c r="BF8" s="119"/>
      <c r="BG8" s="119"/>
      <c r="BH8" s="119"/>
      <c r="BI8" s="119"/>
      <c r="BJ8" s="119"/>
      <c r="BK8" s="119"/>
      <c r="BL8" s="119"/>
      <c r="BM8" s="119"/>
      <c r="BN8" s="119"/>
      <c r="BO8" s="119"/>
      <c r="BP8" s="119"/>
      <c r="BQ8" s="119"/>
      <c r="BR8" s="119"/>
      <c r="BS8" s="119"/>
      <c r="BT8" s="119"/>
      <c r="BU8" s="119"/>
      <c r="BV8" s="119"/>
      <c r="BW8" s="119"/>
      <c r="BX8" s="119"/>
      <c r="BY8" s="119"/>
      <c r="BZ8" s="119"/>
      <c r="CA8" s="119"/>
      <c r="CB8" s="119"/>
      <c r="CC8" s="119"/>
      <c r="CD8" s="119"/>
      <c r="CE8" s="119"/>
      <c r="CF8" s="119"/>
      <c r="CG8" s="119"/>
      <c r="CH8" s="119"/>
      <c r="CI8" s="119"/>
      <c r="CJ8" s="119"/>
      <c r="CK8" s="119"/>
      <c r="CL8" s="119"/>
      <c r="CM8" s="119"/>
      <c r="CN8" s="119"/>
      <c r="CO8" s="119"/>
      <c r="CP8" s="119"/>
      <c r="CQ8" s="119"/>
      <c r="CR8" s="119"/>
      <c r="CS8" s="119"/>
      <c r="CT8" s="119"/>
      <c r="CU8" s="119"/>
      <c r="CV8" s="119"/>
      <c r="CW8" s="119"/>
      <c r="CX8" s="119"/>
      <c r="CY8" s="119"/>
      <c r="CZ8" s="119"/>
      <c r="DA8" s="119"/>
      <c r="DB8" s="119"/>
      <c r="DC8" s="119"/>
      <c r="DD8" s="119"/>
      <c r="DE8" s="119"/>
      <c r="DF8" s="119"/>
      <c r="DG8" s="119"/>
      <c r="DH8" s="119"/>
      <c r="DI8" s="119"/>
      <c r="DJ8" s="119"/>
      <c r="DK8" s="119"/>
      <c r="DL8" s="119"/>
      <c r="DM8" s="119"/>
      <c r="DN8" s="119"/>
      <c r="DO8" s="119"/>
      <c r="DP8" s="119"/>
      <c r="DQ8" s="119"/>
      <c r="DR8" s="119" t="s">
        <v>1317</v>
      </c>
      <c r="DS8" s="119"/>
      <c r="DT8" s="119"/>
      <c r="DU8" s="119"/>
      <c r="DV8" s="119"/>
      <c r="DW8" s="119"/>
      <c r="DX8" s="119"/>
      <c r="DY8" s="119"/>
      <c r="DZ8" s="119"/>
      <c r="EA8" s="119"/>
      <c r="EB8" s="119"/>
      <c r="EC8" s="119"/>
      <c r="ED8" s="119"/>
      <c r="EE8" s="119"/>
      <c r="EF8" s="119"/>
      <c r="EG8" s="119"/>
      <c r="EH8" s="119"/>
      <c r="EI8" s="119"/>
      <c r="EJ8" s="119"/>
      <c r="EK8" s="119"/>
      <c r="EL8" s="119"/>
      <c r="EM8" s="119"/>
      <c r="EN8" s="119"/>
      <c r="EO8" s="119"/>
      <c r="EP8" s="119"/>
      <c r="EQ8" s="119"/>
      <c r="ER8" s="119"/>
      <c r="ES8" s="119"/>
    </row>
    <row r="9" spans="1:159" ht="29">
      <c r="A9" s="119"/>
      <c r="B9" s="119" t="s">
        <v>1314</v>
      </c>
      <c r="C9" s="540" t="s">
        <v>1318</v>
      </c>
      <c r="D9" s="7">
        <v>2026</v>
      </c>
      <c r="E9" s="7">
        <v>2026</v>
      </c>
      <c r="F9" s="91"/>
      <c r="G9" s="119"/>
      <c r="H9" s="119"/>
      <c r="I9" s="119"/>
      <c r="J9" s="119"/>
      <c r="K9" s="119"/>
      <c r="L9" s="119"/>
      <c r="M9" s="119"/>
      <c r="N9" s="119"/>
      <c r="O9" s="542">
        <v>46133</v>
      </c>
      <c r="P9" s="539">
        <v>46163</v>
      </c>
      <c r="Q9" s="539">
        <v>46164</v>
      </c>
      <c r="R9" s="539">
        <v>46283</v>
      </c>
      <c r="S9" s="119"/>
      <c r="T9" s="119"/>
      <c r="U9" s="119"/>
      <c r="V9" s="119"/>
      <c r="W9" s="119"/>
      <c r="X9" s="119"/>
      <c r="Y9" s="119"/>
      <c r="Z9" s="119"/>
      <c r="AA9" s="545">
        <v>46284</v>
      </c>
      <c r="AB9" s="542">
        <v>46387</v>
      </c>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19"/>
      <c r="CH9" s="119"/>
      <c r="CI9" s="119"/>
      <c r="CJ9" s="119"/>
      <c r="CK9" s="119"/>
      <c r="CL9" s="119"/>
      <c r="CM9" s="119"/>
      <c r="CN9" s="119"/>
      <c r="CO9" s="119"/>
      <c r="CP9" s="119"/>
      <c r="CQ9" s="119"/>
      <c r="CR9" s="119"/>
      <c r="CS9" s="119"/>
      <c r="CT9" s="119"/>
      <c r="CU9" s="119"/>
      <c r="CV9" s="119"/>
      <c r="CW9" s="119"/>
      <c r="CX9" s="119"/>
      <c r="CY9" s="119"/>
      <c r="CZ9" s="119"/>
      <c r="DA9" s="119"/>
      <c r="DB9" s="119"/>
      <c r="DC9" s="119"/>
      <c r="DD9" s="119"/>
      <c r="DE9" s="119"/>
      <c r="DF9" s="119"/>
      <c r="DG9" s="119"/>
      <c r="DH9" s="119"/>
      <c r="DI9" s="119"/>
      <c r="DJ9" s="119"/>
      <c r="DK9" s="119"/>
      <c r="DL9" s="119"/>
      <c r="DM9" s="119"/>
      <c r="DN9" s="119"/>
      <c r="DO9" s="119"/>
      <c r="DP9" s="119"/>
      <c r="DQ9" s="119"/>
      <c r="DR9" s="119" t="s">
        <v>1317</v>
      </c>
      <c r="DS9" s="119"/>
      <c r="DT9" s="119"/>
      <c r="DU9" s="119"/>
      <c r="DV9" s="119"/>
      <c r="DW9" s="119"/>
      <c r="DX9" s="119"/>
      <c r="DY9" s="119"/>
      <c r="DZ9" s="119"/>
      <c r="EA9" s="119"/>
      <c r="EB9" s="119"/>
      <c r="EC9" s="119"/>
      <c r="ED9" s="119"/>
      <c r="EE9" s="119"/>
      <c r="EF9" s="119"/>
      <c r="EG9" s="119"/>
      <c r="EH9" s="119"/>
      <c r="EI9" s="119"/>
      <c r="EJ9" s="119"/>
      <c r="EK9" s="119"/>
      <c r="EL9" s="119"/>
      <c r="EM9" s="119"/>
      <c r="EN9" s="119"/>
      <c r="EO9" s="119"/>
      <c r="EP9" s="119"/>
      <c r="EQ9" s="119"/>
      <c r="ER9" s="119"/>
      <c r="ES9" s="119"/>
    </row>
    <row r="10" spans="1:159" ht="29">
      <c r="A10" s="119"/>
      <c r="B10" s="119" t="s">
        <v>1314</v>
      </c>
      <c r="C10" s="541" t="s">
        <v>1319</v>
      </c>
      <c r="D10" s="7">
        <v>2026</v>
      </c>
      <c r="E10" s="7">
        <v>2026</v>
      </c>
      <c r="F10" s="91"/>
      <c r="G10" s="119"/>
      <c r="H10" s="119"/>
      <c r="I10" s="119"/>
      <c r="J10" s="119"/>
      <c r="K10" s="119"/>
      <c r="L10" s="119"/>
      <c r="M10" s="119"/>
      <c r="N10" s="119"/>
      <c r="O10" s="542">
        <v>46140</v>
      </c>
      <c r="P10" s="539">
        <v>46170</v>
      </c>
      <c r="Q10" s="539">
        <v>46171</v>
      </c>
      <c r="R10" s="546">
        <v>46290</v>
      </c>
      <c r="S10" s="547"/>
      <c r="T10" s="547"/>
      <c r="U10" s="547"/>
      <c r="V10" s="547"/>
      <c r="W10" s="547"/>
      <c r="X10" s="547"/>
      <c r="Y10" s="547"/>
      <c r="Z10" s="547"/>
      <c r="AA10" s="548">
        <v>46324</v>
      </c>
      <c r="AB10" s="550">
        <v>46387</v>
      </c>
      <c r="AC10" s="119"/>
      <c r="AD10" s="119"/>
      <c r="AE10" s="119"/>
      <c r="AF10" s="119"/>
      <c r="AG10" s="119"/>
      <c r="AH10" s="119"/>
      <c r="AI10" s="119"/>
      <c r="AJ10" s="119"/>
      <c r="AK10" s="119"/>
      <c r="AL10" s="119"/>
      <c r="AM10" s="119"/>
      <c r="AN10" s="119"/>
      <c r="AO10" s="119"/>
      <c r="AP10" s="119"/>
      <c r="AQ10" s="119"/>
      <c r="AR10" s="119"/>
      <c r="AS10" s="119"/>
      <c r="AT10" s="119"/>
      <c r="AU10" s="119"/>
      <c r="AV10" s="119"/>
      <c r="AW10" s="119"/>
      <c r="AX10" s="119"/>
      <c r="AY10" s="119"/>
      <c r="AZ10" s="119"/>
      <c r="BA10" s="119"/>
      <c r="BB10" s="119"/>
      <c r="BC10" s="119"/>
      <c r="BD10" s="119"/>
      <c r="BE10" s="119"/>
      <c r="BF10" s="119"/>
      <c r="BG10" s="119"/>
      <c r="BH10" s="119"/>
      <c r="BI10" s="119"/>
      <c r="BJ10" s="119"/>
      <c r="BK10" s="119"/>
      <c r="BL10" s="119"/>
      <c r="BM10" s="119"/>
      <c r="BN10" s="119"/>
      <c r="BO10" s="119"/>
      <c r="BP10" s="119"/>
      <c r="BQ10" s="119"/>
      <c r="BR10" s="119"/>
      <c r="BS10" s="119"/>
      <c r="BT10" s="119"/>
      <c r="BU10" s="119"/>
      <c r="BV10" s="119"/>
      <c r="BW10" s="119"/>
      <c r="BX10" s="119"/>
      <c r="BY10" s="119"/>
      <c r="BZ10" s="119"/>
      <c r="CA10" s="119"/>
      <c r="CB10" s="119"/>
      <c r="CC10" s="119"/>
      <c r="CD10" s="119"/>
      <c r="CE10" s="119"/>
      <c r="CF10" s="119"/>
      <c r="CG10" s="119"/>
      <c r="CH10" s="119"/>
      <c r="CI10" s="119"/>
      <c r="CJ10" s="119"/>
      <c r="CK10" s="119"/>
      <c r="CL10" s="119"/>
      <c r="CM10" s="119"/>
      <c r="CN10" s="119"/>
      <c r="CO10" s="119"/>
      <c r="CP10" s="119"/>
      <c r="CQ10" s="119"/>
      <c r="CR10" s="119"/>
      <c r="CS10" s="119"/>
      <c r="CT10" s="119"/>
      <c r="CU10" s="119"/>
      <c r="CV10" s="119"/>
      <c r="CW10" s="119"/>
      <c r="CX10" s="119"/>
      <c r="CY10" s="119"/>
      <c r="CZ10" s="119"/>
      <c r="DA10" s="119"/>
      <c r="DB10" s="119"/>
      <c r="DC10" s="119"/>
      <c r="DD10" s="119"/>
      <c r="DE10" s="119"/>
      <c r="DF10" s="119"/>
      <c r="DG10" s="119"/>
      <c r="DH10" s="119"/>
      <c r="DI10" s="119"/>
      <c r="DJ10" s="119"/>
      <c r="DK10" s="119"/>
      <c r="DL10" s="119"/>
      <c r="DM10" s="119"/>
      <c r="DN10" s="119"/>
      <c r="DO10" s="119"/>
      <c r="DP10" s="119"/>
      <c r="DQ10" s="119"/>
      <c r="DR10" s="119" t="s">
        <v>1317</v>
      </c>
      <c r="DS10" s="119"/>
      <c r="DT10" s="119"/>
      <c r="DU10" s="119"/>
      <c r="DV10" s="119"/>
      <c r="DW10" s="119"/>
      <c r="DX10" s="119"/>
      <c r="DY10" s="119"/>
      <c r="DZ10" s="119"/>
      <c r="EA10" s="119"/>
      <c r="EB10" s="119"/>
      <c r="EC10" s="119"/>
      <c r="ED10" s="119"/>
      <c r="EE10" s="119"/>
      <c r="EF10" s="119"/>
      <c r="EG10" s="119"/>
      <c r="EH10" s="119"/>
      <c r="EI10" s="119"/>
      <c r="EJ10" s="119"/>
      <c r="EK10" s="119"/>
      <c r="EL10" s="119"/>
      <c r="EM10" s="119"/>
      <c r="EN10" s="119"/>
      <c r="EO10" s="119"/>
      <c r="EP10" s="119"/>
      <c r="EQ10" s="119"/>
      <c r="ER10" s="119"/>
      <c r="ES10" s="119"/>
    </row>
    <row r="11" spans="1:159" ht="29">
      <c r="A11" s="119"/>
      <c r="B11" s="119" t="s">
        <v>1314</v>
      </c>
      <c r="C11" s="541" t="s">
        <v>1320</v>
      </c>
      <c r="D11" s="7">
        <v>2026</v>
      </c>
      <c r="E11" s="7">
        <v>2026</v>
      </c>
      <c r="F11" s="91"/>
      <c r="G11" s="119"/>
      <c r="H11" s="119"/>
      <c r="I11" s="119"/>
      <c r="J11" s="119"/>
      <c r="K11" s="119"/>
      <c r="L11" s="119"/>
      <c r="M11" s="119"/>
      <c r="N11" s="119"/>
      <c r="O11" s="543">
        <v>46127</v>
      </c>
      <c r="P11" s="539">
        <v>46157</v>
      </c>
      <c r="Q11" s="539">
        <v>46160</v>
      </c>
      <c r="R11" s="546">
        <v>46276</v>
      </c>
      <c r="S11" s="547"/>
      <c r="T11" s="547"/>
      <c r="U11" s="547"/>
      <c r="V11" s="547"/>
      <c r="W11" s="547"/>
      <c r="X11" s="547"/>
      <c r="Y11" s="547"/>
      <c r="Z11" s="547"/>
      <c r="AA11" s="548">
        <v>46308</v>
      </c>
      <c r="AB11" s="550">
        <v>46387</v>
      </c>
      <c r="AC11" s="119"/>
      <c r="AD11" s="119"/>
      <c r="AE11" s="119"/>
      <c r="AF11" s="119"/>
      <c r="AG11" s="119"/>
      <c r="AH11" s="119"/>
      <c r="AI11" s="119"/>
      <c r="AJ11" s="119"/>
      <c r="AK11" s="119"/>
      <c r="AL11" s="119"/>
      <c r="AM11" s="119"/>
      <c r="AN11" s="119"/>
      <c r="AO11" s="119"/>
      <c r="AP11" s="119"/>
      <c r="AQ11" s="119"/>
      <c r="AR11" s="119"/>
      <c r="AS11" s="119"/>
      <c r="AT11" s="119"/>
      <c r="AU11" s="119"/>
      <c r="AV11" s="119"/>
      <c r="AW11" s="119"/>
      <c r="AX11" s="119"/>
      <c r="AY11" s="119"/>
      <c r="AZ11" s="119"/>
      <c r="BA11" s="119"/>
      <c r="BB11" s="119"/>
      <c r="BC11" s="119"/>
      <c r="BD11" s="119"/>
      <c r="BE11" s="119"/>
      <c r="BF11" s="119"/>
      <c r="BG11" s="119"/>
      <c r="BH11" s="119"/>
      <c r="BI11" s="119"/>
      <c r="BJ11" s="119"/>
      <c r="BK11" s="119"/>
      <c r="BL11" s="119"/>
      <c r="BM11" s="119"/>
      <c r="BN11" s="119"/>
      <c r="BO11" s="119"/>
      <c r="BP11" s="119"/>
      <c r="BQ11" s="119"/>
      <c r="BR11" s="119"/>
      <c r="BS11" s="119"/>
      <c r="BT11" s="119"/>
      <c r="BU11" s="119"/>
      <c r="BV11" s="119"/>
      <c r="BW11" s="119"/>
      <c r="BX11" s="119"/>
      <c r="BY11" s="119"/>
      <c r="BZ11" s="119"/>
      <c r="CA11" s="119"/>
      <c r="CB11" s="119"/>
      <c r="CC11" s="119"/>
      <c r="CD11" s="119"/>
      <c r="CE11" s="119"/>
      <c r="CF11" s="119"/>
      <c r="CG11" s="119"/>
      <c r="CH11" s="119"/>
      <c r="CI11" s="119"/>
      <c r="CJ11" s="119"/>
      <c r="CK11" s="119"/>
      <c r="CL11" s="119"/>
      <c r="CM11" s="119"/>
      <c r="CN11" s="119"/>
      <c r="CO11" s="119"/>
      <c r="CP11" s="119"/>
      <c r="CQ11" s="119"/>
      <c r="CR11" s="119"/>
      <c r="CS11" s="119"/>
      <c r="CT11" s="119"/>
      <c r="CU11" s="119"/>
      <c r="CV11" s="119"/>
      <c r="CW11" s="119"/>
      <c r="CX11" s="119"/>
      <c r="CY11" s="119"/>
      <c r="CZ11" s="119"/>
      <c r="DA11" s="119"/>
      <c r="DB11" s="119"/>
      <c r="DC11" s="119"/>
      <c r="DD11" s="119"/>
      <c r="DE11" s="119"/>
      <c r="DF11" s="119"/>
      <c r="DG11" s="119"/>
      <c r="DH11" s="119"/>
      <c r="DI11" s="119"/>
      <c r="DJ11" s="119"/>
      <c r="DK11" s="119"/>
      <c r="DL11" s="119"/>
      <c r="DM11" s="119"/>
      <c r="DN11" s="119"/>
      <c r="DO11" s="119"/>
      <c r="DP11" s="119"/>
      <c r="DQ11" s="119"/>
      <c r="DR11" s="119" t="s">
        <v>1317</v>
      </c>
      <c r="DS11" s="119"/>
      <c r="DT11" s="119"/>
      <c r="DU11" s="119"/>
      <c r="DV11" s="119"/>
      <c r="DW11" s="119"/>
      <c r="DX11" s="119"/>
      <c r="DY11" s="119"/>
      <c r="DZ11" s="119"/>
      <c r="EA11" s="119"/>
      <c r="EB11" s="119"/>
      <c r="EC11" s="119"/>
      <c r="ED11" s="119"/>
      <c r="EE11" s="119"/>
      <c r="EF11" s="119"/>
      <c r="EG11" s="119"/>
      <c r="EH11" s="119"/>
      <c r="EI11" s="119"/>
      <c r="EJ11" s="119"/>
      <c r="EK11" s="119"/>
      <c r="EL11" s="119"/>
      <c r="EM11" s="119"/>
      <c r="EN11" s="119"/>
      <c r="EO11" s="119"/>
      <c r="EP11" s="119"/>
      <c r="EQ11" s="119"/>
      <c r="ER11" s="119"/>
      <c r="ES11" s="119"/>
    </row>
    <row r="12" spans="1:159" ht="29">
      <c r="A12" s="119"/>
      <c r="B12" s="119" t="s">
        <v>1314</v>
      </c>
      <c r="C12" s="541" t="s">
        <v>1321</v>
      </c>
      <c r="D12" s="7">
        <v>2026</v>
      </c>
      <c r="E12" s="7">
        <v>2026</v>
      </c>
      <c r="F12" s="91"/>
      <c r="G12" s="119"/>
      <c r="H12" s="119"/>
      <c r="I12" s="119"/>
      <c r="J12" s="119"/>
      <c r="K12" s="119"/>
      <c r="L12" s="119"/>
      <c r="M12" s="119"/>
      <c r="N12" s="119"/>
      <c r="O12" s="542">
        <v>46101</v>
      </c>
      <c r="P12" s="539">
        <v>46132</v>
      </c>
      <c r="Q12" s="539">
        <v>46133</v>
      </c>
      <c r="R12" s="546">
        <v>46297</v>
      </c>
      <c r="S12" s="547"/>
      <c r="T12" s="547"/>
      <c r="U12" s="547"/>
      <c r="V12" s="547"/>
      <c r="W12" s="547"/>
      <c r="X12" s="547"/>
      <c r="Y12" s="547"/>
      <c r="Z12" s="547"/>
      <c r="AA12" s="552" t="s">
        <v>1322</v>
      </c>
      <c r="AB12" s="552" t="s">
        <v>1322</v>
      </c>
      <c r="AC12" s="119"/>
      <c r="AD12" s="119"/>
      <c r="AE12" s="119"/>
      <c r="AF12" s="119"/>
      <c r="AG12" s="119"/>
      <c r="AH12" s="119"/>
      <c r="AI12" s="119"/>
      <c r="AJ12" s="119"/>
      <c r="AK12" s="119"/>
      <c r="AL12" s="119"/>
      <c r="AM12" s="119"/>
      <c r="AN12" s="119"/>
      <c r="AO12" s="119"/>
      <c r="AP12" s="119"/>
      <c r="AQ12" s="119"/>
      <c r="AR12" s="119"/>
      <c r="AS12" s="119"/>
      <c r="AT12" s="119"/>
      <c r="AU12" s="119"/>
      <c r="AV12" s="119"/>
      <c r="AW12" s="119"/>
      <c r="AX12" s="119"/>
      <c r="AY12" s="119"/>
      <c r="AZ12" s="119"/>
      <c r="BA12" s="119"/>
      <c r="BB12" s="119"/>
      <c r="BC12" s="119"/>
      <c r="BD12" s="119"/>
      <c r="BE12" s="119"/>
      <c r="BF12" s="119"/>
      <c r="BG12" s="119"/>
      <c r="BH12" s="119"/>
      <c r="BI12" s="119"/>
      <c r="BJ12" s="119"/>
      <c r="BK12" s="119"/>
      <c r="BL12" s="119"/>
      <c r="BM12" s="119"/>
      <c r="BN12" s="119"/>
      <c r="BO12" s="119"/>
      <c r="BP12" s="119"/>
      <c r="BQ12" s="119"/>
      <c r="BR12" s="119"/>
      <c r="BS12" s="119"/>
      <c r="BT12" s="119"/>
      <c r="BU12" s="119"/>
      <c r="BV12" s="119"/>
      <c r="BW12" s="119"/>
      <c r="BX12" s="119"/>
      <c r="BY12" s="119"/>
      <c r="BZ12" s="119"/>
      <c r="CA12" s="119"/>
      <c r="CB12" s="119"/>
      <c r="CC12" s="119"/>
      <c r="CD12" s="119"/>
      <c r="CE12" s="119"/>
      <c r="CF12" s="119"/>
      <c r="CG12" s="119"/>
      <c r="CH12" s="119"/>
      <c r="CI12" s="119"/>
      <c r="CJ12" s="119"/>
      <c r="CK12" s="119"/>
      <c r="CL12" s="119"/>
      <c r="CM12" s="119"/>
      <c r="CN12" s="119"/>
      <c r="CO12" s="119"/>
      <c r="CP12" s="119"/>
      <c r="CQ12" s="119"/>
      <c r="CR12" s="119"/>
      <c r="CS12" s="119"/>
      <c r="CT12" s="119"/>
      <c r="CU12" s="119"/>
      <c r="CV12" s="119"/>
      <c r="CW12" s="119"/>
      <c r="CX12" s="119"/>
      <c r="CY12" s="119"/>
      <c r="CZ12" s="119"/>
      <c r="DA12" s="119"/>
      <c r="DB12" s="119"/>
      <c r="DC12" s="119"/>
      <c r="DD12" s="119"/>
      <c r="DE12" s="119"/>
      <c r="DF12" s="119"/>
      <c r="DG12" s="119"/>
      <c r="DH12" s="119"/>
      <c r="DI12" s="9">
        <v>1</v>
      </c>
      <c r="DJ12" s="7" t="s">
        <v>246</v>
      </c>
      <c r="DK12" s="7" t="s">
        <v>246</v>
      </c>
      <c r="DL12" s="7" t="s">
        <v>246</v>
      </c>
      <c r="DM12" s="119"/>
      <c r="DN12" s="119"/>
      <c r="DO12" s="119"/>
      <c r="DP12" s="119"/>
      <c r="DQ12" s="119"/>
      <c r="DR12" s="119" t="s">
        <v>1317</v>
      </c>
      <c r="DS12" s="119"/>
      <c r="DT12" s="119"/>
      <c r="DU12" s="119"/>
      <c r="DV12" s="119"/>
      <c r="DW12" s="119"/>
      <c r="DX12" s="119"/>
      <c r="DY12" s="119"/>
      <c r="DZ12" s="119"/>
      <c r="EA12" s="119"/>
      <c r="EB12" s="119"/>
      <c r="EC12" s="119"/>
      <c r="ED12" s="119"/>
      <c r="EE12" s="119"/>
      <c r="EF12" s="119"/>
      <c r="EG12" s="119"/>
      <c r="EH12" s="119"/>
      <c r="EI12" s="119"/>
      <c r="EJ12" s="119"/>
      <c r="EK12" s="119"/>
      <c r="EL12" s="119"/>
      <c r="EM12" s="119"/>
      <c r="EN12" s="119"/>
      <c r="EO12" s="119"/>
      <c r="EP12" s="119"/>
      <c r="EQ12" s="119"/>
      <c r="ER12" s="119"/>
      <c r="ES12" s="119"/>
    </row>
    <row r="13" spans="1:159" ht="29">
      <c r="A13" s="119"/>
      <c r="B13" s="119" t="s">
        <v>1314</v>
      </c>
      <c r="C13" s="541" t="s">
        <v>1323</v>
      </c>
      <c r="D13" s="7">
        <v>2026</v>
      </c>
      <c r="E13" s="7">
        <v>2026</v>
      </c>
      <c r="F13" s="91"/>
      <c r="G13" s="119"/>
      <c r="H13" s="119"/>
      <c r="I13" s="119"/>
      <c r="J13" s="119"/>
      <c r="K13" s="119"/>
      <c r="L13" s="119"/>
      <c r="M13" s="119"/>
      <c r="N13" s="119"/>
      <c r="O13" s="542">
        <v>46146</v>
      </c>
      <c r="P13" s="539">
        <v>46176</v>
      </c>
      <c r="Q13" s="539">
        <v>46177</v>
      </c>
      <c r="R13" s="546">
        <v>46296</v>
      </c>
      <c r="S13" s="547"/>
      <c r="T13" s="547"/>
      <c r="U13" s="547"/>
      <c r="V13" s="547"/>
      <c r="W13" s="547"/>
      <c r="X13" s="547"/>
      <c r="Y13" s="547"/>
      <c r="Z13" s="547"/>
      <c r="AA13" s="548">
        <v>46296</v>
      </c>
      <c r="AB13" s="548">
        <v>46387</v>
      </c>
      <c r="AC13" s="119"/>
      <c r="AD13" s="119"/>
      <c r="AE13" s="119"/>
      <c r="AF13" s="119"/>
      <c r="AG13" s="119"/>
      <c r="AH13" s="119"/>
      <c r="AI13" s="119"/>
      <c r="AJ13" s="119"/>
      <c r="AK13" s="119"/>
      <c r="AL13" s="119"/>
      <c r="AM13" s="119"/>
      <c r="AN13" s="119"/>
      <c r="AO13" s="119"/>
      <c r="AP13" s="119"/>
      <c r="AQ13" s="119"/>
      <c r="AR13" s="119"/>
      <c r="AS13" s="119"/>
      <c r="AT13" s="119"/>
      <c r="AU13" s="119"/>
      <c r="AV13" s="119"/>
      <c r="AW13" s="119"/>
      <c r="AX13" s="119"/>
      <c r="AY13" s="119"/>
      <c r="AZ13" s="119"/>
      <c r="BA13" s="119"/>
      <c r="BB13" s="119"/>
      <c r="BC13" s="119"/>
      <c r="BD13" s="119"/>
      <c r="BE13" s="119"/>
      <c r="BF13" s="119"/>
      <c r="BG13" s="119"/>
      <c r="BH13" s="119"/>
      <c r="BI13" s="119"/>
      <c r="BJ13" s="119"/>
      <c r="BK13" s="119"/>
      <c r="BL13" s="119"/>
      <c r="BM13" s="119"/>
      <c r="BN13" s="119"/>
      <c r="BO13" s="119"/>
      <c r="BP13" s="119"/>
      <c r="BQ13" s="119"/>
      <c r="BR13" s="119"/>
      <c r="BS13" s="119"/>
      <c r="BT13" s="119"/>
      <c r="BU13" s="119"/>
      <c r="BV13" s="119"/>
      <c r="BW13" s="119"/>
      <c r="BX13" s="119"/>
      <c r="BY13" s="119"/>
      <c r="BZ13" s="119"/>
      <c r="CA13" s="119"/>
      <c r="CB13" s="119"/>
      <c r="CC13" s="119"/>
      <c r="CD13" s="119"/>
      <c r="CE13" s="119"/>
      <c r="CF13" s="119"/>
      <c r="CG13" s="119"/>
      <c r="CH13" s="119"/>
      <c r="CI13" s="119"/>
      <c r="CJ13" s="119"/>
      <c r="CK13" s="119"/>
      <c r="CL13" s="119"/>
      <c r="CM13" s="119"/>
      <c r="CN13" s="119"/>
      <c r="CO13" s="119"/>
      <c r="CP13" s="119"/>
      <c r="CQ13" s="119"/>
      <c r="CR13" s="119"/>
      <c r="CS13" s="119"/>
      <c r="CT13" s="119"/>
      <c r="CU13" s="119"/>
      <c r="CV13" s="119"/>
      <c r="CW13" s="119"/>
      <c r="CX13" s="119"/>
      <c r="CY13" s="119"/>
      <c r="CZ13" s="119"/>
      <c r="DA13" s="119"/>
      <c r="DB13" s="119"/>
      <c r="DC13" s="119"/>
      <c r="DD13" s="119"/>
      <c r="DE13" s="119"/>
      <c r="DF13" s="119"/>
      <c r="DG13" s="119"/>
      <c r="DH13" s="119"/>
      <c r="DI13" s="7" t="s">
        <v>246</v>
      </c>
      <c r="DJ13" s="7" t="s">
        <v>246</v>
      </c>
      <c r="DK13" s="7" t="s">
        <v>246</v>
      </c>
      <c r="DL13" s="7" t="s">
        <v>246</v>
      </c>
      <c r="DM13" s="9">
        <v>0</v>
      </c>
      <c r="DN13" s="119"/>
      <c r="DO13" s="119"/>
      <c r="DP13" s="119"/>
      <c r="DQ13" s="119"/>
      <c r="DR13" s="119" t="s">
        <v>1317</v>
      </c>
      <c r="DS13" s="119"/>
      <c r="DT13" s="119"/>
      <c r="DU13" s="119"/>
      <c r="DV13" s="119"/>
      <c r="DW13" s="119"/>
      <c r="DX13" s="119"/>
      <c r="DY13" s="119"/>
      <c r="DZ13" s="119"/>
      <c r="EA13" s="119"/>
      <c r="EB13" s="119"/>
      <c r="EC13" s="119"/>
      <c r="ED13" s="119"/>
      <c r="EE13" s="119"/>
      <c r="EF13" s="119"/>
      <c r="EG13" s="119"/>
      <c r="EH13" s="119"/>
      <c r="EI13" s="119"/>
      <c r="EJ13" s="119"/>
      <c r="EK13" s="119"/>
      <c r="EL13" s="119"/>
      <c r="EM13" s="119"/>
      <c r="EN13" s="119"/>
      <c r="EO13" s="119"/>
      <c r="EP13" s="119"/>
      <c r="EQ13" s="119"/>
      <c r="ER13" s="119"/>
      <c r="ES13" s="119"/>
    </row>
    <row r="14" spans="1:159" ht="87">
      <c r="A14" s="119"/>
      <c r="B14" s="119" t="s">
        <v>1314</v>
      </c>
      <c r="C14" s="610" t="s">
        <v>1324</v>
      </c>
      <c r="D14" s="7">
        <v>2025</v>
      </c>
      <c r="E14" s="7">
        <v>2026</v>
      </c>
      <c r="F14" s="91"/>
      <c r="G14" s="119"/>
      <c r="H14" s="119"/>
      <c r="I14" s="119"/>
      <c r="J14" s="119"/>
      <c r="K14" s="119"/>
      <c r="L14" s="119"/>
      <c r="M14" s="119"/>
      <c r="N14" s="119"/>
      <c r="O14" s="539">
        <v>45870</v>
      </c>
      <c r="P14" s="539">
        <v>45911</v>
      </c>
      <c r="Q14" s="539">
        <v>45912</v>
      </c>
      <c r="R14" s="546">
        <v>46038</v>
      </c>
      <c r="S14" s="548">
        <v>46041</v>
      </c>
      <c r="T14" s="548">
        <v>46100</v>
      </c>
      <c r="U14" s="547"/>
      <c r="V14" s="547"/>
      <c r="W14" s="547"/>
      <c r="X14" s="547"/>
      <c r="Y14" s="547"/>
      <c r="Z14" s="547"/>
      <c r="AA14" s="548">
        <v>46101</v>
      </c>
      <c r="AB14" s="548">
        <v>46266</v>
      </c>
      <c r="AC14" s="119"/>
      <c r="AD14" s="119"/>
      <c r="AE14" s="119"/>
      <c r="AF14" s="119"/>
      <c r="AG14" s="119"/>
      <c r="AH14" s="119"/>
      <c r="AI14" s="119"/>
      <c r="AJ14" s="119"/>
      <c r="AK14" s="119"/>
      <c r="AL14" s="119"/>
      <c r="AM14" s="119"/>
      <c r="AN14" s="119"/>
      <c r="AO14" s="119"/>
      <c r="AP14" s="119"/>
      <c r="AQ14" s="119"/>
      <c r="AR14" s="119"/>
      <c r="AS14" s="119"/>
      <c r="AT14" s="119"/>
      <c r="AU14" s="119"/>
      <c r="AV14" s="119"/>
      <c r="AW14" s="119"/>
      <c r="AX14" s="119"/>
      <c r="AY14" s="119"/>
      <c r="AZ14" s="119"/>
      <c r="BA14" s="119"/>
      <c r="BB14" s="119"/>
      <c r="BC14" s="119"/>
      <c r="BD14" s="119"/>
      <c r="BE14" s="119"/>
      <c r="BF14" s="119"/>
      <c r="BG14" s="119"/>
      <c r="BH14" s="119"/>
      <c r="BI14" s="119"/>
      <c r="BJ14" s="119"/>
      <c r="BK14" s="119"/>
      <c r="BL14" s="119"/>
      <c r="BM14" s="119"/>
      <c r="BN14" s="119"/>
      <c r="BO14" s="119"/>
      <c r="BP14" s="119"/>
      <c r="BQ14" s="119"/>
      <c r="BR14" s="119"/>
      <c r="BS14" s="119"/>
      <c r="BT14" s="119"/>
      <c r="BU14" s="119"/>
      <c r="BV14" s="119"/>
      <c r="BW14" s="119"/>
      <c r="BX14" s="119"/>
      <c r="BY14" s="119"/>
      <c r="BZ14" s="119"/>
      <c r="CA14" s="119"/>
      <c r="CB14" s="119"/>
      <c r="CC14" s="119"/>
      <c r="CD14" s="119"/>
      <c r="CE14" s="119"/>
      <c r="CF14" s="119"/>
      <c r="CG14" s="119"/>
      <c r="CH14" s="119"/>
      <c r="CI14" s="119"/>
      <c r="CJ14" s="119"/>
      <c r="CK14" s="119"/>
      <c r="CL14" s="119"/>
      <c r="CM14" s="119"/>
      <c r="CN14" s="119"/>
      <c r="CO14" s="119"/>
      <c r="CP14" s="119"/>
      <c r="CQ14" s="119"/>
      <c r="CR14" s="119"/>
      <c r="CS14" s="119"/>
      <c r="CT14" s="119"/>
      <c r="CU14" s="119"/>
      <c r="CV14" s="119"/>
      <c r="CW14" s="119"/>
      <c r="CX14" s="119"/>
      <c r="CY14" s="119"/>
      <c r="CZ14" s="119"/>
      <c r="DA14" s="119"/>
      <c r="DB14" s="119"/>
      <c r="DC14" s="119"/>
      <c r="DD14" s="119"/>
      <c r="DE14" s="119"/>
      <c r="DF14" s="119"/>
      <c r="DG14" s="119"/>
      <c r="DH14" s="119"/>
      <c r="DI14" s="7" t="s">
        <v>246</v>
      </c>
      <c r="DJ14" s="7" t="s">
        <v>246</v>
      </c>
      <c r="DK14" s="7" t="s">
        <v>246</v>
      </c>
      <c r="DL14" s="7" t="s">
        <v>246</v>
      </c>
      <c r="DM14" s="9">
        <v>1</v>
      </c>
      <c r="DN14" s="9">
        <v>0.66</v>
      </c>
      <c r="DO14" s="119"/>
      <c r="DP14" s="119"/>
      <c r="DQ14" s="119"/>
      <c r="DR14" s="569" t="s">
        <v>1589</v>
      </c>
      <c r="DS14" s="119"/>
      <c r="DT14" s="119"/>
      <c r="DU14" s="119"/>
      <c r="DV14" s="119"/>
      <c r="DW14" s="119"/>
      <c r="DX14" s="119"/>
      <c r="DY14" s="119"/>
      <c r="DZ14" s="119"/>
      <c r="EA14" s="119"/>
      <c r="EB14" s="119"/>
      <c r="EC14" s="119"/>
      <c r="ED14" s="119"/>
      <c r="EE14" s="119"/>
      <c r="EF14" s="119"/>
      <c r="EG14" s="119"/>
      <c r="EH14" s="119"/>
      <c r="EI14" s="119"/>
      <c r="EJ14" s="119"/>
      <c r="EK14" s="119"/>
      <c r="EL14" s="119"/>
      <c r="EM14" s="119"/>
      <c r="EN14" s="119"/>
      <c r="EO14" s="119"/>
      <c r="EP14" s="119"/>
      <c r="EQ14" s="119"/>
      <c r="ER14" s="119"/>
      <c r="ES14" s="119"/>
    </row>
    <row r="15" spans="1:159" ht="145">
      <c r="A15" s="119"/>
      <c r="B15" s="119" t="s">
        <v>1314</v>
      </c>
      <c r="C15" s="610" t="s">
        <v>1325</v>
      </c>
      <c r="D15" s="7">
        <v>2025</v>
      </c>
      <c r="E15" s="7">
        <v>2026</v>
      </c>
      <c r="F15" s="91"/>
      <c r="G15" s="119"/>
      <c r="H15" s="119"/>
      <c r="I15" s="119"/>
      <c r="J15" s="119"/>
      <c r="K15" s="119"/>
      <c r="L15" s="119"/>
      <c r="M15" s="119"/>
      <c r="N15" s="119"/>
      <c r="O15" s="539">
        <v>45835</v>
      </c>
      <c r="P15" s="539">
        <v>45866</v>
      </c>
      <c r="Q15" s="539">
        <v>45867</v>
      </c>
      <c r="R15" s="546">
        <v>46031</v>
      </c>
      <c r="S15" s="548">
        <v>46034</v>
      </c>
      <c r="T15" s="548">
        <v>46035</v>
      </c>
      <c r="U15" s="547"/>
      <c r="V15" s="547"/>
      <c r="W15" s="547"/>
      <c r="X15" s="547"/>
      <c r="Y15" s="547"/>
      <c r="Z15" s="547"/>
      <c r="AA15" s="550">
        <v>46036</v>
      </c>
      <c r="AB15" s="551">
        <v>46203</v>
      </c>
      <c r="AC15" s="119"/>
      <c r="AD15" s="119"/>
      <c r="AE15" s="119"/>
      <c r="AF15" s="119"/>
      <c r="AG15" s="119"/>
      <c r="AH15" s="119"/>
      <c r="AI15" s="119"/>
      <c r="AJ15" s="119"/>
      <c r="AK15" s="119"/>
      <c r="AL15" s="119"/>
      <c r="AM15" s="119"/>
      <c r="AN15" s="119"/>
      <c r="AO15" s="119"/>
      <c r="AP15" s="119"/>
      <c r="AQ15" s="119"/>
      <c r="AR15" s="119"/>
      <c r="AS15" s="119"/>
      <c r="AT15" s="119"/>
      <c r="AU15" s="119"/>
      <c r="AV15" s="119"/>
      <c r="AW15" s="119"/>
      <c r="AX15" s="119"/>
      <c r="AY15" s="119"/>
      <c r="AZ15" s="119"/>
      <c r="BA15" s="119"/>
      <c r="BB15" s="119"/>
      <c r="BC15" s="119"/>
      <c r="BD15" s="119"/>
      <c r="BE15" s="119"/>
      <c r="BF15" s="119"/>
      <c r="BG15" s="119"/>
      <c r="BH15" s="119"/>
      <c r="BI15" s="119"/>
      <c r="BJ15" s="119"/>
      <c r="BK15" s="119"/>
      <c r="BL15" s="119"/>
      <c r="BM15" s="119"/>
      <c r="BN15" s="119"/>
      <c r="BO15" s="119"/>
      <c r="BP15" s="119"/>
      <c r="BQ15" s="119"/>
      <c r="BR15" s="119"/>
      <c r="BS15" s="119"/>
      <c r="BT15" s="119"/>
      <c r="BU15" s="119"/>
      <c r="BV15" s="119"/>
      <c r="BW15" s="119"/>
      <c r="BX15" s="119"/>
      <c r="BY15" s="119"/>
      <c r="BZ15" s="119"/>
      <c r="CA15" s="119"/>
      <c r="CB15" s="119"/>
      <c r="CC15" s="119"/>
      <c r="CD15" s="119"/>
      <c r="CE15" s="119"/>
      <c r="CF15" s="119"/>
      <c r="CG15" s="119"/>
      <c r="CH15" s="119"/>
      <c r="CI15" s="119"/>
      <c r="CJ15" s="119"/>
      <c r="CK15" s="119"/>
      <c r="CL15" s="119"/>
      <c r="CM15" s="119"/>
      <c r="CN15" s="119"/>
      <c r="CO15" s="119"/>
      <c r="CP15" s="119"/>
      <c r="CQ15" s="119"/>
      <c r="CR15" s="119"/>
      <c r="CS15" s="119"/>
      <c r="CT15" s="119"/>
      <c r="CU15" s="119"/>
      <c r="CV15" s="119"/>
      <c r="CW15" s="119"/>
      <c r="CX15" s="119"/>
      <c r="CY15" s="119"/>
      <c r="CZ15" s="119"/>
      <c r="DA15" s="119"/>
      <c r="DB15" s="119"/>
      <c r="DC15" s="119"/>
      <c r="DD15" s="119"/>
      <c r="DE15" s="119"/>
      <c r="DF15" s="119"/>
      <c r="DG15" s="119"/>
      <c r="DH15" s="119"/>
      <c r="DI15" s="7" t="s">
        <v>246</v>
      </c>
      <c r="DJ15" s="7" t="s">
        <v>246</v>
      </c>
      <c r="DK15" s="7" t="s">
        <v>246</v>
      </c>
      <c r="DL15" s="7" t="s">
        <v>246</v>
      </c>
      <c r="DM15" s="9">
        <v>1</v>
      </c>
      <c r="DN15" s="9">
        <v>0.66</v>
      </c>
      <c r="DO15" s="119"/>
      <c r="DP15" s="119"/>
      <c r="DQ15" s="119"/>
      <c r="DR15" s="569" t="s">
        <v>1634</v>
      </c>
      <c r="DS15" s="119"/>
      <c r="DT15" s="119"/>
      <c r="DU15" s="119"/>
      <c r="DV15" s="119"/>
      <c r="DW15" s="119"/>
      <c r="DX15" s="119"/>
      <c r="DY15" s="119"/>
      <c r="DZ15" s="119"/>
      <c r="EA15" s="119"/>
      <c r="EB15" s="119"/>
      <c r="EC15" s="119"/>
      <c r="ED15" s="119"/>
      <c r="EE15" s="119"/>
      <c r="EF15" s="119"/>
      <c r="EG15" s="119"/>
      <c r="EH15" s="119"/>
      <c r="EI15" s="119"/>
      <c r="EJ15" s="119"/>
      <c r="EK15" s="119"/>
      <c r="EL15" s="119"/>
      <c r="EM15" s="119"/>
      <c r="EN15" s="119"/>
      <c r="EO15" s="119"/>
      <c r="EP15" s="119"/>
      <c r="EQ15" s="119"/>
      <c r="ER15" s="119"/>
      <c r="ES15" s="119"/>
    </row>
    <row r="16" spans="1:159" ht="29">
      <c r="A16" s="119"/>
      <c r="B16" s="119" t="s">
        <v>1314</v>
      </c>
      <c r="C16" s="541" t="s">
        <v>1326</v>
      </c>
      <c r="D16" s="7">
        <v>2026</v>
      </c>
      <c r="E16" s="7">
        <v>2027</v>
      </c>
      <c r="F16" s="91"/>
      <c r="G16" s="119"/>
      <c r="H16" s="119"/>
      <c r="I16" s="119"/>
      <c r="J16" s="119"/>
      <c r="K16" s="119"/>
      <c r="L16" s="119"/>
      <c r="M16" s="119"/>
      <c r="N16" s="119"/>
      <c r="O16" s="542">
        <v>46231</v>
      </c>
      <c r="P16" s="539">
        <v>46262</v>
      </c>
      <c r="Q16" s="539">
        <v>46265</v>
      </c>
      <c r="R16" s="546">
        <v>46339</v>
      </c>
      <c r="S16" s="548">
        <v>46342</v>
      </c>
      <c r="T16" s="548">
        <v>46402</v>
      </c>
      <c r="U16" s="547"/>
      <c r="V16" s="547"/>
      <c r="W16" s="547"/>
      <c r="X16" s="547"/>
      <c r="Y16" s="547"/>
      <c r="Z16" s="547"/>
      <c r="AA16" s="548">
        <v>46405</v>
      </c>
      <c r="AB16" s="548">
        <v>46430</v>
      </c>
      <c r="AC16" s="119"/>
      <c r="AD16" s="119"/>
      <c r="AE16" s="119"/>
      <c r="AF16" s="119"/>
      <c r="AG16" s="119"/>
      <c r="AH16" s="119"/>
      <c r="AI16" s="119"/>
      <c r="AJ16" s="119"/>
      <c r="AK16" s="119"/>
      <c r="AL16" s="119"/>
      <c r="AM16" s="119"/>
      <c r="AN16" s="119"/>
      <c r="AO16" s="119"/>
      <c r="AP16" s="119"/>
      <c r="AQ16" s="119"/>
      <c r="AR16" s="119"/>
      <c r="AS16" s="119"/>
      <c r="AT16" s="119"/>
      <c r="AU16" s="119"/>
      <c r="AV16" s="119"/>
      <c r="AW16" s="119"/>
      <c r="AX16" s="119"/>
      <c r="AY16" s="119"/>
      <c r="AZ16" s="119"/>
      <c r="BA16" s="119"/>
      <c r="BB16" s="119"/>
      <c r="BC16" s="119"/>
      <c r="BD16" s="119"/>
      <c r="BE16" s="119"/>
      <c r="BF16" s="119"/>
      <c r="BG16" s="119"/>
      <c r="BH16" s="119"/>
      <c r="BI16" s="119"/>
      <c r="BJ16" s="119"/>
      <c r="BK16" s="119"/>
      <c r="BL16" s="119"/>
      <c r="BM16" s="119"/>
      <c r="BN16" s="119"/>
      <c r="BO16" s="119"/>
      <c r="BP16" s="119"/>
      <c r="BQ16" s="119"/>
      <c r="BR16" s="119"/>
      <c r="BS16" s="119"/>
      <c r="BT16" s="119"/>
      <c r="BU16" s="119"/>
      <c r="BV16" s="119"/>
      <c r="BW16" s="119"/>
      <c r="BX16" s="119"/>
      <c r="BY16" s="119"/>
      <c r="BZ16" s="119"/>
      <c r="CA16" s="119"/>
      <c r="CB16" s="119"/>
      <c r="CC16" s="119"/>
      <c r="CD16" s="119"/>
      <c r="CE16" s="119"/>
      <c r="CF16" s="119"/>
      <c r="CG16" s="119"/>
      <c r="CH16" s="119"/>
      <c r="CI16" s="119"/>
      <c r="CJ16" s="119"/>
      <c r="CK16" s="119"/>
      <c r="CL16" s="119"/>
      <c r="CM16" s="119"/>
      <c r="CN16" s="119"/>
      <c r="CO16" s="119"/>
      <c r="CP16" s="119"/>
      <c r="CQ16" s="119"/>
      <c r="CR16" s="119"/>
      <c r="CS16" s="119"/>
      <c r="CT16" s="119"/>
      <c r="CU16" s="119"/>
      <c r="CV16" s="119"/>
      <c r="CW16" s="119"/>
      <c r="CX16" s="119"/>
      <c r="CY16" s="119"/>
      <c r="CZ16" s="119"/>
      <c r="DA16" s="119"/>
      <c r="DB16" s="119"/>
      <c r="DC16" s="119"/>
      <c r="DD16" s="119"/>
      <c r="DE16" s="119"/>
      <c r="DF16" s="119"/>
      <c r="DG16" s="119"/>
      <c r="DH16" s="119"/>
      <c r="DI16" s="119"/>
      <c r="DJ16" s="119"/>
      <c r="DK16" s="119"/>
      <c r="DL16" s="119"/>
      <c r="DM16" s="119"/>
      <c r="DN16" s="119"/>
      <c r="DO16" s="119"/>
      <c r="DP16" s="119"/>
      <c r="DQ16" s="119"/>
      <c r="DR16" s="119" t="s">
        <v>1317</v>
      </c>
      <c r="DS16" s="119"/>
      <c r="DT16" s="119"/>
      <c r="DU16" s="119"/>
      <c r="DV16" s="119"/>
      <c r="DW16" s="119"/>
      <c r="DX16" s="119"/>
      <c r="DY16" s="119"/>
      <c r="DZ16" s="119"/>
      <c r="EA16" s="119"/>
      <c r="EB16" s="119"/>
      <c r="EC16" s="119"/>
      <c r="ED16" s="119"/>
      <c r="EE16" s="119"/>
      <c r="EF16" s="119"/>
      <c r="EG16" s="119"/>
      <c r="EH16" s="119"/>
      <c r="EI16" s="119"/>
      <c r="EJ16" s="119"/>
      <c r="EK16" s="119"/>
      <c r="EL16" s="119"/>
      <c r="EM16" s="119"/>
      <c r="EN16" s="119"/>
      <c r="EO16" s="119"/>
      <c r="EP16" s="119"/>
      <c r="EQ16" s="119"/>
      <c r="ER16" s="119"/>
      <c r="ES16" s="119"/>
    </row>
    <row r="17" spans="1:149" ht="29">
      <c r="A17" s="119"/>
      <c r="B17" s="119" t="s">
        <v>1314</v>
      </c>
      <c r="C17" s="541" t="s">
        <v>1327</v>
      </c>
      <c r="D17" s="7">
        <v>2026</v>
      </c>
      <c r="E17" s="7">
        <v>2026</v>
      </c>
      <c r="F17" s="91"/>
      <c r="G17" s="119"/>
      <c r="H17" s="119"/>
      <c r="I17" s="119"/>
      <c r="J17" s="119"/>
      <c r="K17" s="119"/>
      <c r="L17" s="119"/>
      <c r="M17" s="119"/>
      <c r="N17" s="119"/>
      <c r="O17" s="542">
        <v>46073</v>
      </c>
      <c r="P17" s="539">
        <v>46101</v>
      </c>
      <c r="Q17" s="539">
        <v>46104</v>
      </c>
      <c r="R17" s="546">
        <v>46265</v>
      </c>
      <c r="S17" s="548">
        <v>46266</v>
      </c>
      <c r="T17" s="548">
        <v>46325</v>
      </c>
      <c r="U17" s="547"/>
      <c r="V17" s="547"/>
      <c r="W17" s="547"/>
      <c r="X17" s="547"/>
      <c r="Y17" s="547"/>
      <c r="Z17" s="547"/>
      <c r="AA17" s="548">
        <v>46329</v>
      </c>
      <c r="AB17" s="548">
        <v>46265</v>
      </c>
      <c r="AC17" s="119"/>
      <c r="AD17" s="119"/>
      <c r="AE17" s="119"/>
      <c r="AF17" s="119"/>
      <c r="AG17" s="119"/>
      <c r="AH17" s="119"/>
      <c r="AI17" s="119"/>
      <c r="AJ17" s="119"/>
      <c r="AK17" s="119"/>
      <c r="AL17" s="119"/>
      <c r="AM17" s="119"/>
      <c r="AN17" s="119"/>
      <c r="AO17" s="119"/>
      <c r="AP17" s="119"/>
      <c r="AQ17" s="119"/>
      <c r="AR17" s="119"/>
      <c r="AS17" s="119"/>
      <c r="AT17" s="119"/>
      <c r="AU17" s="119"/>
      <c r="AV17" s="119"/>
      <c r="AW17" s="119"/>
      <c r="AX17" s="119"/>
      <c r="AY17" s="119"/>
      <c r="AZ17" s="119"/>
      <c r="BA17" s="119"/>
      <c r="BB17" s="119"/>
      <c r="BC17" s="119"/>
      <c r="BD17" s="119"/>
      <c r="BE17" s="119"/>
      <c r="BF17" s="119"/>
      <c r="BG17" s="119"/>
      <c r="BH17" s="119"/>
      <c r="BI17" s="119"/>
      <c r="BJ17" s="119"/>
      <c r="BK17" s="119"/>
      <c r="BL17" s="119"/>
      <c r="BM17" s="119"/>
      <c r="BN17" s="119"/>
      <c r="BO17" s="119"/>
      <c r="BP17" s="119"/>
      <c r="BQ17" s="119"/>
      <c r="BR17" s="119"/>
      <c r="BS17" s="119"/>
      <c r="BT17" s="119"/>
      <c r="BU17" s="119"/>
      <c r="BV17" s="119"/>
      <c r="BW17" s="119"/>
      <c r="BX17" s="119"/>
      <c r="BY17" s="119"/>
      <c r="BZ17" s="119"/>
      <c r="CA17" s="119"/>
      <c r="CB17" s="119"/>
      <c r="CC17" s="119"/>
      <c r="CD17" s="119"/>
      <c r="CE17" s="119"/>
      <c r="CF17" s="119"/>
      <c r="CG17" s="119"/>
      <c r="CH17" s="119"/>
      <c r="CI17" s="119"/>
      <c r="CJ17" s="119"/>
      <c r="CK17" s="119"/>
      <c r="CL17" s="119"/>
      <c r="CM17" s="119"/>
      <c r="CN17" s="119"/>
      <c r="CO17" s="119"/>
      <c r="CP17" s="119"/>
      <c r="CQ17" s="119"/>
      <c r="CR17" s="119"/>
      <c r="CS17" s="119"/>
      <c r="CT17" s="119"/>
      <c r="CU17" s="119"/>
      <c r="CV17" s="119"/>
      <c r="CW17" s="119"/>
      <c r="CX17" s="119"/>
      <c r="CY17" s="119"/>
      <c r="CZ17" s="119"/>
      <c r="DA17" s="119"/>
      <c r="DB17" s="119"/>
      <c r="DC17" s="119"/>
      <c r="DD17" s="119"/>
      <c r="DE17" s="119"/>
      <c r="DF17" s="119"/>
      <c r="DG17" s="119"/>
      <c r="DH17" s="119"/>
      <c r="DI17" s="119"/>
      <c r="DJ17" s="119"/>
      <c r="DK17" s="119"/>
      <c r="DL17" s="119"/>
      <c r="DM17" s="119"/>
      <c r="DN17" s="119"/>
      <c r="DO17" s="119"/>
      <c r="DP17" s="119"/>
      <c r="DQ17" s="119"/>
      <c r="DR17" s="119" t="s">
        <v>1317</v>
      </c>
      <c r="DS17" s="119"/>
      <c r="DT17" s="119"/>
      <c r="DU17" s="119"/>
      <c r="DV17" s="119"/>
      <c r="DW17" s="119"/>
      <c r="DX17" s="119"/>
      <c r="DY17" s="119"/>
      <c r="DZ17" s="119"/>
      <c r="EA17" s="119"/>
      <c r="EB17" s="119"/>
      <c r="EC17" s="119"/>
      <c r="ED17" s="119"/>
      <c r="EE17" s="119"/>
      <c r="EF17" s="119"/>
      <c r="EG17" s="119"/>
      <c r="EH17" s="119"/>
      <c r="EI17" s="119"/>
      <c r="EJ17" s="119"/>
      <c r="EK17" s="119"/>
      <c r="EL17" s="119"/>
      <c r="EM17" s="119"/>
      <c r="EN17" s="119"/>
      <c r="EO17" s="119"/>
      <c r="EP17" s="119"/>
      <c r="EQ17" s="119"/>
      <c r="ER17" s="119"/>
      <c r="ES17" s="119"/>
    </row>
    <row r="18" spans="1:149" ht="29">
      <c r="A18" s="119"/>
      <c r="B18" s="119" t="s">
        <v>1314</v>
      </c>
      <c r="C18" s="541" t="s">
        <v>1328</v>
      </c>
      <c r="D18" s="7">
        <v>2026</v>
      </c>
      <c r="E18" s="7">
        <v>2026</v>
      </c>
      <c r="F18" s="91"/>
      <c r="G18" s="119"/>
      <c r="H18" s="119"/>
      <c r="I18" s="119"/>
      <c r="J18" s="119"/>
      <c r="K18" s="119"/>
      <c r="L18" s="119"/>
      <c r="M18" s="119"/>
      <c r="N18" s="119"/>
      <c r="O18" s="558"/>
      <c r="P18" s="559"/>
      <c r="Q18" s="559"/>
      <c r="R18" s="546">
        <v>46166</v>
      </c>
      <c r="S18" s="548">
        <v>46167</v>
      </c>
      <c r="T18" s="548">
        <v>46199</v>
      </c>
      <c r="U18" s="547"/>
      <c r="V18" s="547"/>
      <c r="W18" s="547"/>
      <c r="X18" s="547"/>
      <c r="Y18" s="547"/>
      <c r="Z18" s="547"/>
      <c r="AA18" s="548">
        <v>46200</v>
      </c>
      <c r="AB18" s="548">
        <v>46234</v>
      </c>
      <c r="AC18" s="119"/>
      <c r="AD18" s="119"/>
      <c r="AE18" s="119"/>
      <c r="AF18" s="119"/>
      <c r="AG18" s="119"/>
      <c r="AH18" s="119"/>
      <c r="AI18" s="119"/>
      <c r="AJ18" s="119"/>
      <c r="AK18" s="119"/>
      <c r="AL18" s="119"/>
      <c r="AM18" s="119"/>
      <c r="AN18" s="119"/>
      <c r="AO18" s="119"/>
      <c r="AP18" s="119"/>
      <c r="AQ18" s="119"/>
      <c r="AR18" s="119"/>
      <c r="AS18" s="119"/>
      <c r="AT18" s="119"/>
      <c r="AU18" s="119"/>
      <c r="AV18" s="119"/>
      <c r="AW18" s="119"/>
      <c r="AX18" s="119"/>
      <c r="AY18" s="119"/>
      <c r="AZ18" s="119"/>
      <c r="BA18" s="119"/>
      <c r="BB18" s="119"/>
      <c r="BC18" s="119"/>
      <c r="BD18" s="119"/>
      <c r="BE18" s="119"/>
      <c r="BF18" s="119"/>
      <c r="BG18" s="119"/>
      <c r="BH18" s="119"/>
      <c r="BI18" s="119"/>
      <c r="BJ18" s="119"/>
      <c r="BK18" s="119"/>
      <c r="BL18" s="119"/>
      <c r="BM18" s="119"/>
      <c r="BN18" s="119"/>
      <c r="BO18" s="119"/>
      <c r="BP18" s="119"/>
      <c r="BQ18" s="119"/>
      <c r="BR18" s="119"/>
      <c r="BS18" s="119"/>
      <c r="BT18" s="119"/>
      <c r="BU18" s="119"/>
      <c r="BV18" s="119"/>
      <c r="BW18" s="119"/>
      <c r="BX18" s="119"/>
      <c r="BY18" s="119"/>
      <c r="BZ18" s="119"/>
      <c r="CA18" s="119"/>
      <c r="CB18" s="119"/>
      <c r="CC18" s="119"/>
      <c r="CD18" s="119"/>
      <c r="CE18" s="119"/>
      <c r="CF18" s="119"/>
      <c r="CG18" s="119"/>
      <c r="CH18" s="119"/>
      <c r="CI18" s="119"/>
      <c r="CJ18" s="119"/>
      <c r="CK18" s="119"/>
      <c r="CL18" s="119"/>
      <c r="CM18" s="119"/>
      <c r="CN18" s="119"/>
      <c r="CO18" s="119"/>
      <c r="CP18" s="119"/>
      <c r="CQ18" s="119"/>
      <c r="CR18" s="119"/>
      <c r="CS18" s="119"/>
      <c r="CT18" s="119"/>
      <c r="CU18" s="119"/>
      <c r="CV18" s="119"/>
      <c r="CW18" s="119"/>
      <c r="CX18" s="119"/>
      <c r="CY18" s="119"/>
      <c r="CZ18" s="119"/>
      <c r="DA18" s="119"/>
      <c r="DB18" s="119"/>
      <c r="DC18" s="119"/>
      <c r="DD18" s="119"/>
      <c r="DE18" s="119"/>
      <c r="DF18" s="119"/>
      <c r="DG18" s="119"/>
      <c r="DH18" s="119"/>
      <c r="DI18" s="119"/>
      <c r="DJ18" s="119"/>
      <c r="DK18" s="119"/>
      <c r="DL18" s="119"/>
      <c r="DM18" s="119"/>
      <c r="DN18" s="119"/>
      <c r="DO18" s="119"/>
      <c r="DP18" s="119"/>
      <c r="DQ18" s="119"/>
      <c r="DR18" s="119" t="s">
        <v>1317</v>
      </c>
      <c r="DS18" s="119"/>
      <c r="DT18" s="119"/>
      <c r="DU18" s="119"/>
      <c r="DV18" s="119"/>
      <c r="DW18" s="119"/>
      <c r="DX18" s="119"/>
      <c r="DY18" s="119"/>
      <c r="DZ18" s="119"/>
      <c r="EA18" s="119"/>
      <c r="EB18" s="119"/>
      <c r="EC18" s="119"/>
      <c r="ED18" s="119"/>
      <c r="EE18" s="119"/>
      <c r="EF18" s="119"/>
      <c r="EG18" s="119"/>
      <c r="EH18" s="119"/>
      <c r="EI18" s="119"/>
      <c r="EJ18" s="119"/>
      <c r="EK18" s="119"/>
      <c r="EL18" s="119"/>
      <c r="EM18" s="119"/>
      <c r="EN18" s="119"/>
      <c r="EO18" s="119"/>
      <c r="EP18" s="119"/>
      <c r="EQ18" s="119"/>
      <c r="ER18" s="119"/>
      <c r="ES18" s="119"/>
    </row>
    <row r="19" spans="1:149" ht="29">
      <c r="A19" s="119"/>
      <c r="B19" s="119" t="s">
        <v>1314</v>
      </c>
      <c r="C19" s="119" t="s">
        <v>1329</v>
      </c>
      <c r="D19" s="7">
        <v>2026</v>
      </c>
      <c r="E19" s="7">
        <v>2029</v>
      </c>
      <c r="F19" s="91" t="s">
        <v>1308</v>
      </c>
      <c r="G19" s="119"/>
      <c r="H19" s="119"/>
      <c r="I19" s="119"/>
      <c r="J19" s="119"/>
      <c r="K19" s="119"/>
      <c r="L19" s="119"/>
      <c r="M19" s="119"/>
      <c r="N19" s="119"/>
      <c r="O19" s="572"/>
      <c r="P19" s="572"/>
      <c r="Q19" s="572"/>
      <c r="R19" s="572"/>
      <c r="S19" s="572"/>
      <c r="T19" s="572"/>
      <c r="U19" s="148"/>
      <c r="V19" s="148"/>
      <c r="W19" s="148"/>
      <c r="X19" s="148"/>
      <c r="Y19" s="148"/>
      <c r="Z19" s="148"/>
      <c r="AA19" s="572"/>
      <c r="AB19" s="572"/>
      <c r="AC19" s="119"/>
      <c r="AD19" s="119"/>
      <c r="AE19" s="119"/>
      <c r="AF19" s="119"/>
      <c r="AG19" s="119"/>
      <c r="AH19" s="119"/>
      <c r="AI19" s="119"/>
      <c r="AJ19" s="119"/>
      <c r="AK19" s="119"/>
      <c r="AL19" s="119"/>
      <c r="AM19" s="119"/>
      <c r="AN19" s="119"/>
      <c r="AO19" s="119"/>
      <c r="AP19" s="119"/>
      <c r="AQ19" s="119"/>
      <c r="AR19" s="119"/>
      <c r="AS19" s="119"/>
      <c r="AT19" s="119"/>
      <c r="AU19" s="119"/>
      <c r="AV19" s="119"/>
      <c r="AW19" s="119"/>
      <c r="AX19" s="119"/>
      <c r="AY19" s="119"/>
      <c r="AZ19" s="119"/>
      <c r="BA19" s="119"/>
      <c r="BB19" s="119"/>
      <c r="BC19" s="119"/>
      <c r="BD19" s="119"/>
      <c r="BE19" s="119"/>
      <c r="BF19" s="119"/>
      <c r="BG19" s="119"/>
      <c r="BH19" s="119"/>
      <c r="BI19" s="119"/>
      <c r="BJ19" s="119"/>
      <c r="BK19" s="119"/>
      <c r="BL19" s="119"/>
      <c r="BM19" s="119"/>
      <c r="BN19" s="119"/>
      <c r="BO19" s="119"/>
      <c r="BP19" s="119"/>
      <c r="BQ19" s="119"/>
      <c r="BR19" s="119"/>
      <c r="BS19" s="119"/>
      <c r="BT19" s="119"/>
      <c r="BU19" s="119"/>
      <c r="BV19" s="119"/>
      <c r="BW19" s="119"/>
      <c r="BX19" s="119"/>
      <c r="BY19" s="119"/>
      <c r="BZ19" s="119"/>
      <c r="CA19" s="119"/>
      <c r="CB19" s="119"/>
      <c r="CC19" s="119"/>
      <c r="CD19" s="119"/>
      <c r="CE19" s="119"/>
      <c r="CF19" s="119"/>
      <c r="CG19" s="119"/>
      <c r="CH19" s="119"/>
      <c r="CI19" s="119"/>
      <c r="CJ19" s="119"/>
      <c r="CK19" s="119"/>
      <c r="CL19" s="119"/>
      <c r="CM19" s="119"/>
      <c r="CN19" s="119"/>
      <c r="CO19" s="119"/>
      <c r="CP19" s="119"/>
      <c r="CQ19" s="119"/>
      <c r="CR19" s="119"/>
      <c r="CS19" s="119"/>
      <c r="CT19" s="119"/>
      <c r="CU19" s="119"/>
      <c r="CV19" s="119"/>
      <c r="CW19" s="119"/>
      <c r="CX19" s="119"/>
      <c r="CY19" s="119"/>
      <c r="CZ19" s="119"/>
      <c r="DA19" s="119"/>
      <c r="DB19" s="119"/>
      <c r="DC19" s="119"/>
      <c r="DD19" s="119"/>
      <c r="DE19" s="119"/>
      <c r="DF19" s="119"/>
      <c r="DG19" s="119"/>
      <c r="DH19" s="119"/>
      <c r="DI19" s="119"/>
      <c r="DJ19" s="119"/>
      <c r="DK19" s="119"/>
      <c r="DL19" s="119"/>
      <c r="DM19" s="119"/>
      <c r="DN19" s="119"/>
      <c r="DO19" s="119"/>
      <c r="DP19" s="119"/>
      <c r="DQ19" s="119"/>
      <c r="DR19" s="119" t="s">
        <v>1330</v>
      </c>
      <c r="DS19" s="119"/>
      <c r="DT19" s="119"/>
      <c r="DU19" s="119"/>
      <c r="DV19" s="119"/>
      <c r="DW19" s="119"/>
      <c r="DX19" s="119"/>
      <c r="DY19" s="119"/>
      <c r="DZ19" s="119"/>
      <c r="EA19" s="119"/>
      <c r="EB19" s="119"/>
      <c r="EC19" s="119"/>
      <c r="ED19" s="119"/>
      <c r="EE19" s="119"/>
      <c r="EF19" s="119"/>
      <c r="EG19" s="119"/>
      <c r="EH19" s="119"/>
      <c r="EI19" s="119"/>
      <c r="EJ19" s="119"/>
      <c r="EK19" s="119"/>
      <c r="EL19" s="119"/>
      <c r="EM19" s="119"/>
      <c r="EN19" s="119"/>
      <c r="EO19" s="119"/>
      <c r="EP19" s="119"/>
      <c r="EQ19" s="119"/>
      <c r="ER19" s="119"/>
      <c r="ES19" s="119"/>
    </row>
    <row r="20" spans="1:149" ht="29">
      <c r="A20" s="119"/>
      <c r="B20" s="119" t="s">
        <v>1314</v>
      </c>
      <c r="C20" s="119" t="s">
        <v>1331</v>
      </c>
      <c r="D20" s="7">
        <v>2028</v>
      </c>
      <c r="E20" s="7">
        <v>2029</v>
      </c>
      <c r="F20" s="91" t="s">
        <v>1308</v>
      </c>
      <c r="G20" s="119"/>
      <c r="H20" s="119"/>
      <c r="I20" s="119"/>
      <c r="J20" s="119"/>
      <c r="K20" s="119"/>
      <c r="L20" s="119"/>
      <c r="M20" s="119"/>
      <c r="N20" s="119"/>
      <c r="O20" s="88"/>
      <c r="P20" s="119"/>
      <c r="Q20" s="119"/>
      <c r="R20" s="119"/>
      <c r="S20" s="119"/>
      <c r="T20" s="119"/>
      <c r="U20" s="119"/>
      <c r="V20" s="119"/>
      <c r="W20" s="119"/>
      <c r="X20" s="119"/>
      <c r="Y20" s="119"/>
      <c r="Z20" s="119"/>
      <c r="AA20" s="119"/>
      <c r="AB20" s="119"/>
      <c r="AC20" s="119"/>
      <c r="AD20" s="119"/>
      <c r="AE20" s="119"/>
      <c r="AF20" s="119"/>
      <c r="AG20" s="119"/>
      <c r="AH20" s="119"/>
      <c r="AI20" s="119"/>
      <c r="AJ20" s="119"/>
      <c r="AK20" s="119"/>
      <c r="AL20" s="119"/>
      <c r="AM20" s="119"/>
      <c r="AN20" s="119"/>
      <c r="AO20" s="119"/>
      <c r="AP20" s="119"/>
      <c r="AQ20" s="119"/>
      <c r="AR20" s="119"/>
      <c r="AS20" s="119"/>
      <c r="AT20" s="119"/>
      <c r="AU20" s="119"/>
      <c r="AV20" s="119"/>
      <c r="AW20" s="119"/>
      <c r="AX20" s="119"/>
      <c r="AY20" s="119"/>
      <c r="AZ20" s="119"/>
      <c r="BA20" s="119"/>
      <c r="BB20" s="119"/>
      <c r="BC20" s="119"/>
      <c r="BD20" s="119"/>
      <c r="BE20" s="119"/>
      <c r="BF20" s="119"/>
      <c r="BG20" s="119"/>
      <c r="BH20" s="119"/>
      <c r="BI20" s="119"/>
      <c r="BJ20" s="119"/>
      <c r="BK20" s="119"/>
      <c r="BL20" s="119"/>
      <c r="BM20" s="119"/>
      <c r="BN20" s="119"/>
      <c r="BO20" s="119"/>
      <c r="BP20" s="119"/>
      <c r="BQ20" s="119"/>
      <c r="BR20" s="119"/>
      <c r="BS20" s="119"/>
      <c r="BT20" s="119"/>
      <c r="BU20" s="119"/>
      <c r="BV20" s="119"/>
      <c r="BW20" s="119"/>
      <c r="BX20" s="119"/>
      <c r="BY20" s="119"/>
      <c r="BZ20" s="119"/>
      <c r="CA20" s="119"/>
      <c r="CB20" s="119"/>
      <c r="CC20" s="119"/>
      <c r="CD20" s="119"/>
      <c r="CE20" s="119"/>
      <c r="CF20" s="119"/>
      <c r="CG20" s="119"/>
      <c r="CH20" s="119"/>
      <c r="CI20" s="119"/>
      <c r="CJ20" s="119"/>
      <c r="CK20" s="119"/>
      <c r="CL20" s="119"/>
      <c r="CM20" s="119"/>
      <c r="CN20" s="119"/>
      <c r="CO20" s="119"/>
      <c r="CP20" s="119"/>
      <c r="CQ20" s="119"/>
      <c r="CR20" s="119"/>
      <c r="CS20" s="119"/>
      <c r="CT20" s="119"/>
      <c r="CU20" s="119"/>
      <c r="CV20" s="119"/>
      <c r="CW20" s="119"/>
      <c r="CX20" s="119"/>
      <c r="CY20" s="119"/>
      <c r="CZ20" s="119"/>
      <c r="DA20" s="119"/>
      <c r="DB20" s="119"/>
      <c r="DC20" s="119"/>
      <c r="DD20" s="119"/>
      <c r="DE20" s="119"/>
      <c r="DF20" s="119"/>
      <c r="DG20" s="119"/>
      <c r="DH20" s="119"/>
      <c r="DI20" s="119"/>
      <c r="DJ20" s="119"/>
      <c r="DK20" s="119"/>
      <c r="DL20" s="119"/>
      <c r="DM20" s="119"/>
      <c r="DN20" s="119"/>
      <c r="DO20" s="119"/>
      <c r="DP20" s="119"/>
      <c r="DQ20" s="119"/>
      <c r="DR20" s="119" t="s">
        <v>1322</v>
      </c>
      <c r="DS20" s="119"/>
      <c r="DT20" s="119"/>
      <c r="DU20" s="119"/>
      <c r="DV20" s="119"/>
      <c r="DW20" s="119"/>
      <c r="DX20" s="119"/>
      <c r="DY20" s="119"/>
      <c r="DZ20" s="119"/>
      <c r="EA20" s="119"/>
      <c r="EB20" s="119"/>
      <c r="EC20" s="119"/>
      <c r="ED20" s="119"/>
      <c r="EE20" s="119"/>
      <c r="EF20" s="119"/>
      <c r="EG20" s="119"/>
      <c r="EH20" s="119"/>
      <c r="EI20" s="119"/>
      <c r="EJ20" s="119"/>
      <c r="EK20" s="119"/>
      <c r="EL20" s="119"/>
      <c r="EM20" s="119"/>
      <c r="EN20" s="119"/>
      <c r="EO20" s="119"/>
      <c r="EP20" s="119"/>
      <c r="EQ20" s="119"/>
      <c r="ER20" s="119"/>
      <c r="ES20" s="119"/>
    </row>
    <row r="21" spans="1:149">
      <c r="A21" s="119" t="s">
        <v>1332</v>
      </c>
      <c r="B21" s="119" t="s">
        <v>1333</v>
      </c>
      <c r="C21" s="119" t="s">
        <v>1333</v>
      </c>
      <c r="D21" s="7">
        <v>2025</v>
      </c>
      <c r="E21" s="7">
        <v>2029</v>
      </c>
      <c r="F21" s="91" t="s">
        <v>1308</v>
      </c>
      <c r="G21" s="119"/>
      <c r="H21" s="119"/>
      <c r="I21" s="119"/>
      <c r="J21" s="119"/>
      <c r="K21" s="119"/>
      <c r="L21" s="119"/>
      <c r="M21" s="119"/>
      <c r="N21" s="119"/>
      <c r="O21" s="88"/>
      <c r="P21" s="119"/>
      <c r="Q21" s="119"/>
      <c r="R21" s="119"/>
      <c r="S21" s="119"/>
      <c r="T21" s="119"/>
      <c r="U21" s="119"/>
      <c r="V21" s="119"/>
      <c r="W21" s="119"/>
      <c r="X21" s="119"/>
      <c r="Y21" s="119"/>
      <c r="Z21" s="119"/>
      <c r="AA21" s="119"/>
      <c r="AB21" s="119"/>
      <c r="AC21" s="119"/>
      <c r="AD21" s="119"/>
      <c r="AE21" s="119"/>
      <c r="AF21" s="119"/>
      <c r="AG21" s="119"/>
      <c r="AH21" s="119"/>
      <c r="AI21" s="119"/>
      <c r="AJ21" s="119"/>
      <c r="AK21" s="119"/>
      <c r="AL21" s="119"/>
      <c r="AM21" s="119"/>
      <c r="AN21" s="119"/>
      <c r="AO21" s="119"/>
      <c r="AP21" s="119"/>
      <c r="AQ21" s="119"/>
      <c r="AR21" s="119"/>
      <c r="AS21" s="119"/>
      <c r="AT21" s="119"/>
      <c r="AU21" s="119"/>
      <c r="AV21" s="119"/>
      <c r="AW21" s="119"/>
      <c r="AX21" s="119"/>
      <c r="AY21" s="119"/>
      <c r="AZ21" s="119"/>
      <c r="BA21" s="119"/>
      <c r="BB21" s="119"/>
      <c r="BC21" s="119"/>
      <c r="BD21" s="119"/>
      <c r="BE21" s="119"/>
      <c r="BF21" s="119"/>
      <c r="BG21" s="119"/>
      <c r="BH21" s="119"/>
      <c r="BI21" s="119"/>
      <c r="BJ21" s="119"/>
      <c r="BK21" s="119"/>
      <c r="BL21" s="119"/>
      <c r="BM21" s="119"/>
      <c r="BN21" s="119"/>
      <c r="BO21" s="119"/>
      <c r="BP21" s="119"/>
      <c r="BQ21" s="119"/>
      <c r="BR21" s="119"/>
      <c r="BS21" s="119"/>
      <c r="BT21" s="119"/>
      <c r="BU21" s="119"/>
      <c r="BV21" s="119"/>
      <c r="BW21" s="119"/>
      <c r="BX21" s="119"/>
      <c r="BY21" s="119"/>
      <c r="BZ21" s="119"/>
      <c r="CA21" s="119"/>
      <c r="CB21" s="119"/>
      <c r="CC21" s="119"/>
      <c r="CD21" s="119"/>
      <c r="CE21" s="119"/>
      <c r="CF21" s="119"/>
      <c r="CG21" s="119"/>
      <c r="CH21" s="119"/>
      <c r="CI21" s="119"/>
      <c r="CJ21" s="119"/>
      <c r="CK21" s="119"/>
      <c r="CL21" s="119"/>
      <c r="CM21" s="119"/>
      <c r="CN21" s="119"/>
      <c r="CO21" s="119"/>
      <c r="CP21" s="119"/>
      <c r="CQ21" s="119"/>
      <c r="CR21" s="119"/>
      <c r="CS21" s="119"/>
      <c r="CT21" s="119"/>
      <c r="CU21" s="119"/>
      <c r="CV21" s="119"/>
      <c r="CW21" s="119"/>
      <c r="CX21" s="119"/>
      <c r="CY21" s="119"/>
      <c r="CZ21" s="119"/>
      <c r="DA21" s="119"/>
      <c r="DB21" s="119"/>
      <c r="DC21" s="119"/>
      <c r="DD21" s="119"/>
      <c r="DE21" s="119"/>
      <c r="DF21" s="119"/>
      <c r="DG21" s="119"/>
      <c r="DH21" s="119"/>
      <c r="DI21" s="119"/>
      <c r="DJ21" s="119"/>
      <c r="DK21" s="119"/>
      <c r="DL21" s="119"/>
      <c r="DM21" s="119"/>
      <c r="DN21" s="119"/>
      <c r="DO21" s="119"/>
      <c r="DP21" s="119"/>
      <c r="DQ21" s="119"/>
      <c r="DR21" s="119"/>
      <c r="DS21" s="119"/>
      <c r="DT21" s="119"/>
      <c r="DU21" s="119"/>
      <c r="DV21" s="119"/>
      <c r="DW21" s="119"/>
      <c r="DX21" s="119"/>
      <c r="DY21" s="119"/>
      <c r="DZ21" s="119"/>
      <c r="EA21" s="119"/>
      <c r="EB21" s="119"/>
      <c r="EC21" s="119"/>
      <c r="ED21" s="119"/>
      <c r="EE21" s="119"/>
      <c r="EF21" s="119"/>
      <c r="EG21" s="119"/>
      <c r="EH21" s="119"/>
      <c r="EI21" s="119"/>
      <c r="EJ21" s="119"/>
      <c r="EK21" s="119"/>
      <c r="EL21" s="119"/>
      <c r="EM21" s="119"/>
      <c r="EN21" s="119"/>
      <c r="EO21" s="119"/>
      <c r="EP21" s="119"/>
      <c r="EQ21" s="119"/>
      <c r="ER21" s="119"/>
      <c r="ES21" s="119"/>
    </row>
    <row r="22" spans="1:149" ht="54.75" customHeight="1">
      <c r="A22" s="119"/>
      <c r="B22" s="119" t="s">
        <v>1333</v>
      </c>
      <c r="C22" s="541" t="s">
        <v>1334</v>
      </c>
      <c r="D22" s="7">
        <v>2026</v>
      </c>
      <c r="E22" s="7">
        <v>2026</v>
      </c>
      <c r="F22" s="91"/>
      <c r="G22" s="119"/>
      <c r="H22" s="119"/>
      <c r="I22" s="119"/>
      <c r="J22" s="119"/>
      <c r="K22" s="119"/>
      <c r="L22" s="119"/>
      <c r="M22" s="119"/>
      <c r="N22" s="119"/>
      <c r="O22" s="542">
        <v>46111</v>
      </c>
      <c r="P22" s="539">
        <v>46142</v>
      </c>
      <c r="Q22" s="539">
        <v>46143</v>
      </c>
      <c r="R22" s="539">
        <v>46262</v>
      </c>
      <c r="S22" s="999" t="s">
        <v>1335</v>
      </c>
      <c r="T22" s="1000"/>
      <c r="U22" s="1000"/>
      <c r="V22" s="1000"/>
      <c r="W22" s="1000"/>
      <c r="X22" s="1000"/>
      <c r="Y22" s="1000"/>
      <c r="Z22" s="1000"/>
      <c r="AA22" s="1000"/>
      <c r="AB22" s="1001"/>
      <c r="AC22" s="119"/>
      <c r="AD22" s="119"/>
      <c r="AE22" s="119"/>
      <c r="AF22" s="119"/>
      <c r="AG22" s="119"/>
      <c r="AH22" s="119"/>
      <c r="AI22" s="119"/>
      <c r="AJ22" s="119"/>
      <c r="AK22" s="119"/>
      <c r="AL22" s="119"/>
      <c r="AM22" s="119"/>
      <c r="AN22" s="119"/>
      <c r="AO22" s="119"/>
      <c r="AP22" s="119"/>
      <c r="AQ22" s="119"/>
      <c r="AR22" s="119"/>
      <c r="AS22" s="119"/>
      <c r="AT22" s="119"/>
      <c r="AU22" s="119"/>
      <c r="AV22" s="119"/>
      <c r="AW22" s="119"/>
      <c r="AX22" s="119"/>
      <c r="AY22" s="119"/>
      <c r="AZ22" s="119"/>
      <c r="BA22" s="119"/>
      <c r="BB22" s="119"/>
      <c r="BC22" s="119"/>
      <c r="BD22" s="119"/>
      <c r="BE22" s="119"/>
      <c r="BF22" s="119"/>
      <c r="BG22" s="119"/>
      <c r="BH22" s="119"/>
      <c r="BI22" s="119"/>
      <c r="BJ22" s="119"/>
      <c r="BK22" s="119"/>
      <c r="BL22" s="119"/>
      <c r="BM22" s="119"/>
      <c r="BN22" s="119"/>
      <c r="BO22" s="119"/>
      <c r="BP22" s="119"/>
      <c r="BQ22" s="119"/>
      <c r="BR22" s="119"/>
      <c r="BS22" s="119"/>
      <c r="BT22" s="119"/>
      <c r="BU22" s="119"/>
      <c r="BV22" s="119"/>
      <c r="BW22" s="119"/>
      <c r="BX22" s="119"/>
      <c r="BY22" s="119"/>
      <c r="BZ22" s="119"/>
      <c r="CA22" s="119"/>
      <c r="CB22" s="119"/>
      <c r="CC22" s="119"/>
      <c r="CD22" s="119"/>
      <c r="CE22" s="119"/>
      <c r="CF22" s="119"/>
      <c r="CG22" s="119"/>
      <c r="CH22" s="119"/>
      <c r="CI22" s="119"/>
      <c r="CJ22" s="119"/>
      <c r="CK22" s="119"/>
      <c r="CL22" s="119"/>
      <c r="CM22" s="119"/>
      <c r="CN22" s="119"/>
      <c r="CO22" s="119"/>
      <c r="CP22" s="119"/>
      <c r="CQ22" s="119"/>
      <c r="CR22" s="119"/>
      <c r="CS22" s="119"/>
      <c r="CT22" s="119"/>
      <c r="CU22" s="119"/>
      <c r="CV22" s="119"/>
      <c r="CW22" s="119"/>
      <c r="CX22" s="119"/>
      <c r="CY22" s="119"/>
      <c r="CZ22" s="119"/>
      <c r="DA22" s="119"/>
      <c r="DB22" s="119"/>
      <c r="DC22" s="119"/>
      <c r="DD22" s="119"/>
      <c r="DE22" s="119"/>
      <c r="DF22" s="119"/>
      <c r="DG22" s="119"/>
      <c r="DH22" s="119"/>
      <c r="DI22" s="119"/>
      <c r="DJ22" s="119"/>
      <c r="DK22" s="119"/>
      <c r="DL22" s="119"/>
      <c r="DM22" s="119"/>
      <c r="DN22" s="119"/>
      <c r="DO22" s="119"/>
      <c r="DP22" s="119"/>
      <c r="DQ22" s="119"/>
      <c r="DR22" s="119" t="s">
        <v>1317</v>
      </c>
      <c r="DS22" s="119"/>
      <c r="DT22" s="119"/>
      <c r="DU22" s="119"/>
      <c r="DV22" s="119"/>
      <c r="DW22" s="119"/>
      <c r="DX22" s="119"/>
      <c r="DY22" s="119"/>
      <c r="DZ22" s="119"/>
      <c r="EA22" s="119"/>
      <c r="EB22" s="119"/>
      <c r="EC22" s="119"/>
      <c r="ED22" s="119"/>
      <c r="EE22" s="119"/>
      <c r="EF22" s="119"/>
      <c r="EG22" s="119"/>
      <c r="EH22" s="119"/>
      <c r="EI22" s="119"/>
      <c r="EJ22" s="119"/>
      <c r="EK22" s="119"/>
      <c r="EL22" s="119"/>
      <c r="EM22" s="119"/>
      <c r="EN22" s="119"/>
      <c r="EO22" s="119"/>
      <c r="EP22" s="119"/>
      <c r="EQ22" s="119"/>
      <c r="ER22" s="119"/>
      <c r="ES22" s="119"/>
    </row>
    <row r="23" spans="1:149" ht="29">
      <c r="A23" s="119"/>
      <c r="B23" s="119" t="s">
        <v>1333</v>
      </c>
      <c r="C23" s="541" t="s">
        <v>1336</v>
      </c>
      <c r="D23" s="7">
        <v>2026</v>
      </c>
      <c r="E23" s="7">
        <v>2026</v>
      </c>
      <c r="F23" s="91"/>
      <c r="G23" s="119"/>
      <c r="H23" s="119"/>
      <c r="I23" s="119"/>
      <c r="J23" s="119"/>
      <c r="K23" s="119"/>
      <c r="L23" s="119"/>
      <c r="M23" s="119"/>
      <c r="N23" s="119"/>
      <c r="O23" s="542">
        <v>46055</v>
      </c>
      <c r="P23" s="539">
        <v>46083</v>
      </c>
      <c r="Q23" s="539">
        <v>46084</v>
      </c>
      <c r="R23" s="539">
        <v>46203</v>
      </c>
      <c r="S23" s="119"/>
      <c r="T23" s="119"/>
      <c r="U23" s="119"/>
      <c r="V23" s="119"/>
      <c r="W23" s="119"/>
      <c r="X23" s="119"/>
      <c r="Y23" s="119"/>
      <c r="Z23" s="119"/>
      <c r="AA23" s="545">
        <v>46203</v>
      </c>
      <c r="AB23" s="545">
        <v>46234</v>
      </c>
      <c r="AC23" s="119"/>
      <c r="AD23" s="119"/>
      <c r="AE23" s="119"/>
      <c r="AF23" s="119"/>
      <c r="AG23" s="119"/>
      <c r="AH23" s="119"/>
      <c r="AI23" s="119"/>
      <c r="AJ23" s="119"/>
      <c r="AK23" s="119"/>
      <c r="AL23" s="119"/>
      <c r="AM23" s="119"/>
      <c r="AN23" s="119"/>
      <c r="AO23" s="119"/>
      <c r="AP23" s="119"/>
      <c r="AQ23" s="119"/>
      <c r="AR23" s="119"/>
      <c r="AS23" s="119"/>
      <c r="AT23" s="119"/>
      <c r="AU23" s="119"/>
      <c r="AV23" s="119"/>
      <c r="AW23" s="119"/>
      <c r="AX23" s="119"/>
      <c r="AY23" s="119"/>
      <c r="AZ23" s="119"/>
      <c r="BA23" s="119"/>
      <c r="BB23" s="119"/>
      <c r="BC23" s="119"/>
      <c r="BD23" s="119"/>
      <c r="BE23" s="119"/>
      <c r="BF23" s="119"/>
      <c r="BG23" s="119"/>
      <c r="BH23" s="119"/>
      <c r="BI23" s="119"/>
      <c r="BJ23" s="119"/>
      <c r="BK23" s="119"/>
      <c r="BL23" s="119"/>
      <c r="BM23" s="119"/>
      <c r="BN23" s="119"/>
      <c r="BO23" s="119"/>
      <c r="BP23" s="119"/>
      <c r="BQ23" s="119"/>
      <c r="BR23" s="119"/>
      <c r="BS23" s="119"/>
      <c r="BT23" s="119"/>
      <c r="BU23" s="119"/>
      <c r="BV23" s="119"/>
      <c r="BW23" s="119"/>
      <c r="BX23" s="119"/>
      <c r="BY23" s="119"/>
      <c r="BZ23" s="119"/>
      <c r="CA23" s="119"/>
      <c r="CB23" s="119"/>
      <c r="CC23" s="119"/>
      <c r="CD23" s="119"/>
      <c r="CE23" s="119"/>
      <c r="CF23" s="119"/>
      <c r="CG23" s="119"/>
      <c r="CH23" s="119"/>
      <c r="CI23" s="119"/>
      <c r="CJ23" s="119"/>
      <c r="CK23" s="119"/>
      <c r="CL23" s="119"/>
      <c r="CM23" s="119"/>
      <c r="CN23" s="119"/>
      <c r="CO23" s="119"/>
      <c r="CP23" s="119"/>
      <c r="CQ23" s="119"/>
      <c r="CR23" s="119"/>
      <c r="CS23" s="119"/>
      <c r="CT23" s="119"/>
      <c r="CU23" s="119"/>
      <c r="CV23" s="119"/>
      <c r="CW23" s="119"/>
      <c r="CX23" s="119"/>
      <c r="CY23" s="119"/>
      <c r="CZ23" s="119"/>
      <c r="DA23" s="119"/>
      <c r="DB23" s="119"/>
      <c r="DC23" s="119"/>
      <c r="DD23" s="119"/>
      <c r="DE23" s="119"/>
      <c r="DF23" s="119"/>
      <c r="DG23" s="119"/>
      <c r="DH23" s="119"/>
      <c r="DI23" s="119"/>
      <c r="DJ23" s="119"/>
      <c r="DK23" s="119"/>
      <c r="DL23" s="119"/>
      <c r="DM23" s="119"/>
      <c r="DN23" s="119"/>
      <c r="DO23" s="119"/>
      <c r="DP23" s="119"/>
      <c r="DQ23" s="119"/>
      <c r="DR23" s="119" t="s">
        <v>1317</v>
      </c>
      <c r="DS23" s="119"/>
      <c r="DT23" s="119"/>
      <c r="DU23" s="119"/>
      <c r="DV23" s="119"/>
      <c r="DW23" s="119"/>
      <c r="DX23" s="119"/>
      <c r="DY23" s="119"/>
      <c r="DZ23" s="119"/>
      <c r="EA23" s="119"/>
      <c r="EB23" s="119"/>
      <c r="EC23" s="119"/>
      <c r="ED23" s="119"/>
      <c r="EE23" s="119"/>
      <c r="EF23" s="119"/>
      <c r="EG23" s="119"/>
      <c r="EH23" s="119"/>
      <c r="EI23" s="119"/>
      <c r="EJ23" s="119"/>
      <c r="EK23" s="119"/>
      <c r="EL23" s="119"/>
      <c r="EM23" s="119"/>
      <c r="EN23" s="119"/>
      <c r="EO23" s="119"/>
      <c r="EP23" s="119"/>
      <c r="EQ23" s="119"/>
      <c r="ER23" s="119"/>
      <c r="ES23" s="119"/>
    </row>
    <row r="24" spans="1:149" ht="159.5">
      <c r="A24" s="119"/>
      <c r="B24" s="119" t="s">
        <v>1333</v>
      </c>
      <c r="C24" s="610" t="s">
        <v>1337</v>
      </c>
      <c r="D24" s="7">
        <v>2025</v>
      </c>
      <c r="E24" s="7">
        <v>2027</v>
      </c>
      <c r="F24" s="91"/>
      <c r="G24" s="119"/>
      <c r="H24" s="119"/>
      <c r="I24" s="119"/>
      <c r="J24" s="119"/>
      <c r="K24" s="119"/>
      <c r="L24" s="119"/>
      <c r="M24" s="119"/>
      <c r="N24" s="119"/>
      <c r="O24" s="539">
        <v>45937</v>
      </c>
      <c r="P24" s="539">
        <v>45968</v>
      </c>
      <c r="Q24" s="539">
        <v>45971</v>
      </c>
      <c r="R24" s="539">
        <v>46101</v>
      </c>
      <c r="S24" s="545">
        <v>46112</v>
      </c>
      <c r="T24" s="88" t="s">
        <v>1338</v>
      </c>
      <c r="U24" s="119"/>
      <c r="V24" s="119"/>
      <c r="W24" s="119"/>
      <c r="X24" s="119"/>
      <c r="Y24" s="119"/>
      <c r="Z24" s="119"/>
      <c r="AA24" s="545">
        <v>46328</v>
      </c>
      <c r="AB24" s="545">
        <v>46416</v>
      </c>
      <c r="AC24" s="119"/>
      <c r="AD24" s="119"/>
      <c r="AE24" s="119"/>
      <c r="AF24" s="119"/>
      <c r="AG24" s="119"/>
      <c r="AH24" s="119"/>
      <c r="AI24" s="119"/>
      <c r="AJ24" s="119"/>
      <c r="AK24" s="119"/>
      <c r="AL24" s="119"/>
      <c r="AM24" s="119"/>
      <c r="AN24" s="119"/>
      <c r="AO24" s="119"/>
      <c r="AP24" s="119"/>
      <c r="AQ24" s="119"/>
      <c r="AR24" s="119"/>
      <c r="AS24" s="119"/>
      <c r="AT24" s="119"/>
      <c r="AU24" s="119"/>
      <c r="AV24" s="119"/>
      <c r="AW24" s="119"/>
      <c r="AX24" s="119"/>
      <c r="AY24" s="119"/>
      <c r="AZ24" s="119"/>
      <c r="BA24" s="119"/>
      <c r="BB24" s="119"/>
      <c r="BC24" s="119"/>
      <c r="BD24" s="119"/>
      <c r="BE24" s="119"/>
      <c r="BF24" s="119"/>
      <c r="BG24" s="119"/>
      <c r="BH24" s="119"/>
      <c r="BI24" s="119"/>
      <c r="BJ24" s="119"/>
      <c r="BK24" s="119"/>
      <c r="BL24" s="119"/>
      <c r="BM24" s="119"/>
      <c r="BN24" s="119"/>
      <c r="BO24" s="119"/>
      <c r="BP24" s="119"/>
      <c r="BQ24" s="119"/>
      <c r="BR24" s="119"/>
      <c r="BS24" s="119"/>
      <c r="BT24" s="119"/>
      <c r="BU24" s="119"/>
      <c r="BV24" s="119"/>
      <c r="BW24" s="119"/>
      <c r="BX24" s="119"/>
      <c r="BY24" s="119"/>
      <c r="BZ24" s="119"/>
      <c r="CA24" s="119"/>
      <c r="CB24" s="119"/>
      <c r="CC24" s="119"/>
      <c r="CD24" s="119"/>
      <c r="CE24" s="119"/>
      <c r="CF24" s="119"/>
      <c r="CG24" s="119"/>
      <c r="CH24" s="119"/>
      <c r="CI24" s="119"/>
      <c r="CJ24" s="119"/>
      <c r="CK24" s="119"/>
      <c r="CL24" s="119"/>
      <c r="CM24" s="119"/>
      <c r="CN24" s="119"/>
      <c r="CO24" s="119"/>
      <c r="CP24" s="119"/>
      <c r="CQ24" s="119"/>
      <c r="CR24" s="119"/>
      <c r="CS24" s="119"/>
      <c r="CT24" s="119"/>
      <c r="CU24" s="119"/>
      <c r="CV24" s="119"/>
      <c r="CW24" s="119"/>
      <c r="CX24" s="119"/>
      <c r="CY24" s="119"/>
      <c r="CZ24" s="119"/>
      <c r="DA24" s="119"/>
      <c r="DB24" s="119"/>
      <c r="DC24" s="119"/>
      <c r="DD24" s="119"/>
      <c r="DE24" s="119"/>
      <c r="DF24" s="119"/>
      <c r="DG24" s="119"/>
      <c r="DH24" s="119"/>
      <c r="DI24" s="119"/>
      <c r="DJ24" s="119"/>
      <c r="DK24" s="119"/>
      <c r="DL24" s="119"/>
      <c r="DM24" s="119"/>
      <c r="DN24" s="119"/>
      <c r="DO24" s="119"/>
      <c r="DP24" s="119"/>
      <c r="DQ24" s="119"/>
      <c r="DR24" s="569" t="s">
        <v>1623</v>
      </c>
      <c r="DS24" s="119"/>
      <c r="DT24" s="119"/>
      <c r="DU24" s="119"/>
      <c r="DV24" s="119"/>
      <c r="DW24" s="119"/>
      <c r="DX24" s="119"/>
      <c r="DY24" s="119"/>
      <c r="DZ24" s="119"/>
      <c r="EA24" s="119"/>
      <c r="EB24" s="119"/>
      <c r="EC24" s="119"/>
      <c r="ED24" s="119"/>
      <c r="EE24" s="119"/>
      <c r="EF24" s="119"/>
      <c r="EG24" s="119"/>
      <c r="EH24" s="119"/>
      <c r="EI24" s="119"/>
      <c r="EJ24" s="119"/>
      <c r="EK24" s="119"/>
      <c r="EL24" s="119"/>
      <c r="EM24" s="119"/>
      <c r="EN24" s="119"/>
      <c r="EO24" s="119"/>
      <c r="EP24" s="119"/>
      <c r="EQ24" s="119"/>
      <c r="ER24" s="119"/>
      <c r="ES24" s="119"/>
    </row>
    <row r="25" spans="1:149" ht="171" customHeight="1">
      <c r="A25" s="119"/>
      <c r="B25" s="119" t="s">
        <v>1333</v>
      </c>
      <c r="C25" s="610" t="s">
        <v>1339</v>
      </c>
      <c r="D25" s="7">
        <v>2025</v>
      </c>
      <c r="E25" s="7">
        <v>2026</v>
      </c>
      <c r="F25" s="91"/>
      <c r="G25" s="119"/>
      <c r="H25" s="119"/>
      <c r="I25" s="119"/>
      <c r="J25" s="119"/>
      <c r="K25" s="119"/>
      <c r="L25" s="119"/>
      <c r="M25" s="119"/>
      <c r="N25" s="119"/>
      <c r="O25" s="539">
        <v>45923</v>
      </c>
      <c r="P25" s="539">
        <v>45953</v>
      </c>
      <c r="Q25" s="539">
        <v>45954</v>
      </c>
      <c r="R25" s="539">
        <v>46094</v>
      </c>
      <c r="S25" s="545">
        <v>46097</v>
      </c>
      <c r="T25" s="545">
        <v>46112</v>
      </c>
      <c r="U25" s="119"/>
      <c r="V25" s="119"/>
      <c r="W25" s="119"/>
      <c r="X25" s="119"/>
      <c r="Y25" s="119"/>
      <c r="Z25" s="119"/>
      <c r="AA25" s="7" t="s">
        <v>1322</v>
      </c>
      <c r="AB25" s="7" t="s">
        <v>1322</v>
      </c>
      <c r="AC25" s="119"/>
      <c r="AD25" s="119"/>
      <c r="AE25" s="119"/>
      <c r="AF25" s="119"/>
      <c r="AG25" s="119"/>
      <c r="AH25" s="119"/>
      <c r="AI25" s="119"/>
      <c r="AJ25" s="119"/>
      <c r="AK25" s="119"/>
      <c r="AL25" s="119"/>
      <c r="AM25" s="119"/>
      <c r="AN25" s="119"/>
      <c r="AO25" s="119"/>
      <c r="AP25" s="119"/>
      <c r="AQ25" s="119"/>
      <c r="AR25" s="119"/>
      <c r="AS25" s="119"/>
      <c r="AT25" s="119"/>
      <c r="AU25" s="119"/>
      <c r="AV25" s="119"/>
      <c r="AW25" s="119"/>
      <c r="AX25" s="119"/>
      <c r="AY25" s="119"/>
      <c r="AZ25" s="119"/>
      <c r="BA25" s="119"/>
      <c r="BB25" s="119"/>
      <c r="BC25" s="119"/>
      <c r="BD25" s="119"/>
      <c r="BE25" s="119"/>
      <c r="BF25" s="119"/>
      <c r="BG25" s="119"/>
      <c r="BH25" s="119"/>
      <c r="BI25" s="119"/>
      <c r="BJ25" s="119"/>
      <c r="BK25" s="119"/>
      <c r="BL25" s="119"/>
      <c r="BM25" s="119"/>
      <c r="BN25" s="119"/>
      <c r="BO25" s="119"/>
      <c r="BP25" s="119"/>
      <c r="BQ25" s="119"/>
      <c r="BR25" s="119"/>
      <c r="BS25" s="119"/>
      <c r="BT25" s="119"/>
      <c r="BU25" s="119"/>
      <c r="BV25" s="119"/>
      <c r="BW25" s="119"/>
      <c r="BX25" s="119"/>
      <c r="BY25" s="119"/>
      <c r="BZ25" s="119"/>
      <c r="CA25" s="119"/>
      <c r="CB25" s="119"/>
      <c r="CC25" s="119"/>
      <c r="CD25" s="119"/>
      <c r="CE25" s="119"/>
      <c r="CF25" s="119"/>
      <c r="CG25" s="119"/>
      <c r="CH25" s="119"/>
      <c r="CI25" s="119"/>
      <c r="CJ25" s="119"/>
      <c r="CK25" s="119"/>
      <c r="CL25" s="119"/>
      <c r="CM25" s="119"/>
      <c r="CN25" s="119"/>
      <c r="CO25" s="119"/>
      <c r="CP25" s="119"/>
      <c r="CQ25" s="119"/>
      <c r="CR25" s="119"/>
      <c r="CS25" s="119"/>
      <c r="CT25" s="119"/>
      <c r="CU25" s="119"/>
      <c r="CV25" s="119"/>
      <c r="CW25" s="119"/>
      <c r="CX25" s="119"/>
      <c r="CY25" s="119"/>
      <c r="CZ25" s="119"/>
      <c r="DA25" s="119"/>
      <c r="DB25" s="119"/>
      <c r="DC25" s="119"/>
      <c r="DD25" s="119"/>
      <c r="DE25" s="119"/>
      <c r="DF25" s="119"/>
      <c r="DG25" s="119"/>
      <c r="DH25" s="119"/>
      <c r="DI25" s="119"/>
      <c r="DJ25" s="119"/>
      <c r="DK25" s="119"/>
      <c r="DL25" s="119"/>
      <c r="DM25" s="119"/>
      <c r="DN25" s="119"/>
      <c r="DO25" s="119"/>
      <c r="DP25" s="119"/>
      <c r="DQ25" s="119"/>
      <c r="DR25" s="569" t="s">
        <v>1624</v>
      </c>
      <c r="DS25" s="119"/>
      <c r="DT25" s="119"/>
      <c r="DU25" s="119"/>
      <c r="DV25" s="119"/>
      <c r="DW25" s="119"/>
      <c r="DX25" s="119"/>
      <c r="DY25" s="119"/>
      <c r="DZ25" s="119"/>
      <c r="EA25" s="119"/>
      <c r="EB25" s="119"/>
      <c r="EC25" s="119"/>
      <c r="ED25" s="119"/>
      <c r="EE25" s="119"/>
      <c r="EF25" s="119"/>
      <c r="EG25" s="119"/>
      <c r="EH25" s="119"/>
      <c r="EI25" s="119"/>
      <c r="EJ25" s="119"/>
      <c r="EK25" s="119"/>
      <c r="EL25" s="119"/>
      <c r="EM25" s="119"/>
      <c r="EN25" s="119"/>
      <c r="EO25" s="119"/>
      <c r="EP25" s="119"/>
      <c r="EQ25" s="119"/>
      <c r="ER25" s="119"/>
      <c r="ES25" s="119"/>
    </row>
    <row r="26" spans="1:149" ht="29">
      <c r="A26" s="119"/>
      <c r="B26" s="119" t="s">
        <v>1333</v>
      </c>
      <c r="C26" s="541" t="s">
        <v>1340</v>
      </c>
      <c r="D26" s="7">
        <v>2026</v>
      </c>
      <c r="E26" s="7">
        <v>2026</v>
      </c>
      <c r="F26" s="91"/>
      <c r="G26" s="119"/>
      <c r="H26" s="119"/>
      <c r="I26" s="119"/>
      <c r="J26" s="119"/>
      <c r="K26" s="119"/>
      <c r="L26" s="119"/>
      <c r="M26" s="119"/>
      <c r="N26" s="119"/>
      <c r="O26" s="542">
        <v>46105</v>
      </c>
      <c r="P26" s="539">
        <v>46136</v>
      </c>
      <c r="Q26" s="539">
        <v>46139</v>
      </c>
      <c r="R26" s="539">
        <v>46301</v>
      </c>
      <c r="S26" s="119"/>
      <c r="T26" s="119"/>
      <c r="U26" s="119"/>
      <c r="V26" s="119"/>
      <c r="W26" s="119"/>
      <c r="X26" s="119"/>
      <c r="Y26" s="119"/>
      <c r="Z26" s="119"/>
      <c r="AA26" s="545">
        <v>46301</v>
      </c>
      <c r="AB26" s="545">
        <v>46374</v>
      </c>
      <c r="AC26" s="119"/>
      <c r="AD26" s="119"/>
      <c r="AE26" s="119"/>
      <c r="AF26" s="119"/>
      <c r="AG26" s="119"/>
      <c r="AH26" s="119"/>
      <c r="AI26" s="119"/>
      <c r="AJ26" s="119"/>
      <c r="AK26" s="119"/>
      <c r="AL26" s="119"/>
      <c r="AM26" s="119"/>
      <c r="AN26" s="119"/>
      <c r="AO26" s="119"/>
      <c r="AP26" s="119"/>
      <c r="AQ26" s="119"/>
      <c r="AR26" s="119"/>
      <c r="AS26" s="119"/>
      <c r="AT26" s="119"/>
      <c r="AU26" s="119"/>
      <c r="AV26" s="119"/>
      <c r="AW26" s="119"/>
      <c r="AX26" s="119"/>
      <c r="AY26" s="119"/>
      <c r="AZ26" s="119"/>
      <c r="BA26" s="119"/>
      <c r="BB26" s="119"/>
      <c r="BC26" s="119"/>
      <c r="BD26" s="119"/>
      <c r="BE26" s="119"/>
      <c r="BF26" s="119"/>
      <c r="BG26" s="119"/>
      <c r="BH26" s="119"/>
      <c r="BI26" s="119"/>
      <c r="BJ26" s="119"/>
      <c r="BK26" s="119"/>
      <c r="BL26" s="119"/>
      <c r="BM26" s="119"/>
      <c r="BN26" s="119"/>
      <c r="BO26" s="119"/>
      <c r="BP26" s="119"/>
      <c r="BQ26" s="119"/>
      <c r="BR26" s="119"/>
      <c r="BS26" s="119"/>
      <c r="BT26" s="119"/>
      <c r="BU26" s="119"/>
      <c r="BV26" s="119"/>
      <c r="BW26" s="119"/>
      <c r="BX26" s="119"/>
      <c r="BY26" s="119"/>
      <c r="BZ26" s="119"/>
      <c r="CA26" s="119"/>
      <c r="CB26" s="119"/>
      <c r="CC26" s="119"/>
      <c r="CD26" s="119"/>
      <c r="CE26" s="119"/>
      <c r="CF26" s="119"/>
      <c r="CG26" s="119"/>
      <c r="CH26" s="119"/>
      <c r="CI26" s="119"/>
      <c r="CJ26" s="119"/>
      <c r="CK26" s="119"/>
      <c r="CL26" s="119"/>
      <c r="CM26" s="119"/>
      <c r="CN26" s="119"/>
      <c r="CO26" s="119"/>
      <c r="CP26" s="119"/>
      <c r="CQ26" s="119"/>
      <c r="CR26" s="119"/>
      <c r="CS26" s="119"/>
      <c r="CT26" s="119"/>
      <c r="CU26" s="119"/>
      <c r="CV26" s="119"/>
      <c r="CW26" s="119"/>
      <c r="CX26" s="119"/>
      <c r="CY26" s="119"/>
      <c r="CZ26" s="119"/>
      <c r="DA26" s="119"/>
      <c r="DB26" s="119"/>
      <c r="DC26" s="119"/>
      <c r="DD26" s="119"/>
      <c r="DE26" s="119"/>
      <c r="DF26" s="119"/>
      <c r="DG26" s="119"/>
      <c r="DH26" s="119"/>
      <c r="DI26" s="119"/>
      <c r="DJ26" s="119"/>
      <c r="DK26" s="119"/>
      <c r="DL26" s="119"/>
      <c r="DM26" s="119"/>
      <c r="DN26" s="119"/>
      <c r="DO26" s="119"/>
      <c r="DP26" s="119"/>
      <c r="DQ26" s="119"/>
      <c r="DR26" s="119" t="s">
        <v>1317</v>
      </c>
      <c r="DS26" s="119"/>
      <c r="DT26" s="119"/>
      <c r="DU26" s="119"/>
      <c r="DV26" s="119"/>
      <c r="DW26" s="119"/>
      <c r="DX26" s="119"/>
      <c r="DY26" s="119"/>
      <c r="DZ26" s="119"/>
      <c r="EA26" s="119"/>
      <c r="EB26" s="119"/>
      <c r="EC26" s="119"/>
      <c r="ED26" s="119"/>
      <c r="EE26" s="119"/>
      <c r="EF26" s="119"/>
      <c r="EG26" s="119"/>
      <c r="EH26" s="119"/>
      <c r="EI26" s="119"/>
      <c r="EJ26" s="119"/>
      <c r="EK26" s="119"/>
      <c r="EL26" s="119"/>
      <c r="EM26" s="119"/>
      <c r="EN26" s="119"/>
      <c r="EO26" s="119"/>
      <c r="EP26" s="119"/>
      <c r="EQ26" s="119"/>
      <c r="ER26" s="119"/>
      <c r="ES26" s="119"/>
    </row>
    <row r="27" spans="1:149">
      <c r="A27" s="119"/>
      <c r="B27" s="119" t="s">
        <v>1333</v>
      </c>
      <c r="C27" s="541" t="s">
        <v>1341</v>
      </c>
      <c r="D27" s="7">
        <v>2026</v>
      </c>
      <c r="E27" s="7">
        <v>2026</v>
      </c>
      <c r="F27" s="91"/>
      <c r="G27" s="119"/>
      <c r="H27" s="119"/>
      <c r="I27" s="119"/>
      <c r="J27" s="119"/>
      <c r="K27" s="119"/>
      <c r="L27" s="119"/>
      <c r="M27" s="119"/>
      <c r="N27" s="119"/>
      <c r="O27" s="542">
        <v>46056</v>
      </c>
      <c r="P27" s="539">
        <v>46084</v>
      </c>
      <c r="Q27" s="539">
        <v>46085</v>
      </c>
      <c r="R27" s="539">
        <v>46204</v>
      </c>
      <c r="S27" s="119"/>
      <c r="T27" s="119"/>
      <c r="U27" s="119"/>
      <c r="V27" s="119"/>
      <c r="W27" s="119"/>
      <c r="X27" s="119"/>
      <c r="Y27" s="119"/>
      <c r="Z27" s="119"/>
      <c r="AA27" s="119"/>
      <c r="AB27" s="119"/>
      <c r="AC27" s="119"/>
      <c r="AD27" s="119"/>
      <c r="AE27" s="119"/>
      <c r="AF27" s="119"/>
      <c r="AG27" s="119"/>
      <c r="AH27" s="119"/>
      <c r="AI27" s="119"/>
      <c r="AJ27" s="119"/>
      <c r="AK27" s="119"/>
      <c r="AL27" s="119"/>
      <c r="AM27" s="119"/>
      <c r="AN27" s="119"/>
      <c r="AO27" s="119"/>
      <c r="AP27" s="119"/>
      <c r="AQ27" s="119"/>
      <c r="AR27" s="119"/>
      <c r="AS27" s="119"/>
      <c r="AT27" s="119"/>
      <c r="AU27" s="119"/>
      <c r="AV27" s="119"/>
      <c r="AW27" s="119"/>
      <c r="AX27" s="119"/>
      <c r="AY27" s="119"/>
      <c r="AZ27" s="119"/>
      <c r="BA27" s="119"/>
      <c r="BB27" s="119"/>
      <c r="BC27" s="119"/>
      <c r="BD27" s="119"/>
      <c r="BE27" s="119"/>
      <c r="BF27" s="119"/>
      <c r="BG27" s="119"/>
      <c r="BH27" s="119"/>
      <c r="BI27" s="119"/>
      <c r="BJ27" s="119"/>
      <c r="BK27" s="119"/>
      <c r="BL27" s="119"/>
      <c r="BM27" s="119"/>
      <c r="BN27" s="119"/>
      <c r="BO27" s="119"/>
      <c r="BP27" s="119"/>
      <c r="BQ27" s="119"/>
      <c r="BR27" s="119"/>
      <c r="BS27" s="119"/>
      <c r="BT27" s="119"/>
      <c r="BU27" s="119"/>
      <c r="BV27" s="119"/>
      <c r="BW27" s="119"/>
      <c r="BX27" s="119"/>
      <c r="BY27" s="119"/>
      <c r="BZ27" s="119"/>
      <c r="CA27" s="119"/>
      <c r="CB27" s="119"/>
      <c r="CC27" s="119"/>
      <c r="CD27" s="119"/>
      <c r="CE27" s="119"/>
      <c r="CF27" s="119"/>
      <c r="CG27" s="119"/>
      <c r="CH27" s="119"/>
      <c r="CI27" s="119"/>
      <c r="CJ27" s="119"/>
      <c r="CK27" s="119"/>
      <c r="CL27" s="119"/>
      <c r="CM27" s="119"/>
      <c r="CN27" s="119"/>
      <c r="CO27" s="119"/>
      <c r="CP27" s="119"/>
      <c r="CQ27" s="119"/>
      <c r="CR27" s="119"/>
      <c r="CS27" s="119"/>
      <c r="CT27" s="119"/>
      <c r="CU27" s="119"/>
      <c r="CV27" s="119"/>
      <c r="CW27" s="119"/>
      <c r="CX27" s="119"/>
      <c r="CY27" s="119"/>
      <c r="CZ27" s="119"/>
      <c r="DA27" s="119"/>
      <c r="DB27" s="119"/>
      <c r="DC27" s="119"/>
      <c r="DD27" s="119"/>
      <c r="DE27" s="119"/>
      <c r="DF27" s="119"/>
      <c r="DG27" s="119"/>
      <c r="DH27" s="119"/>
      <c r="DI27" s="119"/>
      <c r="DJ27" s="119"/>
      <c r="DK27" s="119"/>
      <c r="DL27" s="119"/>
      <c r="DM27" s="119"/>
      <c r="DN27" s="119"/>
      <c r="DO27" s="119"/>
      <c r="DP27" s="119"/>
      <c r="DQ27" s="119"/>
      <c r="DR27" s="119" t="s">
        <v>1317</v>
      </c>
      <c r="DS27" s="119"/>
      <c r="DT27" s="119"/>
      <c r="DU27" s="119"/>
      <c r="DV27" s="119"/>
      <c r="DW27" s="119"/>
      <c r="DX27" s="119"/>
      <c r="DY27" s="119"/>
      <c r="DZ27" s="119"/>
      <c r="EA27" s="119"/>
      <c r="EB27" s="119"/>
      <c r="EC27" s="119"/>
      <c r="ED27" s="119"/>
      <c r="EE27" s="119"/>
      <c r="EF27" s="119"/>
      <c r="EG27" s="119"/>
      <c r="EH27" s="119"/>
      <c r="EI27" s="119"/>
      <c r="EJ27" s="119"/>
      <c r="EK27" s="119"/>
      <c r="EL27" s="119"/>
      <c r="EM27" s="119"/>
      <c r="EN27" s="119"/>
      <c r="EO27" s="119"/>
      <c r="EP27" s="119"/>
      <c r="EQ27" s="119"/>
      <c r="ER27" s="119"/>
      <c r="ES27" s="119"/>
    </row>
    <row r="28" spans="1:149">
      <c r="A28" s="119"/>
      <c r="B28" s="119" t="s">
        <v>1333</v>
      </c>
      <c r="C28" s="541" t="s">
        <v>1342</v>
      </c>
      <c r="D28" s="7">
        <v>2026</v>
      </c>
      <c r="E28" s="7">
        <v>2026</v>
      </c>
      <c r="F28" s="91"/>
      <c r="G28" s="119"/>
      <c r="H28" s="119"/>
      <c r="I28" s="119"/>
      <c r="J28" s="119"/>
      <c r="K28" s="119"/>
      <c r="L28" s="119"/>
      <c r="M28" s="119"/>
      <c r="N28" s="119"/>
      <c r="O28" s="542">
        <v>46146</v>
      </c>
      <c r="P28" s="539">
        <v>46176</v>
      </c>
      <c r="Q28" s="539">
        <v>46177</v>
      </c>
      <c r="R28" s="539">
        <v>46296</v>
      </c>
      <c r="S28" s="545">
        <v>46297</v>
      </c>
      <c r="T28" s="545">
        <v>46358</v>
      </c>
      <c r="U28" s="119"/>
      <c r="V28" s="119"/>
      <c r="W28" s="119"/>
      <c r="X28" s="119"/>
      <c r="Y28" s="119"/>
      <c r="Z28" s="119"/>
      <c r="AA28" s="545">
        <v>46359</v>
      </c>
      <c r="AB28" s="545">
        <v>46389</v>
      </c>
      <c r="AC28" s="119"/>
      <c r="AD28" s="119"/>
      <c r="AE28" s="119"/>
      <c r="AF28" s="119"/>
      <c r="AG28" s="119"/>
      <c r="AH28" s="119"/>
      <c r="AI28" s="119"/>
      <c r="AJ28" s="119"/>
      <c r="AK28" s="119"/>
      <c r="AL28" s="119"/>
      <c r="AM28" s="119"/>
      <c r="AN28" s="119"/>
      <c r="AO28" s="119"/>
      <c r="AP28" s="119"/>
      <c r="AQ28" s="119"/>
      <c r="AR28" s="119"/>
      <c r="AS28" s="119"/>
      <c r="AT28" s="119"/>
      <c r="AU28" s="119"/>
      <c r="AV28" s="119"/>
      <c r="AW28" s="119"/>
      <c r="AX28" s="119"/>
      <c r="AY28" s="119"/>
      <c r="AZ28" s="119"/>
      <c r="BA28" s="119"/>
      <c r="BB28" s="119"/>
      <c r="BC28" s="119"/>
      <c r="BD28" s="119"/>
      <c r="BE28" s="119"/>
      <c r="BF28" s="119"/>
      <c r="BG28" s="119"/>
      <c r="BH28" s="119"/>
      <c r="BI28" s="119"/>
      <c r="BJ28" s="119"/>
      <c r="BK28" s="119"/>
      <c r="BL28" s="119"/>
      <c r="BM28" s="119"/>
      <c r="BN28" s="119"/>
      <c r="BO28" s="119"/>
      <c r="BP28" s="119"/>
      <c r="BQ28" s="119"/>
      <c r="BR28" s="119"/>
      <c r="BS28" s="119"/>
      <c r="BT28" s="119"/>
      <c r="BU28" s="119"/>
      <c r="BV28" s="119"/>
      <c r="BW28" s="119"/>
      <c r="BX28" s="119"/>
      <c r="BY28" s="119"/>
      <c r="BZ28" s="119"/>
      <c r="CA28" s="119"/>
      <c r="CB28" s="119"/>
      <c r="CC28" s="119"/>
      <c r="CD28" s="119"/>
      <c r="CE28" s="119"/>
      <c r="CF28" s="119"/>
      <c r="CG28" s="119"/>
      <c r="CH28" s="119"/>
      <c r="CI28" s="119"/>
      <c r="CJ28" s="119"/>
      <c r="CK28" s="119"/>
      <c r="CL28" s="119"/>
      <c r="CM28" s="119"/>
      <c r="CN28" s="119"/>
      <c r="CO28" s="119"/>
      <c r="CP28" s="119"/>
      <c r="CQ28" s="119"/>
      <c r="CR28" s="119"/>
      <c r="CS28" s="119"/>
      <c r="CT28" s="119"/>
      <c r="CU28" s="119"/>
      <c r="CV28" s="119"/>
      <c r="CW28" s="119"/>
      <c r="CX28" s="119"/>
      <c r="CY28" s="119"/>
      <c r="CZ28" s="119"/>
      <c r="DA28" s="119"/>
      <c r="DB28" s="119"/>
      <c r="DC28" s="119"/>
      <c r="DD28" s="119"/>
      <c r="DE28" s="119"/>
      <c r="DF28" s="119"/>
      <c r="DG28" s="119"/>
      <c r="DH28" s="119"/>
      <c r="DI28" s="119"/>
      <c r="DJ28" s="119"/>
      <c r="DK28" s="119"/>
      <c r="DL28" s="119"/>
      <c r="DM28" s="119"/>
      <c r="DN28" s="119"/>
      <c r="DO28" s="119"/>
      <c r="DP28" s="119"/>
      <c r="DQ28" s="119"/>
      <c r="DR28" s="119" t="s">
        <v>1317</v>
      </c>
      <c r="DS28" s="119"/>
      <c r="DT28" s="119"/>
      <c r="DU28" s="119"/>
      <c r="DV28" s="119"/>
      <c r="DW28" s="119"/>
      <c r="DX28" s="119"/>
      <c r="DY28" s="119"/>
      <c r="DZ28" s="119"/>
      <c r="EA28" s="119"/>
      <c r="EB28" s="119"/>
      <c r="EC28" s="119"/>
      <c r="ED28" s="119"/>
      <c r="EE28" s="119"/>
      <c r="EF28" s="119"/>
      <c r="EG28" s="119"/>
      <c r="EH28" s="119"/>
      <c r="EI28" s="119"/>
      <c r="EJ28" s="119"/>
      <c r="EK28" s="119"/>
      <c r="EL28" s="119"/>
      <c r="EM28" s="119"/>
      <c r="EN28" s="119"/>
      <c r="EO28" s="119"/>
      <c r="EP28" s="119"/>
      <c r="EQ28" s="119"/>
      <c r="ER28" s="119"/>
      <c r="ES28" s="119"/>
    </row>
    <row r="29" spans="1:149" ht="43.5">
      <c r="A29" s="119"/>
      <c r="B29" s="119" t="s">
        <v>1333</v>
      </c>
      <c r="C29" s="541" t="s">
        <v>1343</v>
      </c>
      <c r="D29" s="7">
        <v>2026</v>
      </c>
      <c r="E29" s="7">
        <v>2027</v>
      </c>
      <c r="F29" s="91"/>
      <c r="G29" s="119"/>
      <c r="H29" s="119"/>
      <c r="I29" s="119"/>
      <c r="J29" s="119"/>
      <c r="K29" s="119"/>
      <c r="L29" s="119"/>
      <c r="M29" s="119"/>
      <c r="N29" s="119"/>
      <c r="O29" s="542">
        <v>46290</v>
      </c>
      <c r="P29" s="539">
        <v>46321</v>
      </c>
      <c r="Q29" s="539">
        <v>46322</v>
      </c>
      <c r="R29" s="539">
        <v>46444</v>
      </c>
      <c r="S29" s="1002" t="s">
        <v>1335</v>
      </c>
      <c r="T29" s="1003"/>
      <c r="U29" s="1003"/>
      <c r="V29" s="1003"/>
      <c r="W29" s="1003"/>
      <c r="X29" s="1003"/>
      <c r="Y29" s="1003"/>
      <c r="Z29" s="1003"/>
      <c r="AA29" s="1003"/>
      <c r="AB29" s="1004"/>
      <c r="AC29" s="119"/>
      <c r="AD29" s="119"/>
      <c r="AE29" s="119"/>
      <c r="AF29" s="119"/>
      <c r="AG29" s="119"/>
      <c r="AH29" s="119"/>
      <c r="AI29" s="119"/>
      <c r="AJ29" s="119"/>
      <c r="AK29" s="119"/>
      <c r="AL29" s="119"/>
      <c r="AM29" s="119"/>
      <c r="AN29" s="119"/>
      <c r="AO29" s="119"/>
      <c r="AP29" s="119"/>
      <c r="AQ29" s="119"/>
      <c r="AR29" s="119"/>
      <c r="AS29" s="119"/>
      <c r="AT29" s="119"/>
      <c r="AU29" s="119"/>
      <c r="AV29" s="119"/>
      <c r="AW29" s="119"/>
      <c r="AX29" s="119"/>
      <c r="AY29" s="119"/>
      <c r="AZ29" s="119"/>
      <c r="BA29" s="119"/>
      <c r="BB29" s="119"/>
      <c r="BC29" s="119"/>
      <c r="BD29" s="119"/>
      <c r="BE29" s="119"/>
      <c r="BF29" s="119"/>
      <c r="BG29" s="119"/>
      <c r="BH29" s="119"/>
      <c r="BI29" s="119"/>
      <c r="BJ29" s="119"/>
      <c r="BK29" s="119"/>
      <c r="BL29" s="119"/>
      <c r="BM29" s="119"/>
      <c r="BN29" s="119"/>
      <c r="BO29" s="119"/>
      <c r="BP29" s="119"/>
      <c r="BQ29" s="119"/>
      <c r="BR29" s="119"/>
      <c r="BS29" s="119"/>
      <c r="BT29" s="119"/>
      <c r="BU29" s="119"/>
      <c r="BV29" s="119"/>
      <c r="BW29" s="119"/>
      <c r="BX29" s="119"/>
      <c r="BY29" s="119"/>
      <c r="BZ29" s="119"/>
      <c r="CA29" s="119"/>
      <c r="CB29" s="119"/>
      <c r="CC29" s="119"/>
      <c r="CD29" s="119"/>
      <c r="CE29" s="119"/>
      <c r="CF29" s="119"/>
      <c r="CG29" s="119"/>
      <c r="CH29" s="119"/>
      <c r="CI29" s="119"/>
      <c r="CJ29" s="119"/>
      <c r="CK29" s="119"/>
      <c r="CL29" s="119"/>
      <c r="CM29" s="119"/>
      <c r="CN29" s="119"/>
      <c r="CO29" s="119"/>
      <c r="CP29" s="119"/>
      <c r="CQ29" s="119"/>
      <c r="CR29" s="119"/>
      <c r="CS29" s="119"/>
      <c r="CT29" s="119"/>
      <c r="CU29" s="119"/>
      <c r="CV29" s="119"/>
      <c r="CW29" s="119"/>
      <c r="CX29" s="119"/>
      <c r="CY29" s="119"/>
      <c r="CZ29" s="119"/>
      <c r="DA29" s="119"/>
      <c r="DB29" s="119"/>
      <c r="DC29" s="119"/>
      <c r="DD29" s="119"/>
      <c r="DE29" s="119"/>
      <c r="DF29" s="119"/>
      <c r="DG29" s="119"/>
      <c r="DH29" s="119"/>
      <c r="DI29" s="119"/>
      <c r="DJ29" s="119"/>
      <c r="DK29" s="119"/>
      <c r="DL29" s="119"/>
      <c r="DM29" s="119"/>
      <c r="DN29" s="119"/>
      <c r="DO29" s="119"/>
      <c r="DP29" s="119"/>
      <c r="DQ29" s="119"/>
      <c r="DR29" s="119" t="s">
        <v>1317</v>
      </c>
      <c r="DS29" s="119"/>
      <c r="DT29" s="119"/>
      <c r="DU29" s="119"/>
      <c r="DV29" s="119"/>
      <c r="DW29" s="119"/>
      <c r="DX29" s="119"/>
      <c r="DY29" s="119"/>
      <c r="DZ29" s="119"/>
      <c r="EA29" s="119"/>
      <c r="EB29" s="119"/>
      <c r="EC29" s="119"/>
      <c r="ED29" s="119"/>
      <c r="EE29" s="119"/>
      <c r="EF29" s="119"/>
      <c r="EG29" s="119"/>
      <c r="EH29" s="119"/>
      <c r="EI29" s="119"/>
      <c r="EJ29" s="119"/>
      <c r="EK29" s="119"/>
      <c r="EL29" s="119"/>
      <c r="EM29" s="119"/>
      <c r="EN29" s="119"/>
      <c r="EO29" s="119"/>
      <c r="EP29" s="119"/>
      <c r="EQ29" s="119"/>
      <c r="ER29" s="119"/>
      <c r="ES29" s="119"/>
    </row>
    <row r="30" spans="1:149" ht="43.5">
      <c r="A30" s="119"/>
      <c r="B30" s="119" t="s">
        <v>1333</v>
      </c>
      <c r="C30" s="541" t="s">
        <v>1344</v>
      </c>
      <c r="D30" s="7">
        <v>2026</v>
      </c>
      <c r="E30" s="7">
        <v>2027</v>
      </c>
      <c r="F30" s="91"/>
      <c r="G30" s="119"/>
      <c r="H30" s="119"/>
      <c r="I30" s="119"/>
      <c r="J30" s="119"/>
      <c r="K30" s="119"/>
      <c r="L30" s="119"/>
      <c r="M30" s="119"/>
      <c r="N30" s="119"/>
      <c r="O30" s="542">
        <v>46262</v>
      </c>
      <c r="P30" s="539">
        <v>46294</v>
      </c>
      <c r="Q30" s="539">
        <v>46295</v>
      </c>
      <c r="R30" s="539">
        <v>46458</v>
      </c>
      <c r="S30" s="1002" t="s">
        <v>1335</v>
      </c>
      <c r="T30" s="1003"/>
      <c r="U30" s="1003"/>
      <c r="V30" s="1003"/>
      <c r="W30" s="1003"/>
      <c r="X30" s="1003"/>
      <c r="Y30" s="1003"/>
      <c r="Z30" s="1003"/>
      <c r="AA30" s="1003"/>
      <c r="AB30" s="1004"/>
      <c r="AC30" s="119"/>
      <c r="AD30" s="119"/>
      <c r="AE30" s="119"/>
      <c r="AF30" s="119"/>
      <c r="AG30" s="119"/>
      <c r="AH30" s="119"/>
      <c r="AI30" s="119"/>
      <c r="AJ30" s="119"/>
      <c r="AK30" s="119"/>
      <c r="AL30" s="119"/>
      <c r="AM30" s="119"/>
      <c r="AN30" s="119"/>
      <c r="AO30" s="119"/>
      <c r="AP30" s="119"/>
      <c r="AQ30" s="119"/>
      <c r="AR30" s="119"/>
      <c r="AS30" s="119"/>
      <c r="AT30" s="119"/>
      <c r="AU30" s="119"/>
      <c r="AV30" s="119"/>
      <c r="AW30" s="119"/>
      <c r="AX30" s="119"/>
      <c r="AY30" s="119"/>
      <c r="AZ30" s="119"/>
      <c r="BA30" s="119"/>
      <c r="BB30" s="119"/>
      <c r="BC30" s="119"/>
      <c r="BD30" s="119"/>
      <c r="BE30" s="119"/>
      <c r="BF30" s="119"/>
      <c r="BG30" s="119"/>
      <c r="BH30" s="119"/>
      <c r="BI30" s="119"/>
      <c r="BJ30" s="119"/>
      <c r="BK30" s="119"/>
      <c r="BL30" s="119"/>
      <c r="BM30" s="119"/>
      <c r="BN30" s="119"/>
      <c r="BO30" s="119"/>
      <c r="BP30" s="119"/>
      <c r="BQ30" s="119"/>
      <c r="BR30" s="119"/>
      <c r="BS30" s="119"/>
      <c r="BT30" s="119"/>
      <c r="BU30" s="119"/>
      <c r="BV30" s="119"/>
      <c r="BW30" s="119"/>
      <c r="BX30" s="119"/>
      <c r="BY30" s="119"/>
      <c r="BZ30" s="119"/>
      <c r="CA30" s="119"/>
      <c r="CB30" s="119"/>
      <c r="CC30" s="119"/>
      <c r="CD30" s="119"/>
      <c r="CE30" s="119"/>
      <c r="CF30" s="119"/>
      <c r="CG30" s="119"/>
      <c r="CH30" s="119"/>
      <c r="CI30" s="119"/>
      <c r="CJ30" s="119"/>
      <c r="CK30" s="119"/>
      <c r="CL30" s="119"/>
      <c r="CM30" s="119"/>
      <c r="CN30" s="119"/>
      <c r="CO30" s="119"/>
      <c r="CP30" s="119"/>
      <c r="CQ30" s="119"/>
      <c r="CR30" s="119"/>
      <c r="CS30" s="119"/>
      <c r="CT30" s="119"/>
      <c r="CU30" s="119"/>
      <c r="CV30" s="119"/>
      <c r="CW30" s="119"/>
      <c r="CX30" s="119"/>
      <c r="CY30" s="119"/>
      <c r="CZ30" s="119"/>
      <c r="DA30" s="119"/>
      <c r="DB30" s="119"/>
      <c r="DC30" s="119"/>
      <c r="DD30" s="119"/>
      <c r="DE30" s="119"/>
      <c r="DF30" s="119"/>
      <c r="DG30" s="119"/>
      <c r="DH30" s="119"/>
      <c r="DI30" s="119"/>
      <c r="DJ30" s="119"/>
      <c r="DK30" s="119"/>
      <c r="DL30" s="119"/>
      <c r="DM30" s="119"/>
      <c r="DN30" s="119"/>
      <c r="DO30" s="119"/>
      <c r="DP30" s="119"/>
      <c r="DQ30" s="119"/>
      <c r="DR30" s="119" t="s">
        <v>1317</v>
      </c>
      <c r="DS30" s="119"/>
      <c r="DT30" s="119"/>
      <c r="DU30" s="119"/>
      <c r="DV30" s="119"/>
      <c r="DW30" s="119"/>
      <c r="DX30" s="119"/>
      <c r="DY30" s="119"/>
      <c r="DZ30" s="119"/>
      <c r="EA30" s="119"/>
      <c r="EB30" s="119"/>
      <c r="EC30" s="119"/>
      <c r="ED30" s="119"/>
      <c r="EE30" s="119"/>
      <c r="EF30" s="119"/>
      <c r="EG30" s="119"/>
      <c r="EH30" s="119"/>
      <c r="EI30" s="119"/>
      <c r="EJ30" s="119"/>
      <c r="EK30" s="119"/>
      <c r="EL30" s="119"/>
      <c r="EM30" s="119"/>
      <c r="EN30" s="119"/>
      <c r="EO30" s="119"/>
      <c r="EP30" s="119"/>
      <c r="EQ30" s="119"/>
      <c r="ER30" s="119"/>
      <c r="ES30" s="119"/>
    </row>
    <row r="31" spans="1:149" ht="29">
      <c r="A31" s="119"/>
      <c r="B31" s="119" t="s">
        <v>1333</v>
      </c>
      <c r="C31" s="541" t="s">
        <v>1345</v>
      </c>
      <c r="D31" s="7">
        <v>2026</v>
      </c>
      <c r="E31" s="7">
        <v>2027</v>
      </c>
      <c r="F31" s="91"/>
      <c r="G31" s="119"/>
      <c r="H31" s="119"/>
      <c r="I31" s="119"/>
      <c r="J31" s="119"/>
      <c r="K31" s="119"/>
      <c r="L31" s="119"/>
      <c r="M31" s="119"/>
      <c r="N31" s="119"/>
      <c r="O31" s="542">
        <v>46199</v>
      </c>
      <c r="P31" s="539">
        <v>46230</v>
      </c>
      <c r="Q31" s="539">
        <v>46231</v>
      </c>
      <c r="R31" s="539">
        <v>46395</v>
      </c>
      <c r="S31" s="1002" t="s">
        <v>1335</v>
      </c>
      <c r="T31" s="1003"/>
      <c r="U31" s="1003"/>
      <c r="V31" s="1003"/>
      <c r="W31" s="1003"/>
      <c r="X31" s="1003"/>
      <c r="Y31" s="1003"/>
      <c r="Z31" s="1003"/>
      <c r="AA31" s="1003"/>
      <c r="AB31" s="1004"/>
      <c r="AC31" s="119"/>
      <c r="AD31" s="119"/>
      <c r="AE31" s="119"/>
      <c r="AF31" s="119"/>
      <c r="AG31" s="119"/>
      <c r="AH31" s="119"/>
      <c r="AI31" s="119"/>
      <c r="AJ31" s="119"/>
      <c r="AK31" s="119"/>
      <c r="AL31" s="119"/>
      <c r="AM31" s="119"/>
      <c r="AN31" s="119"/>
      <c r="AO31" s="119"/>
      <c r="AP31" s="119"/>
      <c r="AQ31" s="119"/>
      <c r="AR31" s="119"/>
      <c r="AS31" s="119"/>
      <c r="AT31" s="119"/>
      <c r="AU31" s="119"/>
      <c r="AV31" s="119"/>
      <c r="AW31" s="119"/>
      <c r="AX31" s="119"/>
      <c r="AY31" s="119"/>
      <c r="AZ31" s="119"/>
      <c r="BA31" s="119"/>
      <c r="BB31" s="119"/>
      <c r="BC31" s="119"/>
      <c r="BD31" s="119"/>
      <c r="BE31" s="119"/>
      <c r="BF31" s="119"/>
      <c r="BG31" s="119"/>
      <c r="BH31" s="119"/>
      <c r="BI31" s="119"/>
      <c r="BJ31" s="119"/>
      <c r="BK31" s="119"/>
      <c r="BL31" s="119"/>
      <c r="BM31" s="119"/>
      <c r="BN31" s="119"/>
      <c r="BO31" s="119"/>
      <c r="BP31" s="119"/>
      <c r="BQ31" s="119"/>
      <c r="BR31" s="119"/>
      <c r="BS31" s="119"/>
      <c r="BT31" s="119"/>
      <c r="BU31" s="119"/>
      <c r="BV31" s="119"/>
      <c r="BW31" s="119"/>
      <c r="BX31" s="119"/>
      <c r="BY31" s="119"/>
      <c r="BZ31" s="119"/>
      <c r="CA31" s="119"/>
      <c r="CB31" s="119"/>
      <c r="CC31" s="119"/>
      <c r="CD31" s="119"/>
      <c r="CE31" s="119"/>
      <c r="CF31" s="119"/>
      <c r="CG31" s="119"/>
      <c r="CH31" s="119"/>
      <c r="CI31" s="119"/>
      <c r="CJ31" s="119"/>
      <c r="CK31" s="119"/>
      <c r="CL31" s="119"/>
      <c r="CM31" s="119"/>
      <c r="CN31" s="119"/>
      <c r="CO31" s="119"/>
      <c r="CP31" s="119"/>
      <c r="CQ31" s="119"/>
      <c r="CR31" s="119"/>
      <c r="CS31" s="119"/>
      <c r="CT31" s="119"/>
      <c r="CU31" s="119"/>
      <c r="CV31" s="119"/>
      <c r="CW31" s="119"/>
      <c r="CX31" s="119"/>
      <c r="CY31" s="119"/>
      <c r="CZ31" s="119"/>
      <c r="DA31" s="119"/>
      <c r="DB31" s="119"/>
      <c r="DC31" s="119"/>
      <c r="DD31" s="119"/>
      <c r="DE31" s="119"/>
      <c r="DF31" s="119"/>
      <c r="DG31" s="119"/>
      <c r="DH31" s="119"/>
      <c r="DI31" s="119"/>
      <c r="DJ31" s="119"/>
      <c r="DK31" s="119"/>
      <c r="DL31" s="119"/>
      <c r="DM31" s="119"/>
      <c r="DN31" s="119"/>
      <c r="DO31" s="119"/>
      <c r="DP31" s="119"/>
      <c r="DQ31" s="119"/>
      <c r="DR31" s="119" t="s">
        <v>1317</v>
      </c>
      <c r="DS31" s="119"/>
      <c r="DT31" s="119"/>
      <c r="DU31" s="119"/>
      <c r="DV31" s="119"/>
      <c r="DW31" s="119"/>
      <c r="DX31" s="119"/>
      <c r="DY31" s="119"/>
      <c r="DZ31" s="119"/>
      <c r="EA31" s="119"/>
      <c r="EB31" s="119"/>
      <c r="EC31" s="119"/>
      <c r="ED31" s="119"/>
      <c r="EE31" s="119"/>
      <c r="EF31" s="119"/>
      <c r="EG31" s="119"/>
      <c r="EH31" s="119"/>
      <c r="EI31" s="119"/>
      <c r="EJ31" s="119"/>
      <c r="EK31" s="119"/>
      <c r="EL31" s="119"/>
      <c r="EM31" s="119"/>
      <c r="EN31" s="119"/>
      <c r="EO31" s="119"/>
      <c r="EP31" s="119"/>
      <c r="EQ31" s="119"/>
      <c r="ER31" s="119"/>
      <c r="ES31" s="119"/>
    </row>
    <row r="32" spans="1:149" s="486" customFormat="1" ht="116">
      <c r="A32" s="483"/>
      <c r="B32" s="443" t="s">
        <v>1346</v>
      </c>
      <c r="C32" s="444" t="s">
        <v>1347</v>
      </c>
      <c r="D32" s="484">
        <v>2025</v>
      </c>
      <c r="E32" s="484">
        <v>2025</v>
      </c>
      <c r="F32" s="485"/>
      <c r="G32" s="483"/>
      <c r="H32" s="483"/>
      <c r="I32" s="483"/>
      <c r="J32" s="483"/>
      <c r="K32" s="483"/>
      <c r="L32" s="483"/>
      <c r="M32" s="483"/>
      <c r="N32" s="483"/>
      <c r="O32" s="544"/>
      <c r="P32" s="483"/>
      <c r="Q32" s="483"/>
      <c r="R32" s="483"/>
      <c r="S32" s="483"/>
      <c r="T32" s="483"/>
      <c r="U32" s="483"/>
      <c r="V32" s="483"/>
      <c r="W32" s="483"/>
      <c r="X32" s="483"/>
      <c r="Y32" s="483"/>
      <c r="Z32" s="483"/>
      <c r="AA32" s="483"/>
      <c r="AB32" s="483"/>
      <c r="AC32" s="483"/>
      <c r="AD32" s="483"/>
      <c r="AE32" s="483"/>
      <c r="AF32" s="483"/>
      <c r="AG32" s="483"/>
      <c r="AH32" s="483"/>
      <c r="AI32" s="483"/>
      <c r="AJ32" s="483"/>
      <c r="AK32" s="483"/>
      <c r="AL32" s="483"/>
      <c r="AM32" s="483"/>
      <c r="AN32" s="483"/>
      <c r="AO32" s="483"/>
      <c r="AP32" s="483"/>
      <c r="AQ32" s="483"/>
      <c r="AR32" s="483"/>
      <c r="AS32" s="483"/>
      <c r="AT32" s="483"/>
      <c r="AU32" s="483"/>
      <c r="AV32" s="483"/>
      <c r="AW32" s="483"/>
      <c r="AX32" s="483"/>
      <c r="AY32" s="483"/>
      <c r="AZ32" s="483"/>
      <c r="BA32" s="483"/>
      <c r="BB32" s="483"/>
      <c r="BC32" s="483"/>
      <c r="BD32" s="483"/>
      <c r="BE32" s="483"/>
      <c r="BF32" s="483"/>
      <c r="BG32" s="483"/>
      <c r="BH32" s="483"/>
      <c r="BI32" s="483"/>
      <c r="BJ32" s="483"/>
      <c r="BK32" s="483"/>
      <c r="BL32" s="483"/>
      <c r="BM32" s="483"/>
      <c r="BN32" s="483"/>
      <c r="BO32" s="483"/>
      <c r="BP32" s="483"/>
      <c r="BQ32" s="483"/>
      <c r="BR32" s="483"/>
      <c r="BS32" s="483"/>
      <c r="BT32" s="483"/>
      <c r="BU32" s="483"/>
      <c r="BV32" s="483"/>
      <c r="BW32" s="483"/>
      <c r="BX32" s="483"/>
      <c r="BY32" s="483"/>
      <c r="BZ32" s="483"/>
      <c r="CA32" s="483"/>
      <c r="CB32" s="483"/>
      <c r="CC32" s="483"/>
      <c r="CD32" s="483"/>
      <c r="CE32" s="483"/>
      <c r="CF32" s="483"/>
      <c r="CG32" s="483"/>
      <c r="CH32" s="483"/>
      <c r="CI32" s="483"/>
      <c r="CJ32" s="483"/>
      <c r="CK32" s="483"/>
      <c r="CL32" s="483"/>
      <c r="CM32" s="483"/>
      <c r="CN32" s="483"/>
      <c r="CO32" s="483"/>
      <c r="CP32" s="483"/>
      <c r="CQ32" s="483"/>
      <c r="CR32" s="483"/>
      <c r="CS32" s="483"/>
      <c r="CT32" s="483"/>
      <c r="CU32" s="483"/>
      <c r="CV32" s="483"/>
      <c r="CW32" s="483"/>
      <c r="CX32" s="483"/>
      <c r="CY32" s="483"/>
      <c r="CZ32" s="483"/>
      <c r="DA32" s="483"/>
      <c r="DB32" s="483"/>
      <c r="DC32" s="483"/>
      <c r="DD32" s="483"/>
      <c r="DE32" s="483"/>
      <c r="DF32" s="483"/>
      <c r="DG32" s="483"/>
      <c r="DH32" s="483"/>
      <c r="DI32" s="483"/>
      <c r="DJ32" s="483"/>
      <c r="DK32" s="483"/>
      <c r="DL32" s="483"/>
      <c r="DM32" s="448">
        <v>1</v>
      </c>
      <c r="DN32" s="448">
        <v>1</v>
      </c>
      <c r="DO32" s="448">
        <v>1</v>
      </c>
      <c r="DP32" s="483"/>
      <c r="DQ32" s="448">
        <v>1</v>
      </c>
      <c r="DR32" s="447" t="s">
        <v>1348</v>
      </c>
      <c r="DS32" s="483"/>
      <c r="DT32" s="483"/>
      <c r="DU32" s="483"/>
      <c r="DV32" s="483"/>
      <c r="DW32" s="483"/>
      <c r="DX32" s="483"/>
      <c r="DY32" s="483"/>
      <c r="DZ32" s="483"/>
      <c r="EA32" s="483"/>
      <c r="EB32" s="483"/>
      <c r="EC32" s="483"/>
      <c r="ED32" s="483"/>
      <c r="EE32" s="483"/>
      <c r="EF32" s="483"/>
      <c r="EG32" s="483"/>
      <c r="EH32" s="483"/>
      <c r="EI32" s="483"/>
      <c r="EJ32" s="483"/>
      <c r="EK32" s="483"/>
      <c r="EL32" s="483"/>
      <c r="EM32" s="483"/>
      <c r="EN32" s="483"/>
      <c r="EO32" s="483"/>
      <c r="EP32" s="483"/>
      <c r="EQ32" s="483"/>
      <c r="ER32" s="483"/>
      <c r="ES32" s="483"/>
    </row>
    <row r="33" spans="1:149" s="486" customFormat="1" ht="261">
      <c r="A33" s="483"/>
      <c r="B33" s="443" t="s">
        <v>1346</v>
      </c>
      <c r="C33" s="444" t="s">
        <v>1349</v>
      </c>
      <c r="D33" s="484">
        <v>2025</v>
      </c>
      <c r="E33" s="484">
        <v>2025</v>
      </c>
      <c r="F33" s="485"/>
      <c r="G33" s="483"/>
      <c r="H33" s="483"/>
      <c r="I33" s="483"/>
      <c r="J33" s="483"/>
      <c r="K33" s="483"/>
      <c r="L33" s="483"/>
      <c r="M33" s="483"/>
      <c r="N33" s="483"/>
      <c r="O33" s="483"/>
      <c r="P33" s="483"/>
      <c r="Q33" s="483"/>
      <c r="R33" s="483"/>
      <c r="S33" s="483"/>
      <c r="T33" s="483"/>
      <c r="U33" s="483"/>
      <c r="V33" s="483"/>
      <c r="W33" s="483"/>
      <c r="X33" s="483"/>
      <c r="Y33" s="483"/>
      <c r="Z33" s="483"/>
      <c r="AA33" s="483"/>
      <c r="AB33" s="483"/>
      <c r="AC33" s="483"/>
      <c r="AD33" s="483"/>
      <c r="AE33" s="483"/>
      <c r="AF33" s="483"/>
      <c r="AG33" s="483"/>
      <c r="AH33" s="483"/>
      <c r="AI33" s="483"/>
      <c r="AJ33" s="483"/>
      <c r="AK33" s="483"/>
      <c r="AL33" s="483"/>
      <c r="AM33" s="483"/>
      <c r="AN33" s="483"/>
      <c r="AO33" s="483"/>
      <c r="AP33" s="483"/>
      <c r="AQ33" s="483"/>
      <c r="AR33" s="483"/>
      <c r="AS33" s="483"/>
      <c r="AT33" s="483"/>
      <c r="AU33" s="483"/>
      <c r="AV33" s="483"/>
      <c r="AW33" s="483"/>
      <c r="AX33" s="483"/>
      <c r="AY33" s="483"/>
      <c r="AZ33" s="483"/>
      <c r="BA33" s="483"/>
      <c r="BB33" s="483"/>
      <c r="BC33" s="483"/>
      <c r="BD33" s="483"/>
      <c r="BE33" s="483"/>
      <c r="BF33" s="483"/>
      <c r="BG33" s="483"/>
      <c r="BH33" s="483"/>
      <c r="BI33" s="483"/>
      <c r="BJ33" s="483"/>
      <c r="BK33" s="483"/>
      <c r="BL33" s="483"/>
      <c r="BM33" s="483"/>
      <c r="BN33" s="483"/>
      <c r="BO33" s="483"/>
      <c r="BP33" s="483"/>
      <c r="BQ33" s="483"/>
      <c r="BR33" s="483"/>
      <c r="BS33" s="483"/>
      <c r="BT33" s="483"/>
      <c r="BU33" s="483"/>
      <c r="BV33" s="483"/>
      <c r="BW33" s="483"/>
      <c r="BX33" s="483"/>
      <c r="BY33" s="483"/>
      <c r="BZ33" s="483"/>
      <c r="CA33" s="483"/>
      <c r="CB33" s="483"/>
      <c r="CC33" s="483"/>
      <c r="CD33" s="483"/>
      <c r="CE33" s="483"/>
      <c r="CF33" s="483"/>
      <c r="CG33" s="483"/>
      <c r="CH33" s="483"/>
      <c r="CI33" s="483"/>
      <c r="CJ33" s="483"/>
      <c r="CK33" s="483"/>
      <c r="CL33" s="483"/>
      <c r="CM33" s="483"/>
      <c r="CN33" s="483"/>
      <c r="CO33" s="483"/>
      <c r="CP33" s="483"/>
      <c r="CQ33" s="483"/>
      <c r="CR33" s="483"/>
      <c r="CS33" s="483"/>
      <c r="CT33" s="483"/>
      <c r="CU33" s="483"/>
      <c r="CV33" s="483"/>
      <c r="CW33" s="483"/>
      <c r="CX33" s="483"/>
      <c r="CY33" s="483"/>
      <c r="CZ33" s="483"/>
      <c r="DA33" s="483"/>
      <c r="DB33" s="483"/>
      <c r="DC33" s="483"/>
      <c r="DD33" s="483"/>
      <c r="DE33" s="483"/>
      <c r="DF33" s="483"/>
      <c r="DG33" s="483"/>
      <c r="DH33" s="483"/>
      <c r="DI33" s="483"/>
      <c r="DJ33" s="483"/>
      <c r="DK33" s="483"/>
      <c r="DL33" s="483"/>
      <c r="DM33" s="448">
        <v>1</v>
      </c>
      <c r="DN33" s="448">
        <v>1</v>
      </c>
      <c r="DO33" s="448">
        <v>1</v>
      </c>
      <c r="DP33" s="483"/>
      <c r="DQ33" s="448">
        <v>1</v>
      </c>
      <c r="DR33" s="447" t="s">
        <v>1350</v>
      </c>
      <c r="DS33" s="483"/>
      <c r="DT33" s="483"/>
      <c r="DU33" s="483"/>
      <c r="DV33" s="483"/>
      <c r="DW33" s="483"/>
      <c r="DX33" s="483"/>
      <c r="DY33" s="483"/>
      <c r="DZ33" s="483"/>
      <c r="EA33" s="483"/>
      <c r="EB33" s="483"/>
      <c r="EC33" s="483"/>
      <c r="ED33" s="483"/>
      <c r="EE33" s="483"/>
      <c r="EF33" s="483"/>
      <c r="EG33" s="483"/>
      <c r="EH33" s="483"/>
      <c r="EI33" s="483"/>
      <c r="EJ33" s="483"/>
      <c r="EK33" s="483"/>
      <c r="EL33" s="483"/>
      <c r="EM33" s="483"/>
      <c r="EN33" s="483"/>
      <c r="EO33" s="483"/>
      <c r="EP33" s="483"/>
      <c r="EQ33" s="483"/>
      <c r="ER33" s="483"/>
      <c r="ES33" s="483"/>
    </row>
    <row r="34" spans="1:149" s="486" customFormat="1" ht="409.5">
      <c r="A34" s="483"/>
      <c r="B34" s="443" t="s">
        <v>1346</v>
      </c>
      <c r="C34" s="444" t="s">
        <v>1351</v>
      </c>
      <c r="D34" s="484">
        <v>2025</v>
      </c>
      <c r="E34" s="484">
        <v>2025</v>
      </c>
      <c r="F34" s="485"/>
      <c r="G34" s="483"/>
      <c r="H34" s="483"/>
      <c r="I34" s="483"/>
      <c r="J34" s="483"/>
      <c r="K34" s="483"/>
      <c r="L34" s="483"/>
      <c r="M34" s="483"/>
      <c r="N34" s="483"/>
      <c r="O34" s="483"/>
      <c r="P34" s="483"/>
      <c r="Q34" s="483"/>
      <c r="R34" s="483"/>
      <c r="S34" s="483"/>
      <c r="T34" s="483"/>
      <c r="U34" s="483"/>
      <c r="V34" s="483"/>
      <c r="W34" s="483"/>
      <c r="X34" s="483"/>
      <c r="Y34" s="483"/>
      <c r="Z34" s="483"/>
      <c r="AA34" s="483"/>
      <c r="AB34" s="483"/>
      <c r="AC34" s="483"/>
      <c r="AD34" s="483"/>
      <c r="AE34" s="483"/>
      <c r="AF34" s="483"/>
      <c r="AG34" s="483"/>
      <c r="AH34" s="483"/>
      <c r="AI34" s="483"/>
      <c r="AJ34" s="483"/>
      <c r="AK34" s="483"/>
      <c r="AL34" s="483"/>
      <c r="AM34" s="483"/>
      <c r="AN34" s="483"/>
      <c r="AO34" s="483"/>
      <c r="AP34" s="483"/>
      <c r="AQ34" s="483"/>
      <c r="AR34" s="483"/>
      <c r="AS34" s="483"/>
      <c r="AT34" s="483"/>
      <c r="AU34" s="483"/>
      <c r="AV34" s="483"/>
      <c r="AW34" s="483"/>
      <c r="AX34" s="483"/>
      <c r="AY34" s="483"/>
      <c r="AZ34" s="483"/>
      <c r="BA34" s="483"/>
      <c r="BB34" s="483"/>
      <c r="BC34" s="483"/>
      <c r="BD34" s="483"/>
      <c r="BE34" s="483"/>
      <c r="BF34" s="483"/>
      <c r="BG34" s="483"/>
      <c r="BH34" s="483"/>
      <c r="BI34" s="483"/>
      <c r="BJ34" s="483"/>
      <c r="BK34" s="483"/>
      <c r="BL34" s="483"/>
      <c r="BM34" s="483"/>
      <c r="BN34" s="483"/>
      <c r="BO34" s="483"/>
      <c r="BP34" s="483"/>
      <c r="BQ34" s="483"/>
      <c r="BR34" s="483"/>
      <c r="BS34" s="483"/>
      <c r="BT34" s="483"/>
      <c r="BU34" s="483"/>
      <c r="BV34" s="483"/>
      <c r="BW34" s="483"/>
      <c r="BX34" s="483"/>
      <c r="BY34" s="483"/>
      <c r="BZ34" s="483"/>
      <c r="CA34" s="483"/>
      <c r="CB34" s="483"/>
      <c r="CC34" s="483"/>
      <c r="CD34" s="483"/>
      <c r="CE34" s="483"/>
      <c r="CF34" s="483"/>
      <c r="CG34" s="483"/>
      <c r="CH34" s="483"/>
      <c r="CI34" s="483"/>
      <c r="CJ34" s="483"/>
      <c r="CK34" s="483"/>
      <c r="CL34" s="483"/>
      <c r="CM34" s="483"/>
      <c r="CN34" s="483"/>
      <c r="CO34" s="483"/>
      <c r="CP34" s="483"/>
      <c r="CQ34" s="483"/>
      <c r="CR34" s="483"/>
      <c r="CS34" s="483"/>
      <c r="CT34" s="483"/>
      <c r="CU34" s="483"/>
      <c r="CV34" s="483"/>
      <c r="CW34" s="483"/>
      <c r="CX34" s="483"/>
      <c r="CY34" s="483"/>
      <c r="CZ34" s="483"/>
      <c r="DA34" s="483"/>
      <c r="DB34" s="483"/>
      <c r="DC34" s="483"/>
      <c r="DD34" s="483"/>
      <c r="DE34" s="483"/>
      <c r="DF34" s="483"/>
      <c r="DG34" s="483"/>
      <c r="DH34" s="483"/>
      <c r="DI34" s="483"/>
      <c r="DJ34" s="483"/>
      <c r="DK34" s="483"/>
      <c r="DL34" s="483"/>
      <c r="DM34" s="448">
        <v>1</v>
      </c>
      <c r="DN34" s="448">
        <v>1</v>
      </c>
      <c r="DO34" s="448">
        <v>1</v>
      </c>
      <c r="DP34" s="483"/>
      <c r="DQ34" s="448">
        <v>1</v>
      </c>
      <c r="DR34" s="447" t="s">
        <v>1352</v>
      </c>
      <c r="DS34" s="483"/>
      <c r="DT34" s="483"/>
      <c r="DU34" s="483"/>
      <c r="DV34" s="483"/>
      <c r="DW34" s="483"/>
      <c r="DX34" s="483"/>
      <c r="DY34" s="483"/>
      <c r="DZ34" s="483"/>
      <c r="EA34" s="483"/>
      <c r="EB34" s="483"/>
      <c r="EC34" s="483"/>
      <c r="ED34" s="483"/>
      <c r="EE34" s="483"/>
      <c r="EF34" s="483"/>
      <c r="EG34" s="483"/>
      <c r="EH34" s="483"/>
      <c r="EI34" s="483"/>
      <c r="EJ34" s="483"/>
      <c r="EK34" s="483"/>
      <c r="EL34" s="483"/>
      <c r="EM34" s="483"/>
      <c r="EN34" s="483"/>
      <c r="EO34" s="483"/>
      <c r="EP34" s="483"/>
      <c r="EQ34" s="483"/>
      <c r="ER34" s="483"/>
      <c r="ES34" s="483"/>
    </row>
    <row r="35" spans="1:149" s="486" customFormat="1" ht="174">
      <c r="A35" s="483"/>
      <c r="B35" s="443" t="s">
        <v>1346</v>
      </c>
      <c r="C35" s="444" t="s">
        <v>1353</v>
      </c>
      <c r="D35" s="484">
        <v>2025</v>
      </c>
      <c r="E35" s="484">
        <v>2025</v>
      </c>
      <c r="F35" s="485"/>
      <c r="G35" s="483"/>
      <c r="H35" s="483"/>
      <c r="I35" s="483"/>
      <c r="J35" s="483"/>
      <c r="K35" s="483"/>
      <c r="L35" s="483"/>
      <c r="M35" s="483"/>
      <c r="N35" s="483"/>
      <c r="O35" s="483"/>
      <c r="P35" s="483"/>
      <c r="Q35" s="483"/>
      <c r="R35" s="483"/>
      <c r="S35" s="483"/>
      <c r="T35" s="483"/>
      <c r="U35" s="483"/>
      <c r="V35" s="483"/>
      <c r="W35" s="483"/>
      <c r="X35" s="483"/>
      <c r="Y35" s="483"/>
      <c r="Z35" s="483"/>
      <c r="AA35" s="483"/>
      <c r="AB35" s="483"/>
      <c r="AC35" s="483"/>
      <c r="AD35" s="483"/>
      <c r="AE35" s="483"/>
      <c r="AF35" s="483"/>
      <c r="AG35" s="483"/>
      <c r="AH35" s="483"/>
      <c r="AI35" s="483"/>
      <c r="AJ35" s="483"/>
      <c r="AK35" s="483"/>
      <c r="AL35" s="483"/>
      <c r="AM35" s="483"/>
      <c r="AN35" s="483"/>
      <c r="AO35" s="483"/>
      <c r="AP35" s="483"/>
      <c r="AQ35" s="483"/>
      <c r="AR35" s="483"/>
      <c r="AS35" s="483"/>
      <c r="AT35" s="483"/>
      <c r="AU35" s="483"/>
      <c r="AV35" s="483"/>
      <c r="AW35" s="483"/>
      <c r="AX35" s="483"/>
      <c r="AY35" s="483"/>
      <c r="AZ35" s="483"/>
      <c r="BA35" s="483"/>
      <c r="BB35" s="483"/>
      <c r="BC35" s="483"/>
      <c r="BD35" s="483"/>
      <c r="BE35" s="483"/>
      <c r="BF35" s="483"/>
      <c r="BG35" s="483"/>
      <c r="BH35" s="483"/>
      <c r="BI35" s="483"/>
      <c r="BJ35" s="483"/>
      <c r="BK35" s="483"/>
      <c r="BL35" s="483"/>
      <c r="BM35" s="483"/>
      <c r="BN35" s="483"/>
      <c r="BO35" s="483"/>
      <c r="BP35" s="483"/>
      <c r="BQ35" s="483"/>
      <c r="BR35" s="483"/>
      <c r="BS35" s="483"/>
      <c r="BT35" s="483"/>
      <c r="BU35" s="483"/>
      <c r="BV35" s="483"/>
      <c r="BW35" s="483"/>
      <c r="BX35" s="483"/>
      <c r="BY35" s="483"/>
      <c r="BZ35" s="483"/>
      <c r="CA35" s="483"/>
      <c r="CB35" s="483"/>
      <c r="CC35" s="483"/>
      <c r="CD35" s="483"/>
      <c r="CE35" s="483"/>
      <c r="CF35" s="483"/>
      <c r="CG35" s="483"/>
      <c r="CH35" s="483"/>
      <c r="CI35" s="483"/>
      <c r="CJ35" s="483"/>
      <c r="CK35" s="483"/>
      <c r="CL35" s="483"/>
      <c r="CM35" s="483"/>
      <c r="CN35" s="483"/>
      <c r="CO35" s="483"/>
      <c r="CP35" s="483"/>
      <c r="CQ35" s="483"/>
      <c r="CR35" s="483"/>
      <c r="CS35" s="483"/>
      <c r="CT35" s="483"/>
      <c r="CU35" s="483"/>
      <c r="CV35" s="483"/>
      <c r="CW35" s="483"/>
      <c r="CX35" s="483"/>
      <c r="CY35" s="483"/>
      <c r="CZ35" s="483"/>
      <c r="DA35" s="483"/>
      <c r="DB35" s="483"/>
      <c r="DC35" s="483"/>
      <c r="DD35" s="483"/>
      <c r="DE35" s="483"/>
      <c r="DF35" s="483"/>
      <c r="DG35" s="483"/>
      <c r="DH35" s="483"/>
      <c r="DI35" s="483"/>
      <c r="DJ35" s="483"/>
      <c r="DK35" s="483"/>
      <c r="DL35" s="483"/>
      <c r="DM35" s="448">
        <v>1</v>
      </c>
      <c r="DN35" s="448">
        <v>1</v>
      </c>
      <c r="DO35" s="448">
        <v>1</v>
      </c>
      <c r="DP35" s="483"/>
      <c r="DQ35" s="448">
        <v>1</v>
      </c>
      <c r="DR35" s="447" t="s">
        <v>1354</v>
      </c>
      <c r="DS35" s="483"/>
      <c r="DT35" s="483"/>
      <c r="DU35" s="483"/>
      <c r="DV35" s="483"/>
      <c r="DW35" s="483"/>
      <c r="DX35" s="483"/>
      <c r="DY35" s="483"/>
      <c r="DZ35" s="483"/>
      <c r="EA35" s="483"/>
      <c r="EB35" s="483"/>
      <c r="EC35" s="483"/>
      <c r="ED35" s="483"/>
      <c r="EE35" s="483"/>
      <c r="EF35" s="483"/>
      <c r="EG35" s="483"/>
      <c r="EH35" s="483"/>
      <c r="EI35" s="483"/>
      <c r="EJ35" s="483"/>
      <c r="EK35" s="483"/>
      <c r="EL35" s="483"/>
      <c r="EM35" s="483"/>
      <c r="EN35" s="483"/>
      <c r="EO35" s="483"/>
      <c r="EP35" s="483"/>
      <c r="EQ35" s="483"/>
      <c r="ER35" s="483"/>
      <c r="ES35" s="483"/>
    </row>
    <row r="36" spans="1:149" s="486" customFormat="1" ht="174">
      <c r="A36" s="483"/>
      <c r="B36" s="443" t="s">
        <v>1346</v>
      </c>
      <c r="C36" s="444" t="s">
        <v>1355</v>
      </c>
      <c r="D36" s="484">
        <v>2025</v>
      </c>
      <c r="E36" s="484">
        <v>2025</v>
      </c>
      <c r="F36" s="485"/>
      <c r="G36" s="483"/>
      <c r="H36" s="483"/>
      <c r="I36" s="483"/>
      <c r="J36" s="483"/>
      <c r="K36" s="483"/>
      <c r="L36" s="483"/>
      <c r="M36" s="483"/>
      <c r="N36" s="483"/>
      <c r="O36" s="483"/>
      <c r="P36" s="483"/>
      <c r="Q36" s="483"/>
      <c r="R36" s="483"/>
      <c r="S36" s="483"/>
      <c r="T36" s="483"/>
      <c r="U36" s="483"/>
      <c r="V36" s="483"/>
      <c r="W36" s="483"/>
      <c r="X36" s="483"/>
      <c r="Y36" s="483"/>
      <c r="Z36" s="483"/>
      <c r="AA36" s="483"/>
      <c r="AB36" s="483"/>
      <c r="AC36" s="483"/>
      <c r="AD36" s="483"/>
      <c r="AE36" s="483"/>
      <c r="AF36" s="483"/>
      <c r="AG36" s="483"/>
      <c r="AH36" s="483"/>
      <c r="AI36" s="483"/>
      <c r="AJ36" s="483"/>
      <c r="AK36" s="483"/>
      <c r="AL36" s="483"/>
      <c r="AM36" s="483"/>
      <c r="AN36" s="483"/>
      <c r="AO36" s="483"/>
      <c r="AP36" s="483"/>
      <c r="AQ36" s="483"/>
      <c r="AR36" s="483"/>
      <c r="AS36" s="483"/>
      <c r="AT36" s="483"/>
      <c r="AU36" s="483"/>
      <c r="AV36" s="483"/>
      <c r="AW36" s="483"/>
      <c r="AX36" s="483"/>
      <c r="AY36" s="483"/>
      <c r="AZ36" s="483"/>
      <c r="BA36" s="483"/>
      <c r="BB36" s="483"/>
      <c r="BC36" s="483"/>
      <c r="BD36" s="483"/>
      <c r="BE36" s="483"/>
      <c r="BF36" s="483"/>
      <c r="BG36" s="483"/>
      <c r="BH36" s="483"/>
      <c r="BI36" s="483"/>
      <c r="BJ36" s="483"/>
      <c r="BK36" s="483"/>
      <c r="BL36" s="483"/>
      <c r="BM36" s="483"/>
      <c r="BN36" s="483"/>
      <c r="BO36" s="483"/>
      <c r="BP36" s="483"/>
      <c r="BQ36" s="483"/>
      <c r="BR36" s="483"/>
      <c r="BS36" s="483"/>
      <c r="BT36" s="483"/>
      <c r="BU36" s="483"/>
      <c r="BV36" s="483"/>
      <c r="BW36" s="483"/>
      <c r="BX36" s="483"/>
      <c r="BY36" s="483"/>
      <c r="BZ36" s="483"/>
      <c r="CA36" s="483"/>
      <c r="CB36" s="483"/>
      <c r="CC36" s="483"/>
      <c r="CD36" s="483"/>
      <c r="CE36" s="483"/>
      <c r="CF36" s="483"/>
      <c r="CG36" s="483"/>
      <c r="CH36" s="483"/>
      <c r="CI36" s="483"/>
      <c r="CJ36" s="483"/>
      <c r="CK36" s="483"/>
      <c r="CL36" s="483"/>
      <c r="CM36" s="483"/>
      <c r="CN36" s="483"/>
      <c r="CO36" s="483"/>
      <c r="CP36" s="483"/>
      <c r="CQ36" s="483"/>
      <c r="CR36" s="483"/>
      <c r="CS36" s="483"/>
      <c r="CT36" s="483"/>
      <c r="CU36" s="483"/>
      <c r="CV36" s="483"/>
      <c r="CW36" s="483"/>
      <c r="CX36" s="483"/>
      <c r="CY36" s="483"/>
      <c r="CZ36" s="483"/>
      <c r="DA36" s="483"/>
      <c r="DB36" s="483"/>
      <c r="DC36" s="483"/>
      <c r="DD36" s="483"/>
      <c r="DE36" s="483"/>
      <c r="DF36" s="483"/>
      <c r="DG36" s="483"/>
      <c r="DH36" s="483"/>
      <c r="DI36" s="483"/>
      <c r="DJ36" s="483"/>
      <c r="DK36" s="483"/>
      <c r="DL36" s="483"/>
      <c r="DM36" s="448">
        <v>1</v>
      </c>
      <c r="DN36" s="448">
        <v>1</v>
      </c>
      <c r="DO36" s="448">
        <v>1</v>
      </c>
      <c r="DP36" s="483"/>
      <c r="DQ36" s="448">
        <v>1</v>
      </c>
      <c r="DR36" s="447" t="s">
        <v>1356</v>
      </c>
      <c r="DS36" s="483"/>
      <c r="DT36" s="483"/>
      <c r="DU36" s="483"/>
      <c r="DV36" s="483"/>
      <c r="DW36" s="483"/>
      <c r="DX36" s="483"/>
      <c r="DY36" s="483"/>
      <c r="DZ36" s="483"/>
      <c r="EA36" s="483"/>
      <c r="EB36" s="483"/>
      <c r="EC36" s="483"/>
      <c r="ED36" s="483"/>
      <c r="EE36" s="483"/>
      <c r="EF36" s="483"/>
      <c r="EG36" s="483"/>
      <c r="EH36" s="483"/>
      <c r="EI36" s="483"/>
      <c r="EJ36" s="483"/>
      <c r="EK36" s="483"/>
      <c r="EL36" s="483"/>
      <c r="EM36" s="483"/>
      <c r="EN36" s="483"/>
      <c r="EO36" s="483"/>
      <c r="EP36" s="483"/>
      <c r="EQ36" s="483"/>
      <c r="ER36" s="483"/>
      <c r="ES36" s="483"/>
    </row>
    <row r="37" spans="1:149" ht="336.65" customHeight="1">
      <c r="A37" s="119"/>
      <c r="B37" s="141" t="s">
        <v>1346</v>
      </c>
      <c r="C37" s="14" t="s">
        <v>1357</v>
      </c>
      <c r="D37" s="7">
        <v>2025</v>
      </c>
      <c r="E37" s="7">
        <v>2025</v>
      </c>
      <c r="F37" s="91"/>
      <c r="G37" s="119"/>
      <c r="H37" s="119"/>
      <c r="I37" s="119"/>
      <c r="J37" s="119"/>
      <c r="K37" s="119"/>
      <c r="L37" s="119"/>
      <c r="M37" s="119"/>
      <c r="N37" s="119"/>
      <c r="O37" s="119"/>
      <c r="P37" s="119"/>
      <c r="Q37" s="119"/>
      <c r="R37" s="119"/>
      <c r="S37" s="119"/>
      <c r="T37" s="119"/>
      <c r="U37" s="119"/>
      <c r="V37" s="119"/>
      <c r="W37" s="119"/>
      <c r="X37" s="119"/>
      <c r="Y37" s="119"/>
      <c r="Z37" s="119"/>
      <c r="AA37" s="119"/>
      <c r="AB37" s="119"/>
      <c r="AC37" s="119"/>
      <c r="AD37" s="119"/>
      <c r="AE37" s="119"/>
      <c r="AF37" s="119"/>
      <c r="AG37" s="119"/>
      <c r="AH37" s="119"/>
      <c r="AI37" s="119"/>
      <c r="AJ37" s="119"/>
      <c r="AK37" s="119"/>
      <c r="AL37" s="119"/>
      <c r="AM37" s="119"/>
      <c r="AN37" s="119"/>
      <c r="AO37" s="119"/>
      <c r="AP37" s="119"/>
      <c r="AQ37" s="119"/>
      <c r="AR37" s="119"/>
      <c r="AS37" s="119"/>
      <c r="AT37" s="119"/>
      <c r="AU37" s="119"/>
      <c r="AV37" s="119"/>
      <c r="AW37" s="119"/>
      <c r="AX37" s="119"/>
      <c r="AY37" s="119"/>
      <c r="AZ37" s="119"/>
      <c r="BA37" s="119"/>
      <c r="BB37" s="119"/>
      <c r="BC37" s="119"/>
      <c r="BD37" s="119"/>
      <c r="BE37" s="119"/>
      <c r="BF37" s="119"/>
      <c r="BG37" s="119"/>
      <c r="BH37" s="119"/>
      <c r="BI37" s="119"/>
      <c r="BJ37" s="119"/>
      <c r="BK37" s="119"/>
      <c r="BL37" s="119"/>
      <c r="BM37" s="119"/>
      <c r="BN37" s="119"/>
      <c r="BO37" s="119"/>
      <c r="BP37" s="119"/>
      <c r="BQ37" s="119"/>
      <c r="BR37" s="119"/>
      <c r="BS37" s="119"/>
      <c r="BT37" s="119"/>
      <c r="BU37" s="119"/>
      <c r="BV37" s="119"/>
      <c r="BW37" s="119"/>
      <c r="BX37" s="119"/>
      <c r="BY37" s="119"/>
      <c r="BZ37" s="119"/>
      <c r="CA37" s="119"/>
      <c r="CB37" s="119"/>
      <c r="CC37" s="119"/>
      <c r="CD37" s="119"/>
      <c r="CE37" s="119"/>
      <c r="CF37" s="119"/>
      <c r="CG37" s="119"/>
      <c r="CH37" s="119"/>
      <c r="CI37" s="119"/>
      <c r="CJ37" s="119"/>
      <c r="CK37" s="119"/>
      <c r="CL37" s="119"/>
      <c r="CM37" s="119"/>
      <c r="CN37" s="119"/>
      <c r="CO37" s="119"/>
      <c r="CP37" s="119"/>
      <c r="CQ37" s="119"/>
      <c r="CR37" s="119"/>
      <c r="CS37" s="119"/>
      <c r="CT37" s="119"/>
      <c r="CU37" s="119"/>
      <c r="CV37" s="119"/>
      <c r="CW37" s="119"/>
      <c r="CX37" s="119"/>
      <c r="CY37" s="119"/>
      <c r="CZ37" s="119"/>
      <c r="DA37" s="119"/>
      <c r="DB37" s="119"/>
      <c r="DC37" s="119"/>
      <c r="DD37" s="119"/>
      <c r="DE37" s="119"/>
      <c r="DF37" s="119"/>
      <c r="DG37" s="119"/>
      <c r="DH37" s="119"/>
      <c r="DI37" s="119"/>
      <c r="DJ37" s="119"/>
      <c r="DK37" s="119"/>
      <c r="DL37" s="119"/>
      <c r="DM37" s="152">
        <v>1</v>
      </c>
      <c r="DN37" s="152">
        <v>1</v>
      </c>
      <c r="DO37" s="152"/>
      <c r="DP37" s="119"/>
      <c r="DQ37" s="152">
        <v>1</v>
      </c>
      <c r="DR37" s="80" t="s">
        <v>1617</v>
      </c>
      <c r="DS37" s="119"/>
      <c r="DT37" s="119"/>
      <c r="DU37" s="119"/>
      <c r="DV37" s="119"/>
      <c r="DW37" s="119"/>
      <c r="DX37" s="119"/>
      <c r="DY37" s="119"/>
      <c r="DZ37" s="119"/>
      <c r="EA37" s="119"/>
      <c r="EB37" s="119"/>
      <c r="EC37" s="119"/>
      <c r="ED37" s="119"/>
      <c r="EE37" s="119"/>
      <c r="EF37" s="119"/>
      <c r="EG37" s="119"/>
      <c r="EH37" s="119"/>
      <c r="EI37" s="119"/>
      <c r="EJ37" s="119"/>
      <c r="EK37" s="119"/>
      <c r="EL37" s="119"/>
      <c r="EM37" s="119"/>
      <c r="EN37" s="119"/>
      <c r="EO37" s="119"/>
      <c r="EP37" s="119"/>
      <c r="EQ37" s="119"/>
      <c r="ER37" s="119"/>
      <c r="ES37" s="119"/>
    </row>
    <row r="38" spans="1:149" ht="396.65" customHeight="1">
      <c r="A38" s="119"/>
      <c r="B38" s="445" t="s">
        <v>1346</v>
      </c>
      <c r="C38" s="446" t="s">
        <v>1358</v>
      </c>
      <c r="D38" s="7">
        <v>2025</v>
      </c>
      <c r="E38" s="7">
        <v>2026</v>
      </c>
      <c r="F38" s="91"/>
      <c r="G38" s="119"/>
      <c r="H38" s="119"/>
      <c r="I38" s="119"/>
      <c r="J38" s="119"/>
      <c r="K38" s="119"/>
      <c r="L38" s="119"/>
      <c r="M38" s="119"/>
      <c r="N38" s="119"/>
      <c r="O38" s="119"/>
      <c r="P38" s="119"/>
      <c r="Q38" s="119"/>
      <c r="R38" s="119"/>
      <c r="S38" s="119"/>
      <c r="T38" s="119"/>
      <c r="U38" s="119"/>
      <c r="V38" s="119"/>
      <c r="W38" s="119"/>
      <c r="X38" s="119"/>
      <c r="Y38" s="119"/>
      <c r="Z38" s="119"/>
      <c r="AA38" s="119"/>
      <c r="AB38" s="119"/>
      <c r="AC38" s="119"/>
      <c r="AD38" s="119"/>
      <c r="AE38" s="119"/>
      <c r="AF38" s="119"/>
      <c r="AG38" s="119"/>
      <c r="AH38" s="119"/>
      <c r="AI38" s="119"/>
      <c r="AJ38" s="119"/>
      <c r="AK38" s="119"/>
      <c r="AL38" s="119"/>
      <c r="AM38" s="119"/>
      <c r="AN38" s="119"/>
      <c r="AO38" s="119"/>
      <c r="AP38" s="119"/>
      <c r="AQ38" s="119"/>
      <c r="AR38" s="119"/>
      <c r="AS38" s="119"/>
      <c r="AT38" s="119"/>
      <c r="AU38" s="119"/>
      <c r="AV38" s="119"/>
      <c r="AW38" s="119"/>
      <c r="AX38" s="119"/>
      <c r="AY38" s="119"/>
      <c r="AZ38" s="119"/>
      <c r="BA38" s="119"/>
      <c r="BB38" s="119"/>
      <c r="BC38" s="119"/>
      <c r="BD38" s="119"/>
      <c r="BE38" s="119"/>
      <c r="BF38" s="119"/>
      <c r="BG38" s="119"/>
      <c r="BH38" s="119"/>
      <c r="BI38" s="119"/>
      <c r="BJ38" s="119"/>
      <c r="BK38" s="119"/>
      <c r="BL38" s="119"/>
      <c r="BM38" s="119"/>
      <c r="BN38" s="119"/>
      <c r="BO38" s="119"/>
      <c r="BP38" s="119"/>
      <c r="BQ38" s="119"/>
      <c r="BR38" s="119"/>
      <c r="BS38" s="119"/>
      <c r="BT38" s="119"/>
      <c r="BU38" s="119"/>
      <c r="BV38" s="119"/>
      <c r="BW38" s="119"/>
      <c r="BX38" s="119"/>
      <c r="BY38" s="119"/>
      <c r="BZ38" s="119"/>
      <c r="CA38" s="119"/>
      <c r="CB38" s="119"/>
      <c r="CC38" s="119"/>
      <c r="CD38" s="119"/>
      <c r="CE38" s="119"/>
      <c r="CF38" s="119"/>
      <c r="CG38" s="119"/>
      <c r="CH38" s="119"/>
      <c r="CI38" s="119"/>
      <c r="CJ38" s="119"/>
      <c r="CK38" s="119"/>
      <c r="CL38" s="119"/>
      <c r="CM38" s="119"/>
      <c r="CN38" s="119"/>
      <c r="CO38" s="119"/>
      <c r="CP38" s="119"/>
      <c r="CQ38" s="119"/>
      <c r="CR38" s="119"/>
      <c r="CS38" s="119"/>
      <c r="CT38" s="119"/>
      <c r="CU38" s="119"/>
      <c r="CV38" s="119"/>
      <c r="CW38" s="119"/>
      <c r="CX38" s="119"/>
      <c r="CY38" s="119"/>
      <c r="CZ38" s="119"/>
      <c r="DA38" s="119"/>
      <c r="DB38" s="119"/>
      <c r="DC38" s="119"/>
      <c r="DD38" s="119"/>
      <c r="DE38" s="119"/>
      <c r="DF38" s="119"/>
      <c r="DG38" s="119"/>
      <c r="DH38" s="119"/>
      <c r="DI38" s="119"/>
      <c r="DJ38" s="119"/>
      <c r="DK38" s="119"/>
      <c r="DL38" s="119"/>
      <c r="DM38" s="449">
        <v>1</v>
      </c>
      <c r="DN38" s="449">
        <v>0.4</v>
      </c>
      <c r="DO38" s="449"/>
      <c r="DP38" s="119"/>
      <c r="DQ38" s="449">
        <v>0</v>
      </c>
      <c r="DR38" s="604" t="s">
        <v>1618</v>
      </c>
      <c r="DS38" s="119"/>
      <c r="DT38" s="119"/>
      <c r="DU38" s="119"/>
      <c r="DV38" s="119"/>
      <c r="DW38" s="119"/>
      <c r="DX38" s="119"/>
      <c r="DY38" s="119"/>
      <c r="DZ38" s="119"/>
      <c r="EA38" s="119"/>
      <c r="EB38" s="119"/>
      <c r="EC38" s="119"/>
      <c r="ED38" s="119"/>
      <c r="EE38" s="119"/>
      <c r="EF38" s="119"/>
      <c r="EG38" s="119"/>
      <c r="EH38" s="119"/>
      <c r="EI38" s="119"/>
      <c r="EJ38" s="119"/>
      <c r="EK38" s="119"/>
      <c r="EL38" s="119"/>
      <c r="EM38" s="119"/>
      <c r="EN38" s="119"/>
      <c r="EO38" s="119"/>
      <c r="EP38" s="119"/>
      <c r="EQ38" s="119"/>
      <c r="ER38" s="119"/>
      <c r="ES38" s="119"/>
    </row>
    <row r="39" spans="1:149" ht="43.5">
      <c r="A39" s="119" t="s">
        <v>1359</v>
      </c>
      <c r="B39" s="119" t="s">
        <v>1360</v>
      </c>
      <c r="C39" s="31" t="s">
        <v>1361</v>
      </c>
      <c r="D39" s="7">
        <v>2025</v>
      </c>
      <c r="E39" s="7">
        <v>2029</v>
      </c>
      <c r="F39" s="10" t="s">
        <v>1362</v>
      </c>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81"/>
      <c r="DS39" s="10"/>
      <c r="DT39" s="10"/>
      <c r="DU39" s="10"/>
      <c r="DV39" s="10"/>
      <c r="DW39" s="10"/>
      <c r="DX39" s="10"/>
      <c r="DY39" s="10"/>
      <c r="DZ39" s="10"/>
      <c r="EA39" s="10"/>
      <c r="EB39" s="10"/>
      <c r="EC39" s="10"/>
      <c r="ED39" s="10"/>
      <c r="EE39" s="10"/>
      <c r="EF39" s="10"/>
      <c r="EG39" s="10"/>
      <c r="EH39" s="10"/>
      <c r="EI39" s="10"/>
      <c r="EJ39" s="10"/>
      <c r="EK39" s="10"/>
      <c r="EL39" s="10"/>
      <c r="EM39" s="10"/>
      <c r="EN39" s="10"/>
      <c r="EO39" s="10"/>
      <c r="EP39" s="10"/>
      <c r="EQ39" s="10"/>
      <c r="ER39" s="10"/>
      <c r="ES39" s="10"/>
    </row>
    <row r="40" spans="1:149" ht="43.5">
      <c r="A40" s="119" t="s">
        <v>1359</v>
      </c>
      <c r="B40" s="119" t="s">
        <v>1363</v>
      </c>
      <c r="C40" s="31" t="s">
        <v>1364</v>
      </c>
      <c r="D40" s="7">
        <v>2025</v>
      </c>
      <c r="E40" s="7">
        <v>2029</v>
      </c>
      <c r="F40" s="10" t="s">
        <v>1362</v>
      </c>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81"/>
      <c r="DS40" s="10"/>
      <c r="DT40" s="10"/>
      <c r="DU40" s="10"/>
      <c r="DV40" s="10"/>
      <c r="DW40" s="10"/>
      <c r="DX40" s="10"/>
      <c r="DY40" s="10"/>
      <c r="DZ40" s="10"/>
      <c r="EA40" s="10"/>
      <c r="EB40" s="10"/>
      <c r="EC40" s="10"/>
      <c r="ED40" s="10"/>
      <c r="EE40" s="10"/>
      <c r="EF40" s="10"/>
      <c r="EG40" s="10"/>
      <c r="EH40" s="10"/>
      <c r="EI40" s="10"/>
      <c r="EJ40" s="10"/>
      <c r="EK40" s="10"/>
      <c r="EL40" s="10"/>
      <c r="EM40" s="10"/>
      <c r="EN40" s="10"/>
      <c r="EO40" s="10"/>
      <c r="EP40" s="10"/>
      <c r="EQ40" s="10"/>
      <c r="ER40" s="10"/>
      <c r="ES40" s="10"/>
    </row>
    <row r="41" spans="1:149" ht="29">
      <c r="A41" s="119" t="s">
        <v>1359</v>
      </c>
      <c r="B41" s="119" t="s">
        <v>1363</v>
      </c>
      <c r="C41" s="31" t="s">
        <v>1365</v>
      </c>
      <c r="D41" s="7">
        <v>2029</v>
      </c>
      <c r="E41" s="10"/>
      <c r="F41" s="10" t="s">
        <v>1362</v>
      </c>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81"/>
      <c r="DS41" s="10"/>
      <c r="DT41" s="10"/>
      <c r="DU41" s="10"/>
      <c r="DV41" s="10"/>
      <c r="DW41" s="10"/>
      <c r="DX41" s="10"/>
      <c r="DY41" s="10"/>
      <c r="DZ41" s="10"/>
      <c r="EA41" s="10"/>
      <c r="EB41" s="10"/>
      <c r="EC41" s="10"/>
      <c r="ED41" s="10"/>
      <c r="EE41" s="10"/>
      <c r="EF41" s="10"/>
      <c r="EG41" s="10"/>
      <c r="EH41" s="10"/>
      <c r="EI41" s="10"/>
      <c r="EJ41" s="10"/>
      <c r="EK41" s="10"/>
      <c r="EL41" s="10"/>
      <c r="EM41" s="10"/>
      <c r="EN41" s="10"/>
      <c r="EO41" s="10"/>
      <c r="EP41" s="10"/>
      <c r="EQ41" s="10"/>
      <c r="ER41" s="10"/>
      <c r="ES41" s="10"/>
    </row>
    <row r="42" spans="1:149" ht="29">
      <c r="A42" s="119" t="s">
        <v>1359</v>
      </c>
      <c r="B42" s="119" t="s">
        <v>1363</v>
      </c>
      <c r="C42" s="31" t="s">
        <v>1366</v>
      </c>
      <c r="D42" s="129">
        <v>2027</v>
      </c>
      <c r="E42" s="129">
        <v>2029</v>
      </c>
      <c r="F42" s="10" t="s">
        <v>1362</v>
      </c>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81"/>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row>
    <row r="43" spans="1:149">
      <c r="A43" s="119" t="s">
        <v>1367</v>
      </c>
      <c r="B43" s="119" t="s">
        <v>1368</v>
      </c>
      <c r="C43" s="31" t="s">
        <v>1369</v>
      </c>
      <c r="D43" s="129">
        <v>2025</v>
      </c>
      <c r="E43" s="129">
        <v>2029</v>
      </c>
      <c r="F43" s="10" t="s">
        <v>1362</v>
      </c>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81"/>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0"/>
    </row>
    <row r="44" spans="1:149">
      <c r="A44" s="119" t="s">
        <v>1367</v>
      </c>
      <c r="B44" s="119" t="s">
        <v>1368</v>
      </c>
      <c r="C44" s="10" t="s">
        <v>1370</v>
      </c>
      <c r="D44" s="129">
        <v>2025</v>
      </c>
      <c r="E44" s="129">
        <v>2029</v>
      </c>
      <c r="F44" s="10" t="s">
        <v>1362</v>
      </c>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81"/>
      <c r="DS44" s="10"/>
      <c r="DT44" s="10"/>
      <c r="DU44" s="10"/>
      <c r="DV44" s="10"/>
      <c r="DW44" s="10"/>
      <c r="DX44" s="10"/>
      <c r="DY44" s="10"/>
      <c r="DZ44" s="10"/>
      <c r="EA44" s="10"/>
      <c r="EB44" s="10"/>
      <c r="EC44" s="10"/>
      <c r="ED44" s="10"/>
      <c r="EE44" s="10"/>
      <c r="EF44" s="10"/>
      <c r="EG44" s="10"/>
      <c r="EH44" s="10"/>
      <c r="EI44" s="10"/>
      <c r="EJ44" s="10"/>
      <c r="EK44" s="10"/>
      <c r="EL44" s="10"/>
      <c r="EM44" s="10"/>
      <c r="EN44" s="10"/>
      <c r="EO44" s="10"/>
      <c r="EP44" s="10"/>
      <c r="EQ44" s="10"/>
      <c r="ER44" s="10"/>
      <c r="ES44" s="10"/>
    </row>
    <row r="45" spans="1:149">
      <c r="A45" s="119" t="s">
        <v>1367</v>
      </c>
      <c r="B45" s="119" t="s">
        <v>1368</v>
      </c>
      <c r="C45" s="10" t="s">
        <v>1371</v>
      </c>
      <c r="D45" s="129">
        <v>2025</v>
      </c>
      <c r="E45" s="129">
        <v>2029</v>
      </c>
      <c r="F45" s="10" t="s">
        <v>1362</v>
      </c>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81"/>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row>
    <row r="46" spans="1:149">
      <c r="A46" s="119" t="s">
        <v>1367</v>
      </c>
      <c r="B46" s="119" t="s">
        <v>1368</v>
      </c>
      <c r="C46" s="10" t="s">
        <v>1372</v>
      </c>
      <c r="D46" s="129">
        <v>2025</v>
      </c>
      <c r="E46" s="129">
        <v>2029</v>
      </c>
      <c r="F46" s="10" t="s">
        <v>1362</v>
      </c>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81"/>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row>
    <row r="47" spans="1:149">
      <c r="A47" s="536" t="s">
        <v>1367</v>
      </c>
      <c r="B47" s="536" t="s">
        <v>1368</v>
      </c>
      <c r="C47" s="537" t="s">
        <v>1373</v>
      </c>
      <c r="D47" s="538">
        <v>2025</v>
      </c>
      <c r="E47" s="538">
        <v>2029</v>
      </c>
      <c r="F47" s="537" t="s">
        <v>1362</v>
      </c>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81"/>
      <c r="DS47" s="10"/>
      <c r="DT47" s="10"/>
      <c r="DU47" s="10"/>
      <c r="DV47" s="10"/>
      <c r="DW47" s="10"/>
      <c r="DX47" s="10"/>
      <c r="DY47" s="10"/>
      <c r="DZ47" s="10"/>
      <c r="EA47" s="10"/>
      <c r="EB47" s="10"/>
      <c r="EC47" s="10"/>
      <c r="ED47" s="10"/>
      <c r="EE47" s="10"/>
      <c r="EF47" s="10"/>
      <c r="EG47" s="10"/>
      <c r="EH47" s="10"/>
      <c r="EI47" s="10"/>
      <c r="EJ47" s="10"/>
      <c r="EK47" s="10"/>
      <c r="EL47" s="10"/>
      <c r="EM47" s="10"/>
      <c r="EN47" s="10"/>
      <c r="EO47" s="10"/>
      <c r="EP47" s="10"/>
      <c r="EQ47" s="10"/>
      <c r="ER47" s="10"/>
      <c r="ES47" s="10"/>
    </row>
    <row r="48" spans="1:149">
      <c r="A48" s="119" t="s">
        <v>1263</v>
      </c>
      <c r="B48" s="10" t="s">
        <v>1265</v>
      </c>
      <c r="C48" s="10" t="s">
        <v>1374</v>
      </c>
      <c r="D48" s="129">
        <v>2025</v>
      </c>
      <c r="E48" s="129">
        <v>2027</v>
      </c>
      <c r="F48" s="10" t="s">
        <v>1308</v>
      </c>
      <c r="G48" s="411"/>
      <c r="H48" s="411"/>
      <c r="I48" s="411"/>
      <c r="J48" s="411"/>
      <c r="K48" s="411"/>
      <c r="L48" s="411"/>
      <c r="M48" s="411"/>
      <c r="N48" s="411"/>
      <c r="O48" s="411"/>
      <c r="P48" s="411"/>
      <c r="Q48" s="411"/>
      <c r="R48" s="411"/>
      <c r="S48" s="411"/>
      <c r="T48" s="411"/>
      <c r="U48" s="411"/>
      <c r="V48" s="411"/>
      <c r="W48" s="411"/>
      <c r="X48" s="411"/>
      <c r="Y48" s="411"/>
      <c r="Z48" s="411"/>
      <c r="AA48" s="411"/>
      <c r="AB48" s="411"/>
      <c r="AC48" s="411"/>
      <c r="AD48" s="411"/>
      <c r="AE48" s="411"/>
      <c r="AF48" s="411"/>
      <c r="AG48" s="411"/>
      <c r="AH48" s="411"/>
      <c r="AI48" s="411"/>
      <c r="AJ48" s="411"/>
      <c r="AK48" s="411"/>
      <c r="AL48" s="411"/>
      <c r="AM48" s="411"/>
      <c r="AN48" s="411"/>
      <c r="AO48" s="411"/>
      <c r="AP48" s="411"/>
      <c r="AQ48" s="411"/>
      <c r="AR48" s="411"/>
      <c r="AS48" s="411"/>
      <c r="AT48" s="411"/>
      <c r="AU48" s="411"/>
      <c r="AV48" s="411"/>
      <c r="AW48" s="411"/>
      <c r="AX48" s="411"/>
      <c r="AY48" s="411"/>
      <c r="AZ48" s="411"/>
      <c r="BA48" s="411"/>
      <c r="BB48" s="411"/>
      <c r="BC48" s="411"/>
      <c r="BD48" s="411"/>
      <c r="BE48" s="411"/>
      <c r="BF48" s="411"/>
      <c r="BG48" s="411"/>
      <c r="BH48" s="411"/>
      <c r="BI48" s="411"/>
      <c r="BJ48" s="411"/>
      <c r="BK48" s="411"/>
      <c r="BL48" s="411"/>
      <c r="BM48" s="411"/>
      <c r="BN48" s="411"/>
      <c r="BO48" s="411"/>
      <c r="BP48" s="411"/>
      <c r="BQ48" s="411"/>
      <c r="BR48" s="411"/>
      <c r="BS48" s="411"/>
      <c r="BT48" s="411"/>
      <c r="BU48" s="411"/>
      <c r="BV48" s="411"/>
      <c r="BW48" s="411"/>
      <c r="BX48" s="411"/>
      <c r="BY48" s="411"/>
      <c r="BZ48" s="411"/>
      <c r="CA48" s="411"/>
      <c r="CB48" s="411"/>
      <c r="CC48" s="411"/>
      <c r="CD48" s="411"/>
      <c r="CE48" s="411"/>
      <c r="CF48" s="411"/>
      <c r="CG48" s="411"/>
      <c r="CH48" s="411"/>
      <c r="CI48" s="411"/>
      <c r="CJ48" s="411"/>
      <c r="CK48" s="411"/>
      <c r="CL48" s="411"/>
      <c r="CM48" s="411"/>
      <c r="CN48" s="411"/>
      <c r="CO48" s="411"/>
      <c r="CP48" s="411"/>
      <c r="CQ48" s="411"/>
      <c r="CR48" s="411"/>
      <c r="CS48" s="411"/>
      <c r="CT48" s="411"/>
      <c r="CU48" s="411"/>
      <c r="CV48" s="411"/>
      <c r="CW48" s="411"/>
      <c r="CX48" s="411"/>
      <c r="CY48" s="411"/>
      <c r="CZ48" s="411"/>
      <c r="DA48" s="411"/>
      <c r="DB48" s="411"/>
      <c r="DC48" s="411"/>
      <c r="DD48" s="411"/>
      <c r="DE48" s="411"/>
      <c r="DF48" s="411"/>
      <c r="DG48" s="411"/>
      <c r="DH48" s="411"/>
      <c r="DI48" s="411"/>
      <c r="DJ48" s="411"/>
      <c r="DK48" s="411"/>
      <c r="DL48" s="411"/>
      <c r="DM48" s="411"/>
      <c r="DN48" s="411"/>
      <c r="DO48" s="411"/>
      <c r="DP48" s="411"/>
      <c r="DQ48" s="411"/>
      <c r="DR48" s="411"/>
      <c r="DS48" s="411"/>
      <c r="DT48" s="411"/>
      <c r="DU48" s="411"/>
      <c r="DV48" s="411"/>
      <c r="DW48" s="411"/>
      <c r="DX48" s="411"/>
      <c r="DY48" s="411"/>
      <c r="DZ48" s="411"/>
      <c r="EA48" s="411"/>
      <c r="EB48" s="411"/>
      <c r="EC48" s="411"/>
      <c r="ED48" s="411"/>
      <c r="EE48" s="411"/>
      <c r="EF48" s="411"/>
      <c r="EG48" s="411"/>
      <c r="EH48" s="411"/>
      <c r="EI48" s="411"/>
      <c r="EJ48" s="411"/>
      <c r="EK48" s="411"/>
      <c r="EL48" s="411"/>
      <c r="EM48" s="411"/>
      <c r="EN48" s="411"/>
      <c r="EO48" s="411"/>
      <c r="EP48" s="411"/>
      <c r="EQ48" s="411"/>
      <c r="ER48" s="411"/>
      <c r="ES48" s="411"/>
    </row>
    <row r="49" spans="1:149" ht="29">
      <c r="A49" s="119" t="s">
        <v>1270</v>
      </c>
      <c r="B49" s="119" t="s">
        <v>1375</v>
      </c>
      <c r="C49" s="10" t="s">
        <v>1376</v>
      </c>
      <c r="D49" s="129">
        <v>2025</v>
      </c>
      <c r="E49" s="129">
        <v>2026</v>
      </c>
      <c r="F49" s="10" t="s">
        <v>1308</v>
      </c>
      <c r="G49" s="411"/>
      <c r="H49" s="411"/>
      <c r="I49" s="411"/>
      <c r="J49" s="411"/>
      <c r="K49" s="411"/>
      <c r="L49" s="411"/>
      <c r="M49" s="411"/>
      <c r="N49" s="411"/>
      <c r="O49" s="411"/>
      <c r="P49" s="411"/>
      <c r="Q49" s="411"/>
      <c r="R49" s="411"/>
      <c r="S49" s="411"/>
      <c r="T49" s="411"/>
      <c r="U49" s="411"/>
      <c r="V49" s="411"/>
      <c r="W49" s="411"/>
      <c r="X49" s="411"/>
      <c r="Y49" s="411"/>
      <c r="Z49" s="411"/>
      <c r="AA49" s="411"/>
      <c r="AB49" s="411"/>
      <c r="AC49" s="411"/>
      <c r="AD49" s="411"/>
      <c r="AE49" s="411"/>
      <c r="AF49" s="411"/>
      <c r="AG49" s="411"/>
      <c r="AH49" s="411"/>
      <c r="AI49" s="411"/>
      <c r="AJ49" s="411"/>
      <c r="AK49" s="411"/>
      <c r="AL49" s="411"/>
      <c r="AM49" s="411"/>
      <c r="AN49" s="411"/>
      <c r="AO49" s="411"/>
      <c r="AP49" s="411"/>
      <c r="AQ49" s="411"/>
      <c r="AR49" s="411"/>
      <c r="AS49" s="411"/>
      <c r="AT49" s="411"/>
      <c r="AU49" s="411"/>
      <c r="AV49" s="411"/>
      <c r="AW49" s="411"/>
      <c r="AX49" s="411"/>
      <c r="AY49" s="411"/>
      <c r="AZ49" s="411"/>
      <c r="BA49" s="411"/>
      <c r="BB49" s="411"/>
      <c r="BC49" s="411"/>
      <c r="BD49" s="411"/>
      <c r="BE49" s="411"/>
      <c r="BF49" s="411"/>
      <c r="BG49" s="411"/>
      <c r="BH49" s="411"/>
      <c r="BI49" s="411"/>
      <c r="BJ49" s="411"/>
      <c r="BK49" s="411"/>
      <c r="BL49" s="411"/>
      <c r="BM49" s="411"/>
      <c r="BN49" s="411"/>
      <c r="BO49" s="411"/>
      <c r="BP49" s="411"/>
      <c r="BQ49" s="411"/>
      <c r="BR49" s="411"/>
      <c r="BS49" s="411"/>
      <c r="BT49" s="411"/>
      <c r="BU49" s="411"/>
      <c r="BV49" s="411"/>
      <c r="BW49" s="411"/>
      <c r="BX49" s="411"/>
      <c r="BY49" s="411"/>
      <c r="BZ49" s="411"/>
      <c r="CA49" s="411"/>
      <c r="CB49" s="411"/>
      <c r="CC49" s="411"/>
      <c r="CD49" s="411"/>
      <c r="CE49" s="411"/>
      <c r="CF49" s="411"/>
      <c r="CG49" s="411"/>
      <c r="CH49" s="411"/>
      <c r="CI49" s="411"/>
      <c r="CJ49" s="411"/>
      <c r="CK49" s="411"/>
      <c r="CL49" s="411"/>
      <c r="CM49" s="411"/>
      <c r="CN49" s="411"/>
      <c r="CO49" s="411"/>
      <c r="CP49" s="411"/>
      <c r="CQ49" s="411"/>
      <c r="CR49" s="411"/>
      <c r="CS49" s="411"/>
      <c r="CT49" s="411"/>
      <c r="CU49" s="411"/>
      <c r="CV49" s="411"/>
      <c r="CW49" s="411"/>
      <c r="CX49" s="411"/>
      <c r="CY49" s="411"/>
      <c r="CZ49" s="411"/>
      <c r="DA49" s="411"/>
      <c r="DB49" s="411"/>
      <c r="DC49" s="411"/>
      <c r="DD49" s="411"/>
      <c r="DE49" s="411"/>
      <c r="DF49" s="411"/>
      <c r="DG49" s="411"/>
      <c r="DH49" s="411"/>
      <c r="DI49" s="411"/>
      <c r="DJ49" s="411"/>
      <c r="DK49" s="411"/>
      <c r="DL49" s="411"/>
      <c r="DM49" s="411"/>
      <c r="DN49" s="411"/>
      <c r="DO49" s="411"/>
      <c r="DP49" s="411"/>
      <c r="DQ49" s="411"/>
      <c r="DR49" s="411"/>
      <c r="DS49" s="411"/>
      <c r="DT49" s="411"/>
      <c r="DU49" s="411"/>
      <c r="DV49" s="411"/>
      <c r="DW49" s="411"/>
      <c r="DX49" s="411"/>
      <c r="DY49" s="411"/>
      <c r="DZ49" s="411"/>
      <c r="EA49" s="411"/>
      <c r="EB49" s="411"/>
      <c r="EC49" s="411"/>
      <c r="ED49" s="411"/>
      <c r="EE49" s="411"/>
      <c r="EF49" s="411"/>
      <c r="EG49" s="411"/>
      <c r="EH49" s="411"/>
      <c r="EI49" s="411"/>
      <c r="EJ49" s="411"/>
      <c r="EK49" s="411"/>
      <c r="EL49" s="411"/>
      <c r="EM49" s="411"/>
      <c r="EN49" s="411"/>
      <c r="EO49" s="411"/>
      <c r="EP49" s="411"/>
      <c r="EQ49" s="411"/>
      <c r="ER49" s="411"/>
      <c r="ES49" s="411"/>
    </row>
    <row r="50" spans="1:149">
      <c r="A50" s="119" t="s">
        <v>1277</v>
      </c>
      <c r="B50" s="119" t="s">
        <v>1278</v>
      </c>
      <c r="C50" s="10" t="s">
        <v>1377</v>
      </c>
      <c r="D50" s="129">
        <v>2025</v>
      </c>
      <c r="E50" s="129">
        <v>2029</v>
      </c>
      <c r="F50" s="10" t="s">
        <v>1308</v>
      </c>
      <c r="G50" s="411"/>
      <c r="H50" s="411"/>
      <c r="I50" s="411"/>
      <c r="J50" s="411"/>
      <c r="K50" s="411"/>
      <c r="L50" s="411"/>
      <c r="M50" s="411"/>
      <c r="N50" s="411"/>
      <c r="O50" s="411"/>
      <c r="P50" s="411"/>
      <c r="Q50" s="411"/>
      <c r="R50" s="411"/>
      <c r="S50" s="411"/>
      <c r="T50" s="411"/>
      <c r="U50" s="411"/>
      <c r="V50" s="411"/>
      <c r="W50" s="411"/>
      <c r="X50" s="411"/>
      <c r="Y50" s="411"/>
      <c r="Z50" s="411"/>
      <c r="AA50" s="411"/>
      <c r="AB50" s="411"/>
      <c r="AC50" s="411"/>
      <c r="AD50" s="411"/>
      <c r="AE50" s="411"/>
      <c r="AF50" s="411"/>
      <c r="AG50" s="411"/>
      <c r="AH50" s="411"/>
      <c r="AI50" s="411"/>
      <c r="AJ50" s="411"/>
      <c r="AK50" s="411"/>
      <c r="AL50" s="411"/>
      <c r="AM50" s="411"/>
      <c r="AN50" s="411"/>
      <c r="AO50" s="411"/>
      <c r="AP50" s="411"/>
      <c r="AQ50" s="411"/>
      <c r="AR50" s="411"/>
      <c r="AS50" s="411"/>
      <c r="AT50" s="411"/>
      <c r="AU50" s="411"/>
      <c r="AV50" s="411"/>
      <c r="AW50" s="411"/>
      <c r="AX50" s="411"/>
      <c r="AY50" s="411"/>
      <c r="AZ50" s="411"/>
      <c r="BA50" s="411"/>
      <c r="BB50" s="411"/>
      <c r="BC50" s="411"/>
      <c r="BD50" s="411"/>
      <c r="BE50" s="411"/>
      <c r="BF50" s="411"/>
      <c r="BG50" s="411"/>
      <c r="BH50" s="411"/>
      <c r="BI50" s="411"/>
      <c r="BJ50" s="411"/>
      <c r="BK50" s="411"/>
      <c r="BL50" s="411"/>
      <c r="BM50" s="411"/>
      <c r="BN50" s="411"/>
      <c r="BO50" s="411"/>
      <c r="BP50" s="411"/>
      <c r="BQ50" s="411"/>
      <c r="BR50" s="411"/>
      <c r="BS50" s="411"/>
      <c r="BT50" s="411"/>
      <c r="BU50" s="411"/>
      <c r="BV50" s="411"/>
      <c r="BW50" s="411"/>
      <c r="BX50" s="411"/>
      <c r="BY50" s="411"/>
      <c r="BZ50" s="411"/>
      <c r="CA50" s="411"/>
      <c r="CB50" s="411"/>
      <c r="CC50" s="411"/>
      <c r="CD50" s="411"/>
      <c r="CE50" s="411"/>
      <c r="CF50" s="411"/>
      <c r="CG50" s="411"/>
      <c r="CH50" s="411"/>
      <c r="CI50" s="411"/>
      <c r="CJ50" s="411"/>
      <c r="CK50" s="411"/>
      <c r="CL50" s="411"/>
      <c r="CM50" s="411"/>
      <c r="CN50" s="411"/>
      <c r="CO50" s="411"/>
      <c r="CP50" s="411"/>
      <c r="CQ50" s="411"/>
      <c r="CR50" s="411"/>
      <c r="CS50" s="411"/>
      <c r="CT50" s="411"/>
      <c r="CU50" s="411"/>
      <c r="CV50" s="411"/>
      <c r="CW50" s="411"/>
      <c r="CX50" s="411"/>
      <c r="CY50" s="411"/>
      <c r="CZ50" s="411"/>
      <c r="DA50" s="411"/>
      <c r="DB50" s="411"/>
      <c r="DC50" s="411"/>
      <c r="DD50" s="411"/>
      <c r="DE50" s="411"/>
      <c r="DF50" s="411"/>
      <c r="DG50" s="411"/>
      <c r="DH50" s="411"/>
      <c r="DI50" s="411"/>
      <c r="DJ50" s="411"/>
      <c r="DK50" s="411"/>
      <c r="DL50" s="411"/>
      <c r="DM50" s="411"/>
      <c r="DN50" s="411"/>
      <c r="DO50" s="411"/>
      <c r="DP50" s="411"/>
      <c r="DQ50" s="411"/>
      <c r="DR50" s="411"/>
      <c r="DS50" s="411"/>
      <c r="DT50" s="411"/>
      <c r="DU50" s="411"/>
      <c r="DV50" s="411"/>
      <c r="DW50" s="411"/>
      <c r="DX50" s="411"/>
      <c r="DY50" s="411"/>
      <c r="DZ50" s="411"/>
      <c r="EA50" s="411"/>
      <c r="EB50" s="411"/>
      <c r="EC50" s="411"/>
      <c r="ED50" s="411"/>
      <c r="EE50" s="411"/>
      <c r="EF50" s="411"/>
      <c r="EG50" s="411"/>
      <c r="EH50" s="411"/>
      <c r="EI50" s="411"/>
      <c r="EJ50" s="411"/>
      <c r="EK50" s="411"/>
      <c r="EL50" s="411"/>
      <c r="EM50" s="411"/>
      <c r="EN50" s="411"/>
      <c r="EO50" s="411"/>
      <c r="EP50" s="411"/>
      <c r="EQ50" s="411"/>
      <c r="ER50" s="411"/>
      <c r="ES50" s="411"/>
    </row>
  </sheetData>
  <mergeCells count="25">
    <mergeCell ref="S22:AB22"/>
    <mergeCell ref="S29:AB29"/>
    <mergeCell ref="S30:AB30"/>
    <mergeCell ref="S31:AB31"/>
    <mergeCell ref="DI1:DQ1"/>
    <mergeCell ref="AC1:AN1"/>
    <mergeCell ref="AA1:AB1"/>
    <mergeCell ref="DV1:EG1"/>
    <mergeCell ref="EH1:ES1"/>
    <mergeCell ref="AO1:AZ1"/>
    <mergeCell ref="BA1:BL1"/>
    <mergeCell ref="BM1:BX1"/>
    <mergeCell ref="BY1:CJ1"/>
    <mergeCell ref="CK1:CV1"/>
    <mergeCell ref="CW1:DH1"/>
    <mergeCell ref="G1:H1"/>
    <mergeCell ref="I1:J1"/>
    <mergeCell ref="K1:L1"/>
    <mergeCell ref="M1:N1"/>
    <mergeCell ref="O1:P1"/>
    <mergeCell ref="Q1:R1"/>
    <mergeCell ref="S1:T1"/>
    <mergeCell ref="U1:V1"/>
    <mergeCell ref="W1:X1"/>
    <mergeCell ref="Y1:Z1"/>
  </mergeCells>
  <phoneticPr fontId="14" type="noConversion"/>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75739-0BA0-4530-A315-EF5D37DCE10D}">
  <dimension ref="B1:O66"/>
  <sheetViews>
    <sheetView topLeftCell="A38" workbookViewId="0">
      <selection activeCell="G20" sqref="G20"/>
    </sheetView>
  </sheetViews>
  <sheetFormatPr defaultRowHeight="14.5"/>
  <cols>
    <col min="2" max="2" width="20.54296875" bestFit="1" customWidth="1"/>
    <col min="3" max="3" width="15.81640625" bestFit="1" customWidth="1"/>
    <col min="4" max="5" width="4.81640625" bestFit="1" customWidth="1"/>
    <col min="6" max="6" width="24.1796875" customWidth="1"/>
    <col min="7" max="7" width="16.1796875" customWidth="1"/>
    <col min="8" max="8" width="10.453125" bestFit="1" customWidth="1"/>
    <col min="9" max="9" width="9.453125" bestFit="1" customWidth="1"/>
    <col min="10" max="10" width="20.81640625" customWidth="1"/>
    <col min="11" max="11" width="13.54296875" customWidth="1"/>
    <col min="12" max="12" width="15.54296875" customWidth="1"/>
    <col min="13" max="13" width="11.453125" customWidth="1"/>
    <col min="14" max="20" width="8.81640625" bestFit="1" customWidth="1"/>
  </cols>
  <sheetData>
    <row r="1" spans="2:7">
      <c r="B1" s="130" t="s">
        <v>1466</v>
      </c>
      <c r="C1" s="131"/>
      <c r="F1" s="131" t="s">
        <v>1467</v>
      </c>
      <c r="G1" s="131"/>
    </row>
    <row r="2" spans="2:7">
      <c r="B2" s="127" t="s">
        <v>73</v>
      </c>
      <c r="C2" t="s">
        <v>1468</v>
      </c>
      <c r="F2" s="127" t="s">
        <v>73</v>
      </c>
      <c r="G2" t="s">
        <v>1469</v>
      </c>
    </row>
    <row r="3" spans="2:7">
      <c r="B3" s="127" t="s">
        <v>63</v>
      </c>
      <c r="C3" t="s">
        <v>1469</v>
      </c>
      <c r="F3" s="127" t="s">
        <v>63</v>
      </c>
      <c r="G3" t="s">
        <v>1469</v>
      </c>
    </row>
    <row r="5" spans="2:7">
      <c r="B5" s="127" t="s">
        <v>1470</v>
      </c>
      <c r="C5" t="s">
        <v>1471</v>
      </c>
      <c r="F5" s="127" t="s">
        <v>1470</v>
      </c>
      <c r="G5" t="s">
        <v>1472</v>
      </c>
    </row>
    <row r="6" spans="2:7">
      <c r="B6" s="81" t="s">
        <v>180</v>
      </c>
      <c r="C6" s="129">
        <v>4</v>
      </c>
      <c r="F6" s="81" t="s">
        <v>180</v>
      </c>
      <c r="G6" s="129">
        <v>11</v>
      </c>
    </row>
    <row r="7" spans="2:7">
      <c r="B7" s="81" t="s">
        <v>497</v>
      </c>
      <c r="C7" s="129">
        <v>4</v>
      </c>
      <c r="F7" s="81" t="s">
        <v>181</v>
      </c>
      <c r="G7" s="129">
        <v>1</v>
      </c>
    </row>
    <row r="8" spans="2:7">
      <c r="B8" s="81" t="s">
        <v>1131</v>
      </c>
      <c r="C8" s="129">
        <v>8</v>
      </c>
      <c r="F8" s="81" t="s">
        <v>497</v>
      </c>
      <c r="G8" s="129">
        <v>10</v>
      </c>
    </row>
    <row r="9" spans="2:7">
      <c r="B9" s="81" t="s">
        <v>563</v>
      </c>
      <c r="C9" s="129">
        <v>3</v>
      </c>
      <c r="F9" s="81" t="s">
        <v>610</v>
      </c>
      <c r="G9" s="129">
        <v>8</v>
      </c>
    </row>
    <row r="10" spans="2:7">
      <c r="B10" s="81" t="s">
        <v>220</v>
      </c>
      <c r="C10" s="129">
        <v>1</v>
      </c>
      <c r="F10" s="81" t="s">
        <v>299</v>
      </c>
      <c r="G10" s="129">
        <v>15</v>
      </c>
    </row>
    <row r="11" spans="2:7">
      <c r="B11" s="81" t="s">
        <v>202</v>
      </c>
      <c r="C11" s="129">
        <v>1</v>
      </c>
      <c r="F11" s="81" t="s">
        <v>563</v>
      </c>
      <c r="G11" s="129">
        <v>16</v>
      </c>
    </row>
    <row r="12" spans="2:7">
      <c r="B12" s="81" t="s">
        <v>315</v>
      </c>
      <c r="C12" s="129">
        <v>2</v>
      </c>
      <c r="F12" s="81" t="s">
        <v>220</v>
      </c>
      <c r="G12" s="129">
        <v>13</v>
      </c>
    </row>
    <row r="13" spans="2:7">
      <c r="B13" s="81" t="s">
        <v>1473</v>
      </c>
      <c r="C13" s="129">
        <v>23</v>
      </c>
      <c r="F13" s="81" t="s">
        <v>202</v>
      </c>
      <c r="G13" s="129">
        <v>10</v>
      </c>
    </row>
    <row r="14" spans="2:7">
      <c r="F14" s="81" t="s">
        <v>315</v>
      </c>
      <c r="G14" s="129">
        <v>14</v>
      </c>
    </row>
    <row r="15" spans="2:7">
      <c r="F15" s="12" t="s">
        <v>1468</v>
      </c>
      <c r="G15" s="129"/>
    </row>
    <row r="16" spans="2:7">
      <c r="F16" s="81" t="s">
        <v>1473</v>
      </c>
      <c r="G16" s="129">
        <v>98</v>
      </c>
    </row>
    <row r="19" spans="2:15">
      <c r="B19" s="127" t="s">
        <v>73</v>
      </c>
      <c r="C19" t="s">
        <v>1469</v>
      </c>
    </row>
    <row r="20" spans="2:15">
      <c r="B20" s="127" t="s">
        <v>63</v>
      </c>
      <c r="C20" t="s">
        <v>1469</v>
      </c>
    </row>
    <row r="22" spans="2:15">
      <c r="B22" s="127" t="s">
        <v>1472</v>
      </c>
      <c r="C22" s="127" t="s">
        <v>1474</v>
      </c>
    </row>
    <row r="23" spans="2:15" ht="43.5">
      <c r="B23" s="127" t="s">
        <v>1470</v>
      </c>
      <c r="C23">
        <v>2025</v>
      </c>
      <c r="D23">
        <v>2026</v>
      </c>
      <c r="E23">
        <v>2027</v>
      </c>
      <c r="F23">
        <v>2028</v>
      </c>
      <c r="G23" t="s">
        <v>1473</v>
      </c>
      <c r="J23" s="132" t="s">
        <v>1475</v>
      </c>
      <c r="K23" s="132" t="s">
        <v>1476</v>
      </c>
      <c r="L23" s="132" t="s">
        <v>1477</v>
      </c>
      <c r="M23" s="132" t="s">
        <v>1478</v>
      </c>
      <c r="N23" s="481" t="s">
        <v>113</v>
      </c>
      <c r="O23" s="481" t="s">
        <v>1479</v>
      </c>
    </row>
    <row r="24" spans="2:15">
      <c r="B24" s="12" t="s">
        <v>180</v>
      </c>
      <c r="C24">
        <v>2</v>
      </c>
      <c r="D24">
        <v>1</v>
      </c>
      <c r="E24">
        <v>2</v>
      </c>
      <c r="F24">
        <v>1</v>
      </c>
      <c r="G24">
        <v>6</v>
      </c>
      <c r="J24" s="81" t="s">
        <v>180</v>
      </c>
      <c r="K24" s="129">
        <f>GETPIVOTDATA("PM",$B$22,"End Proyek",2025,"PM","Aldo Fernanda")</f>
        <v>2</v>
      </c>
      <c r="L24" s="129">
        <f>GETPIVOTDATA("PM",$B$22,"End Proyek",2026,"PM","Aldo Fernanda")+GETPIVOTDATA("PM",$B$22,"End Proyek",2027,"PM","Aldo Fernanda")+GETPIVOTDATA("PM",$B$22,"End Proyek",2028,"PM","Aldo Fernanda")</f>
        <v>4</v>
      </c>
      <c r="M24" s="480">
        <f>GETPIVOTDATA("PM",$B$39,"PM","Aldo Fernanda")</f>
        <v>5</v>
      </c>
      <c r="N24" s="129">
        <f>K24+L24+M24</f>
        <v>11</v>
      </c>
      <c r="O24" s="129">
        <f t="shared" ref="O24:O32" si="0">L24+M24</f>
        <v>9</v>
      </c>
    </row>
    <row r="25" spans="2:15">
      <c r="B25" s="12" t="s">
        <v>181</v>
      </c>
      <c r="F25">
        <v>1</v>
      </c>
      <c r="G25">
        <v>1</v>
      </c>
      <c r="J25" s="81" t="s">
        <v>181</v>
      </c>
      <c r="K25" s="129">
        <f>GETPIVOTDATA("PM",$B$22,"End Proyek",2025,"PM","Among Rogo Wicaksono")</f>
        <v>0</v>
      </c>
      <c r="L25" s="129">
        <f>GETPIVOTDATA("PM",$B$22,"End Proyek",2026,"PM","Among Rogo Wicaksono")+GETPIVOTDATA("PM",$B$22,"End Proyek",2027,"PM","Among Rogo Wicaksono")+GETPIVOTDATA("PM",$B$22,"End Proyek",2028,"PM","Among Rogo Wicaksono")</f>
        <v>1</v>
      </c>
      <c r="M25" s="480">
        <v>0</v>
      </c>
      <c r="N25" s="129">
        <f t="shared" ref="N25:N32" si="1">K25+L25+M25</f>
        <v>1</v>
      </c>
      <c r="O25" s="129">
        <f t="shared" si="0"/>
        <v>1</v>
      </c>
    </row>
    <row r="26" spans="2:15">
      <c r="B26" s="12" t="s">
        <v>497</v>
      </c>
      <c r="C26">
        <v>1</v>
      </c>
      <c r="D26">
        <v>1</v>
      </c>
      <c r="E26">
        <v>2</v>
      </c>
      <c r="G26">
        <v>4</v>
      </c>
      <c r="J26" s="81" t="s">
        <v>497</v>
      </c>
      <c r="K26" s="129">
        <f>GETPIVOTDATA("PM",$B$22,"End Proyek",2025,"PM","Elnestor")</f>
        <v>1</v>
      </c>
      <c r="L26" s="129">
        <f>GETPIVOTDATA("PM",$B$22,"End Proyek",2026,"PM","Elnestor")+GETPIVOTDATA("PM",$B$22,"End Proyek",2027,"PM","Elnestor")+GETPIVOTDATA("PM",$B$22,"End Proyek",2028,"PM","Elnestor")</f>
        <v>3</v>
      </c>
      <c r="M26" s="480">
        <f>GETPIVOTDATA("PM",$B$39,"PM","Elnestor")</f>
        <v>6</v>
      </c>
      <c r="N26" s="129">
        <f t="shared" si="1"/>
        <v>10</v>
      </c>
      <c r="O26" s="129">
        <f t="shared" si="0"/>
        <v>9</v>
      </c>
    </row>
    <row r="27" spans="2:15">
      <c r="B27" s="12" t="s">
        <v>610</v>
      </c>
      <c r="C27">
        <v>1</v>
      </c>
      <c r="D27">
        <v>2</v>
      </c>
      <c r="G27">
        <v>3</v>
      </c>
      <c r="J27" s="81" t="s">
        <v>610</v>
      </c>
      <c r="K27" s="129">
        <v>3</v>
      </c>
      <c r="L27" s="129">
        <v>6</v>
      </c>
      <c r="M27" s="480">
        <f>GETPIVOTDATA("PM",$B$39,"PM","M. Fahmi Ridwan")</f>
        <v>5</v>
      </c>
      <c r="N27" s="129">
        <f>K27+L27+M27</f>
        <v>14</v>
      </c>
      <c r="O27" s="129">
        <f t="shared" si="0"/>
        <v>11</v>
      </c>
    </row>
    <row r="28" spans="2:15">
      <c r="B28" s="12" t="s">
        <v>299</v>
      </c>
      <c r="C28">
        <v>2</v>
      </c>
      <c r="D28">
        <v>8</v>
      </c>
      <c r="E28">
        <v>4</v>
      </c>
      <c r="G28">
        <v>14</v>
      </c>
      <c r="J28" s="81" t="s">
        <v>299</v>
      </c>
      <c r="K28" s="129">
        <f>GETPIVOTDATA("PM",$B$22,"End Proyek",2025,"PM","Pahman Hasibuan")</f>
        <v>2</v>
      </c>
      <c r="L28" s="129">
        <f>GETPIVOTDATA("PM",$B$22,"End Proyek",2026,"PM","Pahman Hasibuan")+GETPIVOTDATA("PM",$B$22,"End Proyek",2027,"PM","Pahman Hasibuan")+GETPIVOTDATA("PM",$B$22,"End Proyek",2028,"PM","Pahman Hasibuan")</f>
        <v>12</v>
      </c>
      <c r="M28" s="480">
        <f>GETPIVOTDATA("PM",$B$39,"PM","Pahman Hasibuan")</f>
        <v>1</v>
      </c>
      <c r="N28" s="129">
        <f t="shared" si="1"/>
        <v>15</v>
      </c>
      <c r="O28" s="129">
        <f t="shared" si="0"/>
        <v>13</v>
      </c>
    </row>
    <row r="29" spans="2:15">
      <c r="B29" s="12" t="s">
        <v>563</v>
      </c>
      <c r="C29">
        <v>2</v>
      </c>
      <c r="D29">
        <v>9</v>
      </c>
      <c r="E29">
        <v>3</v>
      </c>
      <c r="G29">
        <v>14</v>
      </c>
      <c r="J29" s="81" t="s">
        <v>563</v>
      </c>
      <c r="K29" s="129">
        <f>GETPIVOTDATA("PM",$B$22,"End Proyek",2025,"PM","Rangga Dhaniarto")</f>
        <v>2</v>
      </c>
      <c r="L29" s="129">
        <f>GETPIVOTDATA("PM",$B$22,"End Proyek",2026,"PM","Rangga Dhaniarto")+GETPIVOTDATA("PM",$B$22,"End Proyek",2027,"PM","Rangga Dhaniarto")+GETPIVOTDATA("PM",$B$22,"End Proyek",2028,"PM","Rangga Dhaniarto")</f>
        <v>12</v>
      </c>
      <c r="M29" s="480">
        <f>GETPIVOTDATA("PM",$B$39,"PM","Rangga Dhaniarto")</f>
        <v>2</v>
      </c>
      <c r="N29" s="129">
        <f t="shared" si="1"/>
        <v>16</v>
      </c>
      <c r="O29" s="129">
        <f t="shared" si="0"/>
        <v>14</v>
      </c>
    </row>
    <row r="30" spans="2:15">
      <c r="B30" s="12" t="s">
        <v>220</v>
      </c>
      <c r="C30">
        <v>2</v>
      </c>
      <c r="D30">
        <v>3</v>
      </c>
      <c r="G30">
        <v>5</v>
      </c>
      <c r="J30" s="81" t="s">
        <v>220</v>
      </c>
      <c r="K30" s="129">
        <f>GETPIVOTDATA("PM",$B$22,"End Proyek",2025,"PM","Rifanda Yulio")</f>
        <v>2</v>
      </c>
      <c r="L30" s="129">
        <f>GETPIVOTDATA("PM",$B$22,"End Proyek",2026,"PM","Rifanda Yulio")+GETPIVOTDATA("PM",$B$22,"End Proyek",2027,"PM","Rifanda Yulio")+GETPIVOTDATA("PM",$B$22,"End Proyek",2028,"PM","Rifanda Yulio")</f>
        <v>3</v>
      </c>
      <c r="M30" s="480">
        <f>GETPIVOTDATA("PM",$B$39,"PM","Rifanda Yulio")</f>
        <v>8</v>
      </c>
      <c r="N30" s="129">
        <f t="shared" si="1"/>
        <v>13</v>
      </c>
      <c r="O30" s="129">
        <f t="shared" si="0"/>
        <v>11</v>
      </c>
    </row>
    <row r="31" spans="2:15">
      <c r="B31" s="12" t="s">
        <v>202</v>
      </c>
      <c r="C31">
        <v>1</v>
      </c>
      <c r="D31">
        <v>3</v>
      </c>
      <c r="G31">
        <v>4</v>
      </c>
      <c r="J31" s="81" t="s">
        <v>202</v>
      </c>
      <c r="K31" s="129">
        <f>GETPIVOTDATA("PM",$B$22,"End Proyek",2025,"PM","Rizky Arga")</f>
        <v>1</v>
      </c>
      <c r="L31" s="129">
        <f>GETPIVOTDATA("PM",$B$22,"End Proyek",2026,"PM","Rizky Arga")+GETPIVOTDATA("PM",$B$22,"End Proyek",2027,"PM","Rizky Arga")+GETPIVOTDATA("PM",$B$22,"End Proyek",2028,"PM","Rizky Arga")</f>
        <v>3</v>
      </c>
      <c r="M31" s="480">
        <f>GETPIVOTDATA("PM",$B$39,"PM","Rizky Arga")</f>
        <v>6</v>
      </c>
      <c r="N31" s="129">
        <f t="shared" si="1"/>
        <v>10</v>
      </c>
      <c r="O31" s="129">
        <f t="shared" si="0"/>
        <v>9</v>
      </c>
    </row>
    <row r="32" spans="2:15">
      <c r="B32" s="12" t="s">
        <v>315</v>
      </c>
      <c r="C32">
        <v>1</v>
      </c>
      <c r="D32">
        <v>3</v>
      </c>
      <c r="E32">
        <v>3</v>
      </c>
      <c r="G32">
        <v>7</v>
      </c>
      <c r="J32" s="81" t="s">
        <v>315</v>
      </c>
      <c r="K32" s="129">
        <f>GETPIVOTDATA("PM",$B$22,"End Proyek",2025,"PM","Yolanda Dini")</f>
        <v>1</v>
      </c>
      <c r="L32" s="129">
        <f>GETPIVOTDATA("PM",$B$22,"End Proyek",2026,"PM","Yolanda Dini")+GETPIVOTDATA("PM",$B$22,"End Proyek",2027,"PM","Yolanda Dini")+GETPIVOTDATA("PM",$B$22,"End Proyek",2028,"PM","Yolanda Dini")</f>
        <v>6</v>
      </c>
      <c r="M32" s="480">
        <f>GETPIVOTDATA("PM",$B$39,"PM","Yolanda Dini")</f>
        <v>7</v>
      </c>
      <c r="N32" s="129">
        <f t="shared" si="1"/>
        <v>14</v>
      </c>
      <c r="O32" s="129">
        <f t="shared" si="0"/>
        <v>13</v>
      </c>
    </row>
    <row r="33" spans="2:15">
      <c r="B33" s="12" t="s">
        <v>1473</v>
      </c>
      <c r="C33">
        <v>12</v>
      </c>
      <c r="D33">
        <v>30</v>
      </c>
      <c r="E33">
        <v>14</v>
      </c>
      <c r="F33">
        <v>2</v>
      </c>
      <c r="G33">
        <v>58</v>
      </c>
      <c r="N33" s="482">
        <f>SUM(N24:N32)</f>
        <v>104</v>
      </c>
      <c r="O33" s="482">
        <f>SUM(O24:O32)</f>
        <v>90</v>
      </c>
    </row>
    <row r="34" spans="2:15">
      <c r="B34" s="12"/>
      <c r="N34" s="2"/>
    </row>
    <row r="35" spans="2:15">
      <c r="B35" s="12"/>
      <c r="N35" s="2"/>
    </row>
    <row r="36" spans="2:15">
      <c r="B36" s="127" t="s">
        <v>73</v>
      </c>
      <c r="C36" t="s">
        <v>1469</v>
      </c>
      <c r="N36" s="2"/>
    </row>
    <row r="37" spans="2:15" ht="14.15" customHeight="1">
      <c r="B37" s="127" t="s">
        <v>63</v>
      </c>
      <c r="C37" s="12">
        <v>2026</v>
      </c>
    </row>
    <row r="39" spans="2:15">
      <c r="B39" s="127" t="s">
        <v>1472</v>
      </c>
      <c r="C39" s="127" t="s">
        <v>1474</v>
      </c>
    </row>
    <row r="40" spans="2:15">
      <c r="B40" s="127" t="s">
        <v>1470</v>
      </c>
      <c r="C40">
        <v>2026</v>
      </c>
      <c r="D40">
        <v>2027</v>
      </c>
      <c r="E40">
        <v>2028</v>
      </c>
      <c r="F40">
        <v>2029</v>
      </c>
      <c r="G40" t="s">
        <v>1473</v>
      </c>
    </row>
    <row r="41" spans="2:15">
      <c r="B41" s="12" t="s">
        <v>180</v>
      </c>
      <c r="C41">
        <v>2</v>
      </c>
      <c r="D41">
        <v>1</v>
      </c>
      <c r="E41">
        <v>1</v>
      </c>
      <c r="F41">
        <v>1</v>
      </c>
      <c r="G41">
        <v>5</v>
      </c>
    </row>
    <row r="42" spans="2:15">
      <c r="B42" s="12" t="s">
        <v>497</v>
      </c>
      <c r="C42">
        <v>1</v>
      </c>
      <c r="D42">
        <v>5</v>
      </c>
      <c r="G42">
        <v>6</v>
      </c>
    </row>
    <row r="43" spans="2:15">
      <c r="B43" s="12" t="s">
        <v>610</v>
      </c>
      <c r="C43">
        <v>2</v>
      </c>
      <c r="D43">
        <v>3</v>
      </c>
      <c r="G43">
        <v>5</v>
      </c>
    </row>
    <row r="44" spans="2:15">
      <c r="B44" s="12" t="s">
        <v>299</v>
      </c>
      <c r="D44">
        <v>1</v>
      </c>
      <c r="G44">
        <v>1</v>
      </c>
    </row>
    <row r="45" spans="2:15">
      <c r="B45" s="12" t="s">
        <v>563</v>
      </c>
      <c r="C45">
        <v>1</v>
      </c>
      <c r="D45">
        <v>1</v>
      </c>
      <c r="G45">
        <v>2</v>
      </c>
    </row>
    <row r="46" spans="2:15">
      <c r="B46" s="12" t="s">
        <v>220</v>
      </c>
      <c r="C46">
        <v>2</v>
      </c>
      <c r="D46">
        <v>2</v>
      </c>
      <c r="E46">
        <v>4</v>
      </c>
      <c r="G46">
        <v>8</v>
      </c>
    </row>
    <row r="47" spans="2:15">
      <c r="B47" s="12" t="s">
        <v>202</v>
      </c>
      <c r="D47">
        <v>4</v>
      </c>
      <c r="E47">
        <v>2</v>
      </c>
      <c r="G47">
        <v>6</v>
      </c>
    </row>
    <row r="48" spans="2:15">
      <c r="B48" s="12" t="s">
        <v>315</v>
      </c>
      <c r="C48">
        <v>1</v>
      </c>
      <c r="D48">
        <v>2</v>
      </c>
      <c r="E48">
        <v>3</v>
      </c>
      <c r="F48">
        <v>1</v>
      </c>
      <c r="G48">
        <v>7</v>
      </c>
    </row>
    <row r="49" spans="2:7">
      <c r="B49" s="12" t="s">
        <v>1468</v>
      </c>
    </row>
    <row r="50" spans="2:7">
      <c r="B50" s="12" t="s">
        <v>1473</v>
      </c>
      <c r="C50">
        <v>9</v>
      </c>
      <c r="D50">
        <v>19</v>
      </c>
      <c r="E50">
        <v>10</v>
      </c>
      <c r="F50">
        <v>2</v>
      </c>
      <c r="G50">
        <v>40</v>
      </c>
    </row>
    <row r="54" spans="2:7">
      <c r="B54" s="127" t="s">
        <v>106</v>
      </c>
    </row>
    <row r="55" spans="2:7">
      <c r="B55">
        <v>0</v>
      </c>
    </row>
    <row r="56" spans="2:7">
      <c r="B56">
        <v>2025</v>
      </c>
    </row>
    <row r="57" spans="2:7">
      <c r="B57" t="s">
        <v>180</v>
      </c>
    </row>
    <row r="58" spans="2:7">
      <c r="B58" t="s">
        <v>497</v>
      </c>
    </row>
    <row r="59" spans="2:7">
      <c r="B59" t="s">
        <v>1131</v>
      </c>
    </row>
    <row r="60" spans="2:7">
      <c r="B60" t="s">
        <v>299</v>
      </c>
    </row>
    <row r="61" spans="2:7">
      <c r="B61" t="s">
        <v>563</v>
      </c>
    </row>
    <row r="62" spans="2:7">
      <c r="B62" t="s">
        <v>220</v>
      </c>
    </row>
    <row r="63" spans="2:7">
      <c r="B63" t="s">
        <v>202</v>
      </c>
    </row>
    <row r="64" spans="2:7">
      <c r="B64" t="s">
        <v>315</v>
      </c>
    </row>
    <row r="65" spans="2:2">
      <c r="B65" t="s">
        <v>1468</v>
      </c>
    </row>
    <row r="66" spans="2:2">
      <c r="B66" t="s">
        <v>1473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777F2-38AA-4A52-87F1-56E36692A51B}">
  <sheetPr filterMode="1"/>
  <dimension ref="A1:K222"/>
  <sheetViews>
    <sheetView topLeftCell="A98" zoomScale="85" zoomScaleNormal="85" workbookViewId="0">
      <selection activeCell="C192" sqref="C192"/>
    </sheetView>
  </sheetViews>
  <sheetFormatPr defaultRowHeight="14.5"/>
  <cols>
    <col min="2" max="2" width="30.81640625" customWidth="1"/>
    <col min="3" max="3" width="83.54296875" customWidth="1"/>
    <col min="4" max="4" width="15.81640625" customWidth="1"/>
    <col min="5" max="5" width="17.1796875" customWidth="1"/>
    <col min="7" max="7" width="12.81640625" customWidth="1"/>
    <col min="10" max="10" width="18.36328125" bestFit="1" customWidth="1"/>
    <col min="11" max="11" width="16.81640625" bestFit="1" customWidth="1"/>
    <col min="12" max="12" width="10.1796875" bestFit="1" customWidth="1"/>
    <col min="13" max="13" width="17.7265625" bestFit="1" customWidth="1"/>
    <col min="14" max="14" width="10" bestFit="1" customWidth="1"/>
    <col min="15" max="15" width="10.7265625" bestFit="1" customWidth="1"/>
    <col min="16" max="16" width="3.6328125" bestFit="1" customWidth="1"/>
    <col min="17" max="17" width="2.81640625" bestFit="1" customWidth="1"/>
    <col min="18" max="18" width="5.90625" bestFit="1" customWidth="1"/>
    <col min="19" max="19" width="10.54296875" bestFit="1" customWidth="1"/>
    <col min="20" max="20" width="7.7265625" bestFit="1" customWidth="1"/>
    <col min="21" max="21" width="14.36328125" bestFit="1" customWidth="1"/>
    <col min="22" max="22" width="11.90625" bestFit="1" customWidth="1"/>
    <col min="23" max="23" width="3" bestFit="1" customWidth="1"/>
    <col min="24" max="24" width="4.08984375" bestFit="1" customWidth="1"/>
    <col min="25" max="25" width="6.81640625" bestFit="1" customWidth="1"/>
    <col min="26" max="26" width="10.36328125" bestFit="1" customWidth="1"/>
  </cols>
  <sheetData>
    <row r="1" spans="1:11" ht="15" thickBot="1"/>
    <row r="2" spans="1:11" ht="28">
      <c r="A2" s="136" t="s">
        <v>1480</v>
      </c>
      <c r="B2" s="136" t="s">
        <v>1481</v>
      </c>
      <c r="C2" s="136" t="s">
        <v>1482</v>
      </c>
      <c r="D2" s="136" t="s">
        <v>1483</v>
      </c>
      <c r="E2" s="136" t="s">
        <v>1484</v>
      </c>
      <c r="F2" s="136" t="s">
        <v>137</v>
      </c>
      <c r="G2" s="136" t="s">
        <v>138</v>
      </c>
    </row>
    <row r="3" spans="1:11" hidden="1">
      <c r="A3" s="129" t="str">
        <f>Proyek!E3</f>
        <v>P-1</v>
      </c>
      <c r="B3" s="81" t="str">
        <f>Proyek!H3</f>
        <v>New BI-FAST</v>
      </c>
      <c r="C3" s="81" t="str">
        <f>Proyek!I3</f>
        <v>Enhancement Aplikasi Legacy New BI-FAST</v>
      </c>
      <c r="D3" s="129" t="str">
        <f>Proyek!Q3</f>
        <v>SP, MI</v>
      </c>
      <c r="E3" s="129" t="str">
        <f>Proyek!T3</f>
        <v>On Progress</v>
      </c>
      <c r="F3" s="129">
        <f>Proyek!J3</f>
        <v>2025</v>
      </c>
      <c r="G3" s="129">
        <f>Proyek!K3</f>
        <v>2028</v>
      </c>
    </row>
    <row r="4" spans="1:11" hidden="1">
      <c r="A4" s="129" t="str">
        <f>Proyek!E4</f>
        <v>P-2</v>
      </c>
      <c r="B4" s="81" t="str">
        <f>Proyek!H4</f>
        <v>BI-RTGS Gen III</v>
      </c>
      <c r="C4" s="81" t="str">
        <f>Proyek!I4</f>
        <v>Enhancement Aplikasi Legacy BI-RTGS Gen III</v>
      </c>
      <c r="D4" s="129" t="str">
        <f>Proyek!Q4</f>
        <v>SP</v>
      </c>
      <c r="E4" s="129" t="str">
        <f>Proyek!T4</f>
        <v>Not Started</v>
      </c>
      <c r="F4" s="129">
        <f>Proyek!J4</f>
        <v>2026</v>
      </c>
      <c r="G4" s="129">
        <f>Proyek!K4</f>
        <v>2029</v>
      </c>
    </row>
    <row r="5" spans="1:11" hidden="1">
      <c r="A5" s="129" t="str">
        <f>Proyek!E5</f>
        <v>P-3</v>
      </c>
      <c r="B5" s="81" t="str">
        <f>Proyek!H5</f>
        <v>BI-SSSS Gen III</v>
      </c>
      <c r="C5" s="81" t="str">
        <f>Proyek!I5</f>
        <v>Enhancement Aplikasi Legacy BI-SSSS Gen III</v>
      </c>
      <c r="D5" s="129" t="str">
        <f>Proyek!Q5</f>
        <v>Market</v>
      </c>
      <c r="E5" s="129" t="str">
        <f>Proyek!T5</f>
        <v>Not Started</v>
      </c>
      <c r="F5" s="129">
        <f>Proyek!J5</f>
        <v>2027</v>
      </c>
      <c r="G5" s="129">
        <f>Proyek!K5</f>
        <v>2029</v>
      </c>
    </row>
    <row r="6" spans="1:11">
      <c r="A6" s="129" t="str">
        <f>Proyek!E6</f>
        <v>P-4</v>
      </c>
      <c r="B6" s="81" t="str">
        <f>Proyek!H6</f>
        <v>Infrastruktur Data PUVA</v>
      </c>
      <c r="C6" s="81" t="str">
        <f>Proyek!I6</f>
        <v>Capturing Matchmaking OIS</v>
      </c>
      <c r="D6" s="129" t="str">
        <f>Proyek!Q6</f>
        <v>Moneter</v>
      </c>
      <c r="E6" s="129" t="str">
        <f>Proyek!T6</f>
        <v>DONE</v>
      </c>
      <c r="F6" s="129">
        <f>Proyek!J6</f>
        <v>2025</v>
      </c>
      <c r="G6" s="129">
        <f>Proyek!K6</f>
        <v>2025</v>
      </c>
      <c r="J6" s="127" t="s">
        <v>1470</v>
      </c>
      <c r="K6" t="s">
        <v>1594</v>
      </c>
    </row>
    <row r="7" spans="1:11" hidden="1">
      <c r="A7" s="129" t="str">
        <f>Proyek!E7</f>
        <v>P-4</v>
      </c>
      <c r="B7" s="81" t="str">
        <f>Proyek!H7</f>
        <v>Infrastruktur Data PUVA</v>
      </c>
      <c r="C7" s="81" t="str">
        <f>Proyek!I7</f>
        <v>DEP Capturing Product -Capturing transaksi Repo, OIS, DNDF dari ETP-MO</v>
      </c>
      <c r="D7" s="129" t="str">
        <f>Proyek!Q7</f>
        <v>Moneter, Market</v>
      </c>
      <c r="E7" s="129" t="str">
        <f>Proyek!T7</f>
        <v>Not Started</v>
      </c>
      <c r="F7" s="129">
        <f>Proyek!J7</f>
        <v>2026</v>
      </c>
      <c r="G7" s="129">
        <f>Proyek!K7</f>
        <v>2027</v>
      </c>
      <c r="J7" s="12" t="s">
        <v>199</v>
      </c>
      <c r="K7">
        <v>54</v>
      </c>
    </row>
    <row r="8" spans="1:11" hidden="1">
      <c r="A8" s="129" t="str">
        <f>Proyek!E8</f>
        <v>P-4</v>
      </c>
      <c r="B8" s="81" t="str">
        <f>Proyek!H8</f>
        <v>Infrastruktur Data PUVA</v>
      </c>
      <c r="C8" s="81" t="str">
        <f>Proyek!I8</f>
        <v>EDP Capturing Product -Capturing transaksi FX Swap</v>
      </c>
      <c r="D8" s="129" t="str">
        <f>Proyek!Q8</f>
        <v>Moneter, Market</v>
      </c>
      <c r="E8" s="129" t="str">
        <f>Proyek!T8</f>
        <v>Not Started</v>
      </c>
      <c r="F8" s="129">
        <f>Proyek!J8</f>
        <v>2029</v>
      </c>
      <c r="G8" s="129">
        <f>Proyek!K8</f>
        <v>2029</v>
      </c>
      <c r="J8" s="12" t="s">
        <v>1196</v>
      </c>
      <c r="K8">
        <v>1</v>
      </c>
    </row>
    <row r="9" spans="1:11" hidden="1">
      <c r="A9" s="129" t="str">
        <f>Proyek!E9</f>
        <v>P-4</v>
      </c>
      <c r="B9" s="81" t="str">
        <f>Proyek!H9</f>
        <v>Infrastruktur Data PUVA</v>
      </c>
      <c r="C9" s="81" t="str">
        <f>Proyek!I9</f>
        <v>DEP Capturing Product -Pelaporan: dari ETP-MO</v>
      </c>
      <c r="D9" s="129" t="str">
        <f>Proyek!Q9</f>
        <v>Moneter, Market</v>
      </c>
      <c r="E9" s="129" t="str">
        <f>Proyek!T9</f>
        <v>Not Started</v>
      </c>
      <c r="F9" s="129">
        <f>Proyek!J9</f>
        <v>2026</v>
      </c>
      <c r="G9" s="129">
        <f>Proyek!K9</f>
        <v>2027</v>
      </c>
      <c r="J9" s="12" t="s">
        <v>250</v>
      </c>
      <c r="K9">
        <v>1</v>
      </c>
    </row>
    <row r="10" spans="1:11" hidden="1">
      <c r="A10" s="129" t="str">
        <f>Proyek!E10</f>
        <v>P-4</v>
      </c>
      <c r="B10" s="81" t="str">
        <f>Proyek!H10</f>
        <v>Infrastruktur Data PUVA</v>
      </c>
      <c r="C10" s="81" t="str">
        <f>Proyek!I10</f>
        <v>DEP Capturing Product -Pelaporan: CCP Repo</v>
      </c>
      <c r="D10" s="129" t="str">
        <f>Proyek!Q10</f>
        <v>Moneter, Market</v>
      </c>
      <c r="E10" s="129" t="str">
        <f>Proyek!T10</f>
        <v>Not Started</v>
      </c>
      <c r="F10" s="129">
        <f>Proyek!J10</f>
        <v>2026</v>
      </c>
      <c r="G10" s="129">
        <f>Proyek!K10</f>
        <v>2027</v>
      </c>
      <c r="J10" s="12" t="s">
        <v>1010</v>
      </c>
      <c r="K10">
        <v>2</v>
      </c>
    </row>
    <row r="11" spans="1:11" hidden="1">
      <c r="A11" s="129" t="str">
        <f>Proyek!E11</f>
        <v>P-4</v>
      </c>
      <c r="B11" s="81" t="str">
        <f>Proyek!H11</f>
        <v>Infrastruktur Data PUVA</v>
      </c>
      <c r="C11" s="81" t="str">
        <f>Proyek!I11</f>
        <v>EDP Capturing Product -Pelaporan: CCP OIS</v>
      </c>
      <c r="D11" s="129" t="str">
        <f>Proyek!Q11</f>
        <v>Moneter, Market</v>
      </c>
      <c r="E11" s="129" t="str">
        <f>Proyek!T11</f>
        <v>Not Started</v>
      </c>
      <c r="F11" s="129">
        <f>Proyek!J11</f>
        <v>2028</v>
      </c>
      <c r="G11" s="129">
        <f>Proyek!K11</f>
        <v>2028</v>
      </c>
      <c r="J11" s="12" t="s">
        <v>389</v>
      </c>
      <c r="K11">
        <v>3</v>
      </c>
    </row>
    <row r="12" spans="1:11">
      <c r="A12" s="129" t="str">
        <f>Proyek!E12</f>
        <v>P-4</v>
      </c>
      <c r="B12" s="81" t="str">
        <f>Proyek!H12</f>
        <v>Infrastruktur Data PUVA</v>
      </c>
      <c r="C12" s="81" t="str">
        <f>Proyek!I12</f>
        <v>EDP Capturing Pricing - Pricing Calculation &amp; Dissemination: Perluasan kurs acuan non-USD/IDR (AED/IDR)</v>
      </c>
      <c r="D12" s="129" t="str">
        <f>Proyek!Q12</f>
        <v>Market</v>
      </c>
      <c r="E12" s="129" t="str">
        <f>Proyek!T12</f>
        <v>DONE</v>
      </c>
      <c r="F12" s="129">
        <f>Proyek!J12</f>
        <v>2025</v>
      </c>
      <c r="G12" s="129">
        <f>Proyek!K12</f>
        <v>2025</v>
      </c>
      <c r="J12" s="12" t="s">
        <v>297</v>
      </c>
      <c r="K12">
        <v>44</v>
      </c>
    </row>
    <row r="13" spans="1:11">
      <c r="A13" s="129" t="str">
        <f>Proyek!E13</f>
        <v>P-4</v>
      </c>
      <c r="B13" s="81" t="str">
        <f>Proyek!H13</f>
        <v>Infrastruktur Data PUVA</v>
      </c>
      <c r="C13" s="81" t="str">
        <f>Proyek!I13</f>
        <v>EDP Capturing Pricing - Implementasi INDONIA (OIS based) - Decommissioned JIBOR</v>
      </c>
      <c r="D13" s="129" t="str">
        <f>Proyek!Q13</f>
        <v xml:space="preserve">Market, Moneter, MI </v>
      </c>
      <c r="E13" s="129" t="str">
        <f>Proyek!T13</f>
        <v>DONE</v>
      </c>
      <c r="F13" s="129">
        <f>Proyek!J13</f>
        <v>2025</v>
      </c>
      <c r="G13" s="129">
        <f>Proyek!K13</f>
        <v>2025</v>
      </c>
      <c r="J13" s="12" t="s">
        <v>558</v>
      </c>
      <c r="K13">
        <v>12</v>
      </c>
    </row>
    <row r="14" spans="1:11" hidden="1">
      <c r="A14" s="129" t="str">
        <f>Proyek!E14</f>
        <v>P-4</v>
      </c>
      <c r="B14" s="81" t="str">
        <f>Proyek!H14</f>
        <v>Infrastruktur Data PUVA</v>
      </c>
      <c r="C14" s="81" t="str">
        <f>Proyek!I14</f>
        <v>DEP Capturing Pricing - Pricing Calculation &amp; Dissemination: Reference Rate Syariah</v>
      </c>
      <c r="D14" s="129" t="str">
        <f>Proyek!Q14</f>
        <v>Market</v>
      </c>
      <c r="E14" s="129" t="str">
        <f>Proyek!T14</f>
        <v>Not Started</v>
      </c>
      <c r="F14" s="129">
        <f>Proyek!J14</f>
        <v>2026</v>
      </c>
      <c r="G14" s="129">
        <f>Proyek!K14</f>
        <v>2027</v>
      </c>
      <c r="J14" s="12" t="s">
        <v>1255</v>
      </c>
      <c r="K14">
        <v>1</v>
      </c>
    </row>
    <row r="15" spans="1:11" hidden="1">
      <c r="A15" s="129" t="str">
        <f>Proyek!E15</f>
        <v>P-4</v>
      </c>
      <c r="B15" s="81" t="str">
        <f>Proyek!H15</f>
        <v>Infrastruktur Data PUVA</v>
      </c>
      <c r="C15" s="81" t="str">
        <f>Proyek!I15</f>
        <v>EDP Capturing Pricing - Pricing Calculation &amp; Dissemination: INDONIA – Kurva OIS</v>
      </c>
      <c r="D15" s="129" t="str">
        <f>Proyek!Q15</f>
        <v>Market</v>
      </c>
      <c r="E15" s="129" t="str">
        <f>Proyek!T15</f>
        <v>Not Started</v>
      </c>
      <c r="F15" s="129">
        <f>Proyek!J15</f>
        <v>2027</v>
      </c>
      <c r="G15" s="129">
        <f>Proyek!K15</f>
        <v>2027</v>
      </c>
      <c r="J15" s="12" t="s">
        <v>213</v>
      </c>
      <c r="K15">
        <v>32</v>
      </c>
    </row>
    <row r="16" spans="1:11" hidden="1">
      <c r="A16" s="129" t="str">
        <f>Proyek!E16</f>
        <v>P-4</v>
      </c>
      <c r="B16" s="81" t="str">
        <f>Proyek!H16</f>
        <v>Infrastruktur Data PUVA</v>
      </c>
      <c r="C16" s="81" t="str">
        <f>Proyek!I16</f>
        <v>EDP Capturing Pricing - Pricing Calculation &amp; Dissemination: Reformulasi JISDOR</v>
      </c>
      <c r="D16" s="129" t="str">
        <f>Proyek!Q16</f>
        <v>Market</v>
      </c>
      <c r="E16" s="129" t="str">
        <f>Proyek!T16</f>
        <v>Not Started</v>
      </c>
      <c r="F16" s="129">
        <f>Proyek!J16</f>
        <v>2027</v>
      </c>
      <c r="G16" s="129">
        <f>Proyek!K16</f>
        <v>2029</v>
      </c>
      <c r="J16" s="12" t="s">
        <v>228</v>
      </c>
      <c r="K16">
        <v>5</v>
      </c>
    </row>
    <row r="17" spans="1:11" hidden="1">
      <c r="A17" s="129" t="str">
        <f>Proyek!E17</f>
        <v>P-4</v>
      </c>
      <c r="B17" s="81" t="str">
        <f>Proyek!H17</f>
        <v>Infrastruktur Data PUVA</v>
      </c>
      <c r="C17" s="81" t="str">
        <f>Proyek!I17</f>
        <v>EDP Capturing Pricing - Market Data Capturing &amp; Dissemination: IMM Curve</v>
      </c>
      <c r="D17" s="129" t="str">
        <f>Proyek!Q17</f>
        <v>Market</v>
      </c>
      <c r="E17" s="129" t="str">
        <f>Proyek!T17</f>
        <v>Not Started</v>
      </c>
      <c r="F17" s="129">
        <f>Proyek!J17</f>
        <v>2028</v>
      </c>
      <c r="G17" s="129">
        <f>Proyek!K17</f>
        <v>2030</v>
      </c>
      <c r="J17" s="12" t="s">
        <v>698</v>
      </c>
      <c r="K17">
        <v>1</v>
      </c>
    </row>
    <row r="18" spans="1:11" hidden="1">
      <c r="A18" s="129" t="str">
        <f>Proyek!E18</f>
        <v>P-4</v>
      </c>
      <c r="B18" s="81" t="str">
        <f>Proyek!H18</f>
        <v>Infrastruktur Data PUVA</v>
      </c>
      <c r="C18" s="81" t="str">
        <f>Proyek!I18</f>
        <v>DEP Capturing Pricing - Market Data Capturing &amp; Dissemination: MM Curve</v>
      </c>
      <c r="D18" s="129" t="str">
        <f>Proyek!Q18</f>
        <v>Market, Moneter</v>
      </c>
      <c r="E18" s="129" t="str">
        <f>Proyek!T18</f>
        <v>Not Started</v>
      </c>
      <c r="F18" s="129">
        <f>Proyek!J18</f>
        <v>2026</v>
      </c>
      <c r="G18" s="129">
        <f>Proyek!K18</f>
        <v>2028</v>
      </c>
      <c r="J18" s="12" t="s">
        <v>189</v>
      </c>
      <c r="K18">
        <v>16</v>
      </c>
    </row>
    <row r="19" spans="1:11" hidden="1">
      <c r="A19" s="129" t="str">
        <f>Proyek!E19</f>
        <v>P-4</v>
      </c>
      <c r="B19" s="81" t="str">
        <f>Proyek!H19</f>
        <v>Infrastruktur Data PUVA</v>
      </c>
      <c r="C19" s="81" t="str">
        <f>Proyek!I19</f>
        <v>DEP Capturing Pricing - Market Data Capturing &amp; Dissemination: FX Forward Curve</v>
      </c>
      <c r="D19" s="129" t="str">
        <f>Proyek!Q19</f>
        <v>Market</v>
      </c>
      <c r="E19" s="129" t="str">
        <f>Proyek!T19</f>
        <v>Not Started</v>
      </c>
      <c r="F19" s="129">
        <f>Proyek!J19</f>
        <v>2026</v>
      </c>
      <c r="G19" s="129">
        <f>Proyek!K19</f>
        <v>2027</v>
      </c>
      <c r="J19" s="12" t="s">
        <v>673</v>
      </c>
      <c r="K19">
        <v>23</v>
      </c>
    </row>
    <row r="20" spans="1:11" hidden="1">
      <c r="A20" s="129" t="str">
        <f>Proyek!E20</f>
        <v>P-4</v>
      </c>
      <c r="B20" s="81" t="str">
        <f>Proyek!H20</f>
        <v>Infrastruktur Data PUVA</v>
      </c>
      <c r="C20" s="81" t="str">
        <f>Proyek!I20</f>
        <v>EDP Capturing Pricing - Market Data Capturing &amp; Dissemination: IFX Hedging Curve</v>
      </c>
      <c r="D20" s="129" t="str">
        <f>Proyek!Q20</f>
        <v>Market</v>
      </c>
      <c r="E20" s="129" t="str">
        <f>Proyek!T20</f>
        <v>Not Started</v>
      </c>
      <c r="F20" s="129">
        <f>Proyek!J20</f>
        <v>2028</v>
      </c>
      <c r="G20" s="129">
        <f>Proyek!K20</f>
        <v>2030</v>
      </c>
      <c r="J20" s="12" t="s">
        <v>1468</v>
      </c>
    </row>
    <row r="21" spans="1:11" hidden="1">
      <c r="A21" s="129" t="str">
        <f>Proyek!E21</f>
        <v>P-5</v>
      </c>
      <c r="B21" s="81" t="str">
        <f>Proyek!H21</f>
        <v>Infrastruktur Data SP</v>
      </c>
      <c r="C21" s="81" t="str">
        <f>Proyek!I21</f>
        <v>Enhancement Aplikasi Legacy Infrastruktur Data SP</v>
      </c>
      <c r="D21" s="129" t="str">
        <f>Proyek!Q21</f>
        <v>Moneter</v>
      </c>
      <c r="E21" s="129" t="str">
        <f>Proyek!T21</f>
        <v>Not Started</v>
      </c>
      <c r="F21" s="129">
        <f>Proyek!J21</f>
        <v>2026</v>
      </c>
      <c r="G21" s="129">
        <f>Proyek!K21</f>
        <v>2028</v>
      </c>
      <c r="J21" s="12" t="s">
        <v>1597</v>
      </c>
      <c r="K21">
        <v>1</v>
      </c>
    </row>
    <row r="22" spans="1:11" hidden="1">
      <c r="A22" s="129" t="str">
        <f>Proyek!E22</f>
        <v>P-7</v>
      </c>
      <c r="B22" s="81" t="str">
        <f>Proyek!H22</f>
        <v>DDM Perumusan Kebijakan</v>
      </c>
      <c r="C22" s="81" t="str">
        <f>Proyek!I22</f>
        <v>Enhancement Aplikasi Legacy DDM Kebijakan</v>
      </c>
      <c r="D22" s="129" t="str">
        <f>Proyek!Q22</f>
        <v>MI</v>
      </c>
      <c r="E22" s="129" t="str">
        <f>Proyek!T22</f>
        <v>On Progress</v>
      </c>
      <c r="F22" s="129">
        <f>Proyek!J22</f>
        <v>2026</v>
      </c>
      <c r="G22" s="129">
        <f>Proyek!K22</f>
        <v>2027</v>
      </c>
      <c r="J22" s="12" t="s">
        <v>1598</v>
      </c>
      <c r="K22">
        <v>1</v>
      </c>
    </row>
    <row r="23" spans="1:11" hidden="1">
      <c r="A23" s="129" t="str">
        <f>Proyek!E23</f>
        <v>P-18</v>
      </c>
      <c r="B23" s="81" t="str">
        <f>Proyek!H23</f>
        <v>DCP BKK</v>
      </c>
      <c r="C23" s="81" t="str">
        <f>Proyek!I23</f>
        <v xml:space="preserve">Enhancement Aplikasi Legacy (ERPHRIS) DBP BKK </v>
      </c>
      <c r="D23" s="129" t="str">
        <f>Proyek!Q23</f>
        <v>MI</v>
      </c>
      <c r="E23" s="129" t="str">
        <f>Proyek!T23</f>
        <v>On Progress</v>
      </c>
      <c r="F23" s="129">
        <f>Proyek!J23</f>
        <v>2025</v>
      </c>
      <c r="G23" s="129">
        <f>Proyek!K23</f>
        <v>2027</v>
      </c>
      <c r="J23" s="12" t="s">
        <v>1607</v>
      </c>
      <c r="K23">
        <v>1</v>
      </c>
    </row>
    <row r="24" spans="1:11" hidden="1">
      <c r="A24" s="129" t="str">
        <f>Proyek!E24</f>
        <v>P-18</v>
      </c>
      <c r="B24" s="81" t="str">
        <f>Proyek!H24</f>
        <v>DCP BKK</v>
      </c>
      <c r="C24" s="81" t="str">
        <f>Proyek!I24</f>
        <v xml:space="preserve">Enhancement Aplikasi Legacy (LIMS) DBP BKK </v>
      </c>
      <c r="D24" s="129" t="str">
        <f>Proyek!Q24</f>
        <v>MI</v>
      </c>
      <c r="E24" s="129" t="str">
        <f>Proyek!T24</f>
        <v>Not Started</v>
      </c>
      <c r="F24" s="129">
        <f>Proyek!J24</f>
        <v>2026</v>
      </c>
      <c r="G24" s="129">
        <f>Proyek!K24</f>
        <v>2028</v>
      </c>
      <c r="J24" s="12" t="s">
        <v>1473</v>
      </c>
      <c r="K24">
        <v>198</v>
      </c>
    </row>
    <row r="25" spans="1:11" hidden="1">
      <c r="A25" s="129" t="str">
        <f>Proyek!E25</f>
        <v>P-20</v>
      </c>
      <c r="B25" s="81" t="str">
        <f>Proyek!H25</f>
        <v>DCP MAPP</v>
      </c>
      <c r="C25" s="81" t="str">
        <f>Proyek!I25</f>
        <v>Aset Fisik: Pelayanan &amp; Operasional</v>
      </c>
      <c r="D25" s="129" t="str">
        <f>Proyek!Q25</f>
        <v>MI</v>
      </c>
      <c r="E25" s="129" t="str">
        <f>Proyek!T25</f>
        <v>On Progress</v>
      </c>
      <c r="F25" s="129">
        <f>Proyek!J25</f>
        <v>2025</v>
      </c>
      <c r="G25" s="129">
        <f>Proyek!K25</f>
        <v>2026</v>
      </c>
    </row>
    <row r="26" spans="1:11" hidden="1">
      <c r="A26" s="129" t="str">
        <f>Proyek!E26</f>
        <v>P-20</v>
      </c>
      <c r="B26" s="81" t="str">
        <f>Proyek!H26</f>
        <v>DCP MAPP</v>
      </c>
      <c r="C26" s="81" t="str">
        <f>Proyek!I26</f>
        <v>Pengadaan: Perencanaan &amp; Pelaksanaan dan Digitalisasi Dokumen</v>
      </c>
      <c r="D26" s="129" t="str">
        <f>Proyek!Q26</f>
        <v>MI</v>
      </c>
      <c r="E26" s="129" t="str">
        <f>Proyek!T26</f>
        <v>On Progress</v>
      </c>
      <c r="F26" s="129">
        <f>Proyek!J26</f>
        <v>2025</v>
      </c>
      <c r="G26" s="129">
        <f>Proyek!K26</f>
        <v>2026</v>
      </c>
    </row>
    <row r="27" spans="1:11" hidden="1">
      <c r="A27" s="129" t="str">
        <f>Proyek!E27</f>
        <v>P-25</v>
      </c>
      <c r="B27" s="81" t="str">
        <f>Proyek!H27</f>
        <v>DCP HRM</v>
      </c>
      <c r="C27" s="81" t="str">
        <f>Proyek!I27</f>
        <v>DBP OpEx 4P HRM lainnya (Kompetensi, Karir, Perencanaan)</v>
      </c>
      <c r="D27" s="129" t="str">
        <f>Proyek!Q27</f>
        <v>MI</v>
      </c>
      <c r="E27" s="129" t="str">
        <f>Proyek!T27</f>
        <v>Not Started</v>
      </c>
      <c r="F27" s="129">
        <f>Proyek!J27</f>
        <v>2026</v>
      </c>
      <c r="G27" s="129">
        <f>Proyek!K27</f>
        <v>2027</v>
      </c>
    </row>
    <row r="28" spans="1:11" hidden="1">
      <c r="A28" s="129" t="str">
        <f>Proyek!E28</f>
        <v>P-26</v>
      </c>
      <c r="B28" s="81" t="str">
        <f>Proyek!H28</f>
        <v>DCP Integrasi HRM</v>
      </c>
      <c r="C28" s="81" t="str">
        <f>Proyek!I28</f>
        <v>DBP OpEx 4P: Pengembangan Kompetensi (Integrasi LMS dengan Digital Library)</v>
      </c>
      <c r="D28" s="129" t="str">
        <f>Proyek!Q28</f>
        <v>MI</v>
      </c>
      <c r="E28" s="129" t="str">
        <f>Proyek!T28</f>
        <v>Not Started</v>
      </c>
      <c r="F28" s="129">
        <f>Proyek!J28</f>
        <v>2026</v>
      </c>
      <c r="G28" s="129">
        <f>Proyek!K28</f>
        <v>2028</v>
      </c>
    </row>
    <row r="29" spans="1:11" hidden="1">
      <c r="A29" s="129" t="str">
        <f>Proyek!E29</f>
        <v>P-26</v>
      </c>
      <c r="B29" s="81" t="str">
        <f>Proyek!H29</f>
        <v>DCP Integrasi HRM</v>
      </c>
      <c r="C29" s="81" t="str">
        <f>Proyek!I29</f>
        <v>DBP OpEx 4P: Pengembangan Kompetensi (Integrasi LMS dg MOOC)</v>
      </c>
      <c r="D29" s="129" t="str">
        <f>Proyek!Q29</f>
        <v>MI</v>
      </c>
      <c r="E29" s="129" t="str">
        <f>Proyek!T29</f>
        <v>Not Started</v>
      </c>
      <c r="F29" s="129">
        <f>Proyek!J29</f>
        <v>2027</v>
      </c>
      <c r="G29" s="129">
        <f>Proyek!K29</f>
        <v>2028</v>
      </c>
    </row>
    <row r="30" spans="1:11">
      <c r="A30" s="129" t="str">
        <f>Proyek!E30</f>
        <v>P-40</v>
      </c>
      <c r="B30" s="81" t="str">
        <f>Proyek!H30</f>
        <v>Pengembangan Product OM Pro Market (Rupiah dan Valas)</v>
      </c>
      <c r="C30" s="81" t="str">
        <f>Proyek!I30</f>
        <v>Penambahan Portfolio SBN AC/HTM pada transaksi OM</v>
      </c>
      <c r="D30" s="129" t="str">
        <f>Proyek!Q30</f>
        <v>Market</v>
      </c>
      <c r="E30" s="129" t="str">
        <f>Proyek!T30</f>
        <v>DONE</v>
      </c>
      <c r="F30" s="129">
        <f>Proyek!J30</f>
        <v>2024</v>
      </c>
      <c r="G30" s="129">
        <f>Proyek!K30</f>
        <v>2025</v>
      </c>
    </row>
    <row r="31" spans="1:11">
      <c r="A31" s="129" t="str">
        <f>Proyek!E31</f>
        <v>P-40</v>
      </c>
      <c r="B31" s="81" t="str">
        <f>Proyek!H31</f>
        <v>Pengembangan Product OM Pro Market (Rupiah dan Valas)</v>
      </c>
      <c r="C31" s="81" t="str">
        <f>Proyek!I31</f>
        <v>Reopening SRBI - Tahap 2 (Searchable collateral)</v>
      </c>
      <c r="D31" s="129" t="str">
        <f>Proyek!Q31</f>
        <v>Market</v>
      </c>
      <c r="E31" s="129" t="str">
        <f>Proyek!T31</f>
        <v>DONE</v>
      </c>
      <c r="F31" s="129">
        <f>Proyek!J31</f>
        <v>2025</v>
      </c>
      <c r="G31" s="129">
        <f>Proyek!K31</f>
        <v>2025</v>
      </c>
    </row>
    <row r="32" spans="1:11">
      <c r="A32" s="129" t="str">
        <f>Proyek!E32</f>
        <v>P-40</v>
      </c>
      <c r="B32" s="81" t="str">
        <f>Proyek!H32</f>
        <v>Pengembangan Product OM Pro Market (Rupiah dan Valas)</v>
      </c>
      <c r="C32" s="81" t="str">
        <f>Proyek!I32</f>
        <v>Penerbitan Bank Indonesia Floating Rate Note (BI-FRN)</v>
      </c>
      <c r="D32" s="129" t="str">
        <f>Proyek!Q32</f>
        <v>Market, SSK</v>
      </c>
      <c r="E32" s="129" t="str">
        <f>Proyek!T32</f>
        <v>DONE</v>
      </c>
      <c r="F32" s="129">
        <f>Proyek!J32</f>
        <v>2025</v>
      </c>
      <c r="G32" s="129">
        <f>Proyek!K32</f>
        <v>2025</v>
      </c>
    </row>
    <row r="33" spans="1:7" hidden="1">
      <c r="A33" s="129" t="str">
        <f>Proyek!E33</f>
        <v>P-40</v>
      </c>
      <c r="B33" s="81" t="str">
        <f>Proyek!H33</f>
        <v>Pengembangan Product OM Pro Market (Rupiah dan Valas)</v>
      </c>
      <c r="C33" s="81" t="str">
        <f>Proyek!I33</f>
        <v>Integrasi dengan Market Operator untuk Transaksi OM dg Agent Bank</v>
      </c>
      <c r="D33" s="129" t="str">
        <f>Proyek!Q33</f>
        <v>Market</v>
      </c>
      <c r="E33" s="129" t="str">
        <f>Proyek!T33</f>
        <v>Not Started</v>
      </c>
      <c r="F33" s="129">
        <f>Proyek!J33</f>
        <v>2026</v>
      </c>
      <c r="G33" s="129">
        <f>Proyek!K33</f>
        <v>2028</v>
      </c>
    </row>
    <row r="34" spans="1:7">
      <c r="A34" s="129" t="str">
        <f>Proyek!E34</f>
        <v>P-40</v>
      </c>
      <c r="B34" s="81" t="str">
        <f>Proyek!H34</f>
        <v>Pengembangan Product OM Pro Market (Rupiah dan Valas)</v>
      </c>
      <c r="C34" s="81" t="str">
        <f>Proyek!I34</f>
        <v>Perluasan investor SUKBI Non Bank</v>
      </c>
      <c r="D34" s="129" t="str">
        <f>Proyek!Q34</f>
        <v>Market</v>
      </c>
      <c r="E34" s="129" t="str">
        <f>Proyek!T34</f>
        <v>DONE</v>
      </c>
      <c r="F34" s="129">
        <f>Proyek!J34</f>
        <v>2025</v>
      </c>
      <c r="G34" s="129">
        <f>Proyek!K34</f>
        <v>2025</v>
      </c>
    </row>
    <row r="35" spans="1:7" hidden="1">
      <c r="A35" s="129" t="str">
        <f>Proyek!E35</f>
        <v>P-40</v>
      </c>
      <c r="B35" s="81" t="str">
        <f>Proyek!H35</f>
        <v>Pengembangan Product OM Pro Market (Rupiah dan Valas)</v>
      </c>
      <c r="C35" s="81" t="str">
        <f>Proyek!I35</f>
        <v xml:space="preserve">Transaksi Repo SVBI dan SUVBI valas (Tahap 1) </v>
      </c>
      <c r="D35" s="129" t="str">
        <f>Proyek!Q35</f>
        <v>Market</v>
      </c>
      <c r="E35" s="129" t="str">
        <f>Proyek!T35</f>
        <v>On Progress</v>
      </c>
      <c r="F35" s="129">
        <f>Proyek!J35</f>
        <v>2025</v>
      </c>
      <c r="G35" s="129">
        <f>Proyek!K35</f>
        <v>2026</v>
      </c>
    </row>
    <row r="36" spans="1:7" hidden="1">
      <c r="A36" s="129" t="str">
        <f>Proyek!E36</f>
        <v>P-40</v>
      </c>
      <c r="B36" s="81" t="str">
        <f>Proyek!H36</f>
        <v>Pengembangan Product OM Pro Market (Rupiah dan Valas)</v>
      </c>
      <c r="C36" s="81" t="str">
        <f>Proyek!I36</f>
        <v xml:space="preserve">Transaksi Repo SVBI dan SUVBI Rupiah (CCR - Tahap 3) </v>
      </c>
      <c r="D36" s="129" t="str">
        <f>Proyek!Q36</f>
        <v>Market</v>
      </c>
      <c r="E36" s="129" t="str">
        <f>Proyek!T36</f>
        <v>Not Started</v>
      </c>
      <c r="F36" s="129">
        <f>Proyek!J36</f>
        <v>2026</v>
      </c>
      <c r="G36" s="129">
        <f>Proyek!K36</f>
        <v>2027</v>
      </c>
    </row>
    <row r="37" spans="1:7" hidden="1">
      <c r="A37" s="129" t="str">
        <f>Proyek!E37</f>
        <v>P-40</v>
      </c>
      <c r="B37" s="81" t="str">
        <f>Proyek!H37</f>
        <v>Pengembangan Product OM Pro Market (Rupiah dan Valas)</v>
      </c>
      <c r="C37" s="81" t="str">
        <f>Proyek!I37</f>
        <v>Transaksi DNDF Syariah melalui PDs</v>
      </c>
      <c r="D37" s="129" t="str">
        <f>Proyek!Q37</f>
        <v>Market</v>
      </c>
      <c r="E37" s="129" t="str">
        <f>Proyek!T37</f>
        <v>Not Started</v>
      </c>
      <c r="F37" s="129">
        <f>Proyek!J37</f>
        <v>2028</v>
      </c>
      <c r="G37" s="129">
        <f>Proyek!K37</f>
        <v>2029</v>
      </c>
    </row>
    <row r="38" spans="1:7" hidden="1">
      <c r="A38" s="129" t="str">
        <f>Proyek!E38</f>
        <v>P-40</v>
      </c>
      <c r="B38" s="81" t="str">
        <f>Proyek!H38</f>
        <v>Pengembangan Product OM Pro Market (Rupiah dan Valas)</v>
      </c>
      <c r="C38" s="81" t="str">
        <f>Proyek!I38</f>
        <v>Integrasi BI-ETP dan CMS-OM</v>
      </c>
      <c r="D38" s="129" t="str">
        <f>Proyek!Q38</f>
        <v>Market</v>
      </c>
      <c r="E38" s="129" t="str">
        <f>Proyek!T38</f>
        <v>Not Started</v>
      </c>
      <c r="F38" s="129">
        <f>Proyek!J38</f>
        <v>2029</v>
      </c>
      <c r="G38" s="129">
        <f>Proyek!K38</f>
        <v>2030</v>
      </c>
    </row>
    <row r="39" spans="1:7" hidden="1">
      <c r="A39" s="129" t="str">
        <f>Proyek!E39</f>
        <v>P-40</v>
      </c>
      <c r="B39" s="81" t="str">
        <f>Proyek!H39</f>
        <v>Pengembangan Product OM Pro Market (Rupiah dan Valas)</v>
      </c>
      <c r="C39" s="81" t="str">
        <f>Proyek!I39</f>
        <v xml:space="preserve">Penerbitan Bank Indonesia Floating Rate Note (BI-FRN) pengembangan Alternate ETP </v>
      </c>
      <c r="D39" s="129" t="str">
        <f>Proyek!Q39</f>
        <v>Market</v>
      </c>
      <c r="E39" s="129" t="str">
        <f>Proyek!T39</f>
        <v>On Progress</v>
      </c>
      <c r="F39" s="129">
        <f>Proyek!J39</f>
        <v>2025</v>
      </c>
      <c r="G39" s="129">
        <f>Proyek!K39</f>
        <v>2026</v>
      </c>
    </row>
    <row r="40" spans="1:7">
      <c r="A40" s="129" t="str">
        <f>Proyek!E40</f>
        <v>P-40</v>
      </c>
      <c r="B40" s="81" t="str">
        <f>Proyek!H40</f>
        <v>Pengembangan Product OM Pro Market (Rupiah dan Valas)</v>
      </c>
      <c r="C40" s="81" t="str">
        <f>Proyek!I40</f>
        <v>Pengembangan Infrastruktur Penguatan Pasar Obligasi Korporasi dan EBA Tahap 1</v>
      </c>
      <c r="D40" s="129" t="str">
        <f>Proyek!Q40</f>
        <v>Market, SSK</v>
      </c>
      <c r="E40" s="129" t="str">
        <f>Proyek!T40</f>
        <v>DONE</v>
      </c>
      <c r="F40" s="129">
        <f>Proyek!J40</f>
        <v>2025</v>
      </c>
      <c r="G40" s="129">
        <f>Proyek!K40</f>
        <v>2025</v>
      </c>
    </row>
    <row r="41" spans="1:7" hidden="1">
      <c r="A41" s="129" t="str">
        <f>Proyek!E41</f>
        <v>P-40</v>
      </c>
      <c r="B41" s="81" t="str">
        <f>Proyek!H41</f>
        <v>Pengembangan Product OM Pro Market (Rupiah dan Valas)</v>
      </c>
      <c r="C41" s="81" t="str">
        <f>Proyek!I41</f>
        <v>Pengembangan Infrastruktur Penguatan Pasar Obligasi Korporasi dan EBA Tahap 2</v>
      </c>
      <c r="D41" s="129" t="str">
        <f>Proyek!Q41</f>
        <v>Market, SSK</v>
      </c>
      <c r="E41" s="129" t="str">
        <f>Proyek!T41</f>
        <v>Not Started</v>
      </c>
      <c r="F41" s="129">
        <f>Proyek!J41</f>
        <v>2026</v>
      </c>
      <c r="G41" s="129">
        <f>Proyek!K41</f>
        <v>2027</v>
      </c>
    </row>
    <row r="42" spans="1:7" hidden="1">
      <c r="A42" s="129" t="str">
        <f>Proyek!E42</f>
        <v>P-40</v>
      </c>
      <c r="B42" s="81" t="str">
        <f>Proyek!H42</f>
        <v>Pengembangan Product OM Pro Market (Rupiah dan Valas)</v>
      </c>
      <c r="C42" s="81" t="str">
        <f>Proyek!I42</f>
        <v>Securities Borrowing Lending BI</v>
      </c>
      <c r="D42" s="129" t="str">
        <f>Proyek!Q42</f>
        <v>Market</v>
      </c>
      <c r="E42" s="129" t="str">
        <f>Proyek!T42</f>
        <v>Not Started</v>
      </c>
      <c r="F42" s="129">
        <f>Proyek!J42</f>
        <v>2028</v>
      </c>
      <c r="G42" s="129">
        <f>Proyek!K42</f>
        <v>2028</v>
      </c>
    </row>
    <row r="43" spans="1:7" hidden="1">
      <c r="A43" s="129" t="str">
        <f>Proyek!E43</f>
        <v>P-40</v>
      </c>
      <c r="B43" s="81" t="str">
        <f>Proyek!H43</f>
        <v>Pengembangan Product OM Pro Market (Rupiah dan Valas)</v>
      </c>
      <c r="C43" s="81" t="str">
        <f>Proyek!I43</f>
        <v>Transaksi Repo SVBI dan SUVBI Tahap 2 (PASBI Valas)</v>
      </c>
      <c r="D43" s="129" t="str">
        <f>Proyek!Q43</f>
        <v>Market</v>
      </c>
      <c r="E43" s="129" t="str">
        <f>Proyek!T43</f>
        <v>Not Started</v>
      </c>
      <c r="F43" s="129">
        <f>Proyek!J43</f>
        <v>2026</v>
      </c>
      <c r="G43" s="129">
        <f>Proyek!K43</f>
        <v>2026</v>
      </c>
    </row>
    <row r="44" spans="1:7">
      <c r="A44" s="129" t="str">
        <f>Proyek!E44</f>
        <v>P-41</v>
      </c>
      <c r="B44" s="81" t="str">
        <f>Proyek!H44</f>
        <v>Pengembangan Produk dan Pricing untuk OM Pro Market dan PUVA</v>
      </c>
      <c r="C44" s="81" t="str">
        <f>Proyek!I44</f>
        <v>Infra Pendukung Triparty Repo</v>
      </c>
      <c r="D44" s="129" t="str">
        <f>Proyek!Q44</f>
        <v>Market</v>
      </c>
      <c r="E44" s="129" t="str">
        <f>Proyek!T44</f>
        <v>DONE</v>
      </c>
      <c r="F44" s="129">
        <f>Proyek!J44</f>
        <v>2024</v>
      </c>
      <c r="G44" s="129">
        <f>Proyek!K44</f>
        <v>2025</v>
      </c>
    </row>
    <row r="45" spans="1:7" hidden="1">
      <c r="A45" s="129" t="str">
        <f>Proyek!E45</f>
        <v>P-41</v>
      </c>
      <c r="B45" s="81" t="str">
        <f>Proyek!H45</f>
        <v>Pengembangan Produk dan Pricing untuk OM Pro Market dan PUVA</v>
      </c>
      <c r="C45" s="81" t="str">
        <f>Proyek!I45</f>
        <v>Infra Pendukung CCP Repo</v>
      </c>
      <c r="D45" s="129" t="str">
        <f>Proyek!Q45</f>
        <v>Market</v>
      </c>
      <c r="E45" s="129" t="str">
        <f>Proyek!T45</f>
        <v>Not Started</v>
      </c>
      <c r="F45" s="129">
        <f>Proyek!J45</f>
        <v>2026</v>
      </c>
      <c r="G45" s="129">
        <f>Proyek!K45</f>
        <v>2027</v>
      </c>
    </row>
    <row r="46" spans="1:7">
      <c r="A46" s="129" t="str">
        <f>Proyek!E46</f>
        <v>P-43</v>
      </c>
      <c r="B46" s="81" t="str">
        <f>Proyek!H46</f>
        <v>Manajemen Layanan TI</v>
      </c>
      <c r="C46" s="81" t="str">
        <f>Proyek!I46</f>
        <v>Modernize MLTI</v>
      </c>
      <c r="D46" s="129" t="str">
        <f>Proyek!Q46</f>
        <v>MI</v>
      </c>
      <c r="E46" s="129" t="str">
        <f>Proyek!T46</f>
        <v>DONE</v>
      </c>
      <c r="F46" s="129">
        <f>Proyek!J46</f>
        <v>2025</v>
      </c>
      <c r="G46" s="129">
        <f>Proyek!K46</f>
        <v>2025</v>
      </c>
    </row>
    <row r="47" spans="1:7" hidden="1">
      <c r="A47" s="129" t="str">
        <f>Proyek!E47</f>
        <v>P-44</v>
      </c>
      <c r="B47" s="81" t="str">
        <f>Proyek!H47</f>
        <v>ANTASENA - Non LBUT</v>
      </c>
      <c r="C47" s="81" t="str">
        <f>Proyek!I47</f>
        <v>Modernize LKPBU - Tahap 1 Modul KPPK</v>
      </c>
      <c r="D47" s="129" t="str">
        <f>Proyek!Q47</f>
        <v>Moneter</v>
      </c>
      <c r="E47" s="129" t="str">
        <f>Proyek!T47</f>
        <v>On Progress</v>
      </c>
      <c r="F47" s="129">
        <f>Proyek!J47</f>
        <v>2024</v>
      </c>
      <c r="G47" s="129">
        <f>Proyek!K47</f>
        <v>2026</v>
      </c>
    </row>
    <row r="48" spans="1:7" hidden="1">
      <c r="A48" s="129" t="str">
        <f>Proyek!E48</f>
        <v>P-44</v>
      </c>
      <c r="B48" s="81" t="str">
        <f>Proyek!H48</f>
        <v>ANTASENA - Non LBUT</v>
      </c>
      <c r="C48" s="81" t="str">
        <f>Proyek!I48</f>
        <v>Modernize LLD Non Bank Terintegrasi: DJBC</v>
      </c>
      <c r="D48" s="129" t="str">
        <f>Proyek!Q48</f>
        <v>Moneter</v>
      </c>
      <c r="E48" s="129" t="str">
        <f>Proyek!T48</f>
        <v>Not Started</v>
      </c>
      <c r="F48" s="129">
        <f>Proyek!J48</f>
        <v>2028</v>
      </c>
      <c r="G48" s="129">
        <f>Proyek!K48</f>
        <v>2028</v>
      </c>
    </row>
    <row r="49" spans="1:7" hidden="1">
      <c r="A49" s="129" t="str">
        <f>Proyek!E49</f>
        <v>P-44</v>
      </c>
      <c r="B49" s="81" t="str">
        <f>Proyek!H49</f>
        <v>ANTASENA - Non LBUT</v>
      </c>
      <c r="C49" s="81" t="str">
        <f>Proyek!I49</f>
        <v>Peralihan pelaporan Derivatif PUVA dr Bappebti ke BI</v>
      </c>
      <c r="D49" s="129" t="str">
        <f>Proyek!Q49</f>
        <v>Moneter</v>
      </c>
      <c r="E49" s="129" t="str">
        <f>Proyek!T49</f>
        <v>Not Started</v>
      </c>
      <c r="F49" s="129">
        <f>Proyek!J49</f>
        <v>2026</v>
      </c>
      <c r="G49" s="129">
        <f>Proyek!K49</f>
        <v>2027</v>
      </c>
    </row>
    <row r="50" spans="1:7" hidden="1">
      <c r="A50" s="129" t="str">
        <f>Proyek!E50</f>
        <v>P-44</v>
      </c>
      <c r="B50" s="81" t="str">
        <f>Proyek!H50</f>
        <v>ANTASENA - Non LBUT</v>
      </c>
      <c r="C50" s="81" t="str">
        <f>Proyek!I50</f>
        <v>Digitalisasi Laporan Offline  (Non LBUT - PJP/PIP)</v>
      </c>
      <c r="D50" s="129" t="str">
        <f>Proyek!Q50</f>
        <v>Moneter</v>
      </c>
      <c r="E50" s="129" t="str">
        <f>Proyek!T50</f>
        <v>Not Started</v>
      </c>
      <c r="F50" s="129">
        <f>Proyek!J50</f>
        <v>2026</v>
      </c>
      <c r="G50" s="129">
        <f>Proyek!K50</f>
        <v>2028</v>
      </c>
    </row>
    <row r="51" spans="1:7" hidden="1">
      <c r="A51" s="129" t="str">
        <f>Proyek!E51</f>
        <v>P-44</v>
      </c>
      <c r="B51" s="81" t="str">
        <f>Proyek!H51</f>
        <v>ANTASENA - Non LBUT</v>
      </c>
      <c r="C51" s="81" t="str">
        <f>Proyek!I51</f>
        <v>Modernize LKPBU - Tahap 2 Modul LTD BB dan KUPVA BB</v>
      </c>
      <c r="D51" s="129" t="str">
        <f>Proyek!Q51</f>
        <v>Moneter</v>
      </c>
      <c r="E51" s="129" t="str">
        <f>Proyek!T51</f>
        <v>Not Started</v>
      </c>
      <c r="F51" s="129">
        <f>Proyek!J51</f>
        <v>2027</v>
      </c>
      <c r="G51" s="129">
        <f>Proyek!K51</f>
        <v>2028</v>
      </c>
    </row>
    <row r="52" spans="1:7" hidden="1">
      <c r="A52" s="129" t="str">
        <f>Proyek!E52</f>
        <v>P-44</v>
      </c>
      <c r="B52" s="81" t="str">
        <f>Proyek!H52</f>
        <v>ANTASENA - Non LBUT</v>
      </c>
      <c r="C52" s="81" t="str">
        <f>Proyek!I52</f>
        <v>Modernize LKPBU - Tahap 3 Modul LLPU dan LSBU</v>
      </c>
      <c r="D52" s="129" t="str">
        <f>Proyek!Q52</f>
        <v>Moneter</v>
      </c>
      <c r="E52" s="129" t="str">
        <f>Proyek!T52</f>
        <v>Not Started</v>
      </c>
      <c r="F52" s="129">
        <f>Proyek!J52</f>
        <v>2027</v>
      </c>
      <c r="G52" s="129">
        <f>Proyek!K52</f>
        <v>2028</v>
      </c>
    </row>
    <row r="53" spans="1:7" hidden="1">
      <c r="A53" s="129" t="str">
        <f>Proyek!E53</f>
        <v>P-45</v>
      </c>
      <c r="B53" s="81" t="str">
        <f>Proyek!H53</f>
        <v>Internal Portal</v>
      </c>
      <c r="C53" s="81" t="str">
        <f>Proyek!I53</f>
        <v xml:space="preserve">Modernize BLINK </v>
      </c>
      <c r="D53" s="129" t="str">
        <f>Proyek!Q53</f>
        <v>MI</v>
      </c>
      <c r="E53" s="129" t="str">
        <f>Proyek!T53</f>
        <v>On Progress</v>
      </c>
      <c r="F53" s="129">
        <f>Proyek!J53</f>
        <v>2024</v>
      </c>
      <c r="G53" s="129">
        <f>Proyek!K53</f>
        <v>2026</v>
      </c>
    </row>
    <row r="54" spans="1:7" hidden="1">
      <c r="A54" s="129" t="str">
        <f>Proyek!E54</f>
        <v>P-46</v>
      </c>
      <c r="B54" s="81" t="str">
        <f>Proyek!H54</f>
        <v>BI-WEB</v>
      </c>
      <c r="C54" s="81" t="str">
        <f>Proyek!I54</f>
        <v>Pengelolaan Website BI pada BI-WEB</v>
      </c>
      <c r="D54" s="129" t="str">
        <f>Proyek!Q54</f>
        <v>MI</v>
      </c>
      <c r="E54" s="129" t="str">
        <f>Proyek!T54</f>
        <v>On Progress</v>
      </c>
      <c r="F54" s="129">
        <f>Proyek!J54</f>
        <v>2024</v>
      </c>
      <c r="G54" s="129">
        <f>Proyek!K54</f>
        <v>2026</v>
      </c>
    </row>
    <row r="55" spans="1:7" hidden="1">
      <c r="A55" s="129" t="str">
        <f>Proyek!E55</f>
        <v>P-46</v>
      </c>
      <c r="B55" s="81" t="str">
        <f>Proyek!H55</f>
        <v>BI-WEB</v>
      </c>
      <c r="C55" s="81" t="str">
        <f>Proyek!I55</f>
        <v>Modernize Mobile Apps BI (BIMA)</v>
      </c>
      <c r="D55" s="129" t="str">
        <f>Proyek!Q55</f>
        <v>MI</v>
      </c>
      <c r="E55" s="129" t="str">
        <f>Proyek!T55</f>
        <v>On Progress</v>
      </c>
      <c r="F55" s="129">
        <f>Proyek!J55</f>
        <v>2024</v>
      </c>
      <c r="G55" s="129">
        <f>Proyek!K55</f>
        <v>2027</v>
      </c>
    </row>
    <row r="56" spans="1:7" hidden="1">
      <c r="A56" s="129" t="str">
        <f>Proyek!E56</f>
        <v>P-47</v>
      </c>
      <c r="B56" s="81" t="str">
        <f>Proyek!H56</f>
        <v>Enhancement Aplikasi Legacy untuk MHE-IS</v>
      </c>
      <c r="C56" s="81" t="str">
        <f>Proyek!I56</f>
        <v>Surrounding MHE-IS: BI-SILK SPU</v>
      </c>
      <c r="D56" s="129" t="str">
        <f>Proyek!Q56</f>
        <v>SP</v>
      </c>
      <c r="E56" s="129" t="str">
        <f>Proyek!T56</f>
        <v>On Progress</v>
      </c>
      <c r="F56" s="129">
        <f>Proyek!J56</f>
        <v>2024</v>
      </c>
      <c r="G56" s="129">
        <f>Proyek!K56</f>
        <v>2027</v>
      </c>
    </row>
    <row r="57" spans="1:7" hidden="1">
      <c r="A57" s="129" t="str">
        <f>Proyek!E57</f>
        <v>P-47</v>
      </c>
      <c r="B57" s="81" t="str">
        <f>Proyek!H57</f>
        <v>Enhancement Aplikasi Legacy untuk MHE-IS</v>
      </c>
      <c r="C57" s="81" t="str">
        <f>Proyek!I57</f>
        <v>Surrounding MHE-IS: ERP SPU</v>
      </c>
      <c r="D57" s="129" t="str">
        <f>Proyek!Q57</f>
        <v>MI</v>
      </c>
      <c r="E57" s="129" t="str">
        <f>Proyek!T57</f>
        <v>On Progress</v>
      </c>
      <c r="F57" s="129">
        <f>Proyek!J57</f>
        <v>2024</v>
      </c>
      <c r="G57" s="129">
        <f>Proyek!K57</f>
        <v>2027</v>
      </c>
    </row>
    <row r="58" spans="1:7" hidden="1">
      <c r="A58" s="129" t="str">
        <f>Proyek!E58</f>
        <v>P-47</v>
      </c>
      <c r="B58" s="81" t="str">
        <f>Proyek!H58</f>
        <v>Enhancement Aplikasi Legacy untuk MHE-IS</v>
      </c>
      <c r="C58" s="81" t="str">
        <f>Proyek!I58</f>
        <v>Surrounding MHE-IS: SOA SPU</v>
      </c>
      <c r="D58" s="129" t="str">
        <f>Proyek!Q58</f>
        <v>MD</v>
      </c>
      <c r="E58" s="129" t="str">
        <f>Proyek!T58</f>
        <v>On Progress</v>
      </c>
      <c r="F58" s="129">
        <f>Proyek!J58</f>
        <v>2024</v>
      </c>
      <c r="G58" s="129">
        <f>Proyek!K58</f>
        <v>2027</v>
      </c>
    </row>
    <row r="59" spans="1:7" hidden="1">
      <c r="A59" s="129" t="str">
        <f>Proyek!E59</f>
        <v>P-47</v>
      </c>
      <c r="B59" s="81" t="str">
        <f>Proyek!H59</f>
        <v>Enhancement Aplikasi Legacy untuk MHE-IS</v>
      </c>
      <c r="C59" s="81" t="str">
        <f>Proyek!I59</f>
        <v>Surrounding MHE-IS: CBS SPU</v>
      </c>
      <c r="D59" s="129" t="str">
        <f>Proyek!Q59</f>
        <v>SP</v>
      </c>
      <c r="E59" s="129" t="str">
        <f>Proyek!T59</f>
        <v>On Progress</v>
      </c>
      <c r="F59" s="129">
        <f>Proyek!J59</f>
        <v>2024</v>
      </c>
      <c r="G59" s="129">
        <f>Proyek!K59</f>
        <v>2027</v>
      </c>
    </row>
    <row r="60" spans="1:7" hidden="1">
      <c r="A60" s="129" t="str">
        <f>Proyek!E60</f>
        <v>P-47</v>
      </c>
      <c r="B60" s="81" t="str">
        <f>Proyek!H60</f>
        <v>Enhancement Aplikasi Legacy untuk MHE-IS</v>
      </c>
      <c r="C60" s="81" t="str">
        <f>Proyek!I60</f>
        <v>Surrounding MHE-IS: BI-SILK DKU</v>
      </c>
      <c r="D60" s="129" t="str">
        <f>Proyek!Q60</f>
        <v>SP</v>
      </c>
      <c r="E60" s="129" t="str">
        <f>Proyek!T60</f>
        <v>On Progress</v>
      </c>
      <c r="F60" s="129">
        <f>Proyek!J60</f>
        <v>2024</v>
      </c>
      <c r="G60" s="129">
        <f>Proyek!K60</f>
        <v>2026</v>
      </c>
    </row>
    <row r="61" spans="1:7" hidden="1">
      <c r="A61" s="129" t="str">
        <f>Proyek!E61</f>
        <v>P-47</v>
      </c>
      <c r="B61" s="81" t="str">
        <f>Proyek!H61</f>
        <v>Enhancement Aplikasi Legacy untuk MHE-IS</v>
      </c>
      <c r="C61" s="81" t="str">
        <f>Proyek!I61</f>
        <v>Surrounding MHE-IS: ERP DKU</v>
      </c>
      <c r="D61" s="129" t="str">
        <f>Proyek!Q61</f>
        <v>MI</v>
      </c>
      <c r="E61" s="129" t="str">
        <f>Proyek!T61</f>
        <v>On Progress</v>
      </c>
      <c r="F61" s="129">
        <f>Proyek!J61</f>
        <v>2024</v>
      </c>
      <c r="G61" s="129">
        <f>Proyek!K61</f>
        <v>2026</v>
      </c>
    </row>
    <row r="62" spans="1:7" hidden="1">
      <c r="A62" s="129" t="str">
        <f>Proyek!E62</f>
        <v>P-47</v>
      </c>
      <c r="B62" s="81" t="str">
        <f>Proyek!H62</f>
        <v>Enhancement Aplikasi Legacy untuk MHE-IS</v>
      </c>
      <c r="C62" s="81" t="str">
        <f>Proyek!I62</f>
        <v>Surrounding MHE-IS: SOA DKU</v>
      </c>
      <c r="D62" s="129" t="str">
        <f>Proyek!Q62</f>
        <v>MD</v>
      </c>
      <c r="E62" s="129" t="str">
        <f>Proyek!T62</f>
        <v>On Progress</v>
      </c>
      <c r="F62" s="129">
        <f>Proyek!J62</f>
        <v>2024</v>
      </c>
      <c r="G62" s="129">
        <f>Proyek!K62</f>
        <v>2026</v>
      </c>
    </row>
    <row r="63" spans="1:7" hidden="1">
      <c r="A63" s="129" t="str">
        <f>Proyek!E63</f>
        <v>P-48</v>
      </c>
      <c r="B63" s="81" t="str">
        <f>Proyek!H63</f>
        <v>Digital Library</v>
      </c>
      <c r="C63" s="81" t="str">
        <f>Proyek!I63</f>
        <v>Modernize Digital Library</v>
      </c>
      <c r="D63" s="129" t="str">
        <f>Proyek!Q63</f>
        <v>MI</v>
      </c>
      <c r="E63" s="129" t="str">
        <f>Proyek!T63</f>
        <v>On Progress</v>
      </c>
      <c r="F63" s="129">
        <f>Proyek!J63</f>
        <v>2024</v>
      </c>
      <c r="G63" s="129">
        <f>Proyek!K63</f>
        <v>2027</v>
      </c>
    </row>
    <row r="64" spans="1:7">
      <c r="A64" s="129" t="str">
        <f>Proyek!E64</f>
        <v>P-49</v>
      </c>
      <c r="B64" s="81" t="str">
        <f>Proyek!H64</f>
        <v>Capturing Devisa (SIMODIS)</v>
      </c>
      <c r="C64" s="81" t="str">
        <f>Proyek!I64</f>
        <v>Penyesuaian SIMODIS DHE SDA Tahap 2</v>
      </c>
      <c r="D64" s="129" t="str">
        <f>Proyek!Q64</f>
        <v>Moneter</v>
      </c>
      <c r="E64" s="129" t="str">
        <f>Proyek!T64</f>
        <v>DONE</v>
      </c>
      <c r="F64" s="129">
        <f>Proyek!J64</f>
        <v>2024</v>
      </c>
      <c r="G64" s="129">
        <f>Proyek!K64</f>
        <v>2025</v>
      </c>
    </row>
    <row r="65" spans="1:7">
      <c r="A65" s="129" t="str">
        <f>Proyek!E65</f>
        <v>P-49</v>
      </c>
      <c r="B65" s="81" t="str">
        <f>Proyek!H65</f>
        <v>Capturing Devisa (SIMODIS)</v>
      </c>
      <c r="C65" s="81" t="str">
        <f>Proyek!I65</f>
        <v xml:space="preserve">Pelaporan Kepabeanan Versi 1.3 pada SIMODIS </v>
      </c>
      <c r="D65" s="129" t="str">
        <f>Proyek!Q65</f>
        <v>Moneter</v>
      </c>
      <c r="E65" s="129" t="str">
        <f>Proyek!T65</f>
        <v>DONE</v>
      </c>
      <c r="F65" s="129">
        <f>Proyek!J65</f>
        <v>2025</v>
      </c>
      <c r="G65" s="129">
        <f>Proyek!K65</f>
        <v>2025</v>
      </c>
    </row>
    <row r="66" spans="1:7" hidden="1">
      <c r="A66" s="129" t="str">
        <f>Proyek!E66</f>
        <v>P-49</v>
      </c>
      <c r="B66" s="81" t="str">
        <f>Proyek!H66</f>
        <v>Capturing Devisa (SIMODIS)</v>
      </c>
      <c r="C66" s="81" t="str">
        <f>Proyek!I66</f>
        <v>Enhancement SIMODIS d.r. Pengawasan Penempatan DHE SDA</v>
      </c>
      <c r="D66" s="129" t="str">
        <f>Proyek!Q66</f>
        <v>Moneter</v>
      </c>
      <c r="E66" s="129" t="str">
        <f>Proyek!T66</f>
        <v>On Progress</v>
      </c>
      <c r="F66" s="129">
        <f>Proyek!J66</f>
        <v>2026</v>
      </c>
      <c r="G66" s="129">
        <f>Proyek!K66</f>
        <v>2026</v>
      </c>
    </row>
    <row r="67" spans="1:7" hidden="1">
      <c r="A67" s="129" t="str">
        <f>Proyek!E67</f>
        <v>P-49</v>
      </c>
      <c r="B67" s="81" t="str">
        <f>Proyek!H67</f>
        <v>Capturing Devisa (SIMODIS)</v>
      </c>
      <c r="C67" s="81" t="str">
        <f>Proyek!I67</f>
        <v>Modernisasi Aplikasi Monitoring DHE</v>
      </c>
      <c r="D67" s="129" t="str">
        <f>Proyek!Q67</f>
        <v>Moneter</v>
      </c>
      <c r="E67" s="129" t="str">
        <f>Proyek!T67</f>
        <v>On Progress</v>
      </c>
      <c r="F67" s="129">
        <f>Proyek!J67</f>
        <v>2028</v>
      </c>
      <c r="G67" s="129">
        <f>Proyek!K67</f>
        <v>2028</v>
      </c>
    </row>
    <row r="68" spans="1:7" hidden="1">
      <c r="A68" s="129" t="str">
        <f>Proyek!E68</f>
        <v>P-49</v>
      </c>
      <c r="B68" s="81" t="str">
        <f>Proyek!H68</f>
        <v>Capturing Devisa (SIMODIS)</v>
      </c>
      <c r="C68" s="81" t="str">
        <f>Proyek!I68</f>
        <v>Penyesuaian Revisi PP 8 Tahun 2025</v>
      </c>
      <c r="D68" s="129" t="str">
        <f>Proyek!Q68</f>
        <v>Moneter</v>
      </c>
      <c r="E68" s="129" t="str">
        <f>Proyek!T68</f>
        <v>Not Started</v>
      </c>
      <c r="F68" s="129">
        <f>Proyek!J68</f>
        <v>2026</v>
      </c>
      <c r="G68" s="129">
        <f>Proyek!K68</f>
        <v>2026</v>
      </c>
    </row>
    <row r="69" spans="1:7" hidden="1">
      <c r="A69" s="129" t="str">
        <f>Proyek!E69</f>
        <v>P-50</v>
      </c>
      <c r="B69" s="81" t="str">
        <f>Proyek!H69</f>
        <v>Sistem Treasuri Bank Indonesia</v>
      </c>
      <c r="C69" s="81" t="str">
        <f>Proyek!I69</f>
        <v>Implementasi Transaksi Derivatif FX Swap di FOMOBO</v>
      </c>
      <c r="D69" s="129" t="str">
        <f>Proyek!Q69</f>
        <v>Market</v>
      </c>
      <c r="E69" s="129" t="str">
        <f>Proyek!T69</f>
        <v>Not Started</v>
      </c>
      <c r="F69" s="129">
        <f>Proyek!J69</f>
        <v>2029</v>
      </c>
      <c r="G69" s="129">
        <f>Proyek!K69</f>
        <v>2029</v>
      </c>
    </row>
    <row r="70" spans="1:7" hidden="1">
      <c r="A70" s="129" t="str">
        <f>Proyek!E70</f>
        <v>P-50</v>
      </c>
      <c r="B70" s="81" t="str">
        <f>Proyek!H70</f>
        <v>Sistem Treasuri Bank Indonesia</v>
      </c>
      <c r="C70" s="81" t="str">
        <f>Proyek!I70</f>
        <v>Tri Party Open Repo Devisa pada FOMOBO</v>
      </c>
      <c r="D70" s="129" t="str">
        <f>Proyek!Q70</f>
        <v>Market</v>
      </c>
      <c r="E70" s="129" t="str">
        <f>Proyek!T70</f>
        <v>Not Started</v>
      </c>
      <c r="F70" s="129">
        <f>Proyek!J70</f>
        <v>2026</v>
      </c>
      <c r="G70" s="129">
        <f>Proyek!K70</f>
        <v>2027</v>
      </c>
    </row>
    <row r="71" spans="1:7">
      <c r="A71" s="129" t="str">
        <f>Proyek!E71</f>
        <v>P-50</v>
      </c>
      <c r="B71" s="81" t="str">
        <f>Proyek!H71</f>
        <v>Sistem Treasuri Bank Indonesia</v>
      </c>
      <c r="C71" s="81" t="str">
        <f>Proyek!I71</f>
        <v>Triparty Repo BNYM</v>
      </c>
      <c r="D71" s="129" t="str">
        <f>Proyek!Q71</f>
        <v>Market</v>
      </c>
      <c r="E71" s="129" t="str">
        <f>Proyek!T71</f>
        <v>DONE</v>
      </c>
      <c r="F71" s="129">
        <f>Proyek!J71</f>
        <v>2025</v>
      </c>
      <c r="G71" s="129">
        <f>Proyek!K71</f>
        <v>2025</v>
      </c>
    </row>
    <row r="72" spans="1:7" hidden="1">
      <c r="A72" s="129" t="str">
        <f>Proyek!E72</f>
        <v>P-50</v>
      </c>
      <c r="B72" s="81" t="str">
        <f>Proyek!H72</f>
        <v>Sistem Treasuri Bank Indonesia</v>
      </c>
      <c r="C72" s="81" t="str">
        <f>Proyek!I72</f>
        <v>Perubahan dari Protokol TOF menjadi Protokol FIX LSEG pada FOMOBO</v>
      </c>
      <c r="D72" s="129" t="str">
        <f>Proyek!Q72</f>
        <v>Market</v>
      </c>
      <c r="E72" s="129" t="str">
        <f>Proyek!T72</f>
        <v>On Progress</v>
      </c>
      <c r="F72" s="129">
        <f>Proyek!J72</f>
        <v>2025</v>
      </c>
      <c r="G72" s="129">
        <f>Proyek!K72</f>
        <v>2026</v>
      </c>
    </row>
    <row r="73" spans="1:7" hidden="1">
      <c r="A73" s="129" t="str">
        <f>Proyek!E73</f>
        <v>P-50</v>
      </c>
      <c r="B73" s="81" t="str">
        <f>Proyek!H73</f>
        <v>Sistem Treasuri Bank Indonesia</v>
      </c>
      <c r="C73" s="81" t="str">
        <f>Proyek!I73</f>
        <v>Penguatan FOMOBO Tahap 1</v>
      </c>
      <c r="D73" s="129" t="str">
        <f>Proyek!Q73</f>
        <v>Market</v>
      </c>
      <c r="E73" s="129" t="str">
        <f>Proyek!T73</f>
        <v>Not Started</v>
      </c>
      <c r="F73" s="129">
        <f>Proyek!J73</f>
        <v>2026</v>
      </c>
      <c r="G73" s="129">
        <f>Proyek!K73</f>
        <v>2026</v>
      </c>
    </row>
    <row r="74" spans="1:7">
      <c r="A74" s="129" t="str">
        <f>Proyek!E74</f>
        <v>P-50</v>
      </c>
      <c r="B74" s="81" t="str">
        <f>Proyek!H74</f>
        <v>Sistem Treasuri Bank Indonesia</v>
      </c>
      <c r="C74" s="81" t="str">
        <f>Proyek!I74</f>
        <v>Penambahan Fitur Early Redemption Instrumen OM Rupiah BI-FOMOBO</v>
      </c>
      <c r="D74" s="129" t="str">
        <f>Proyek!Q74</f>
        <v>Market</v>
      </c>
      <c r="E74" s="129" t="str">
        <f>Proyek!T74</f>
        <v>DONE</v>
      </c>
      <c r="F74" s="129">
        <f>Proyek!J74</f>
        <v>2024</v>
      </c>
      <c r="G74" s="129">
        <f>Proyek!K74</f>
        <v>2025</v>
      </c>
    </row>
    <row r="75" spans="1:7" hidden="1">
      <c r="A75" s="129" t="str">
        <f>Proyek!E75</f>
        <v>P-50</v>
      </c>
      <c r="B75" s="81" t="str">
        <f>Proyek!H75</f>
        <v>Sistem Treasuri Bank Indonesia</v>
      </c>
      <c r="C75" s="81" t="str">
        <f>Proyek!I75</f>
        <v xml:space="preserve">Enh. Portfolio Workstation  (PWS) untuk Pengelolaan Risiko Operasi Moneter pada FMB </v>
      </c>
      <c r="D75" s="129" t="str">
        <f>Proyek!Q75</f>
        <v>Market</v>
      </c>
      <c r="E75" s="129" t="str">
        <f>Proyek!T75</f>
        <v>Not Started</v>
      </c>
      <c r="F75" s="129">
        <f>Proyek!J75</f>
        <v>2026</v>
      </c>
      <c r="G75" s="129">
        <f>Proyek!K75</f>
        <v>2026</v>
      </c>
    </row>
    <row r="76" spans="1:7">
      <c r="A76" s="129" t="str">
        <f>Proyek!E76</f>
        <v>P-50</v>
      </c>
      <c r="B76" s="81" t="str">
        <f>Proyek!H76</f>
        <v>Sistem Treasuri Bank Indonesia</v>
      </c>
      <c r="C76" s="81" t="str">
        <f>Proyek!I76</f>
        <v>Pengembangan Penguatan Fungsi Pencatatan Akuntansi FOMOBO</v>
      </c>
      <c r="D76" s="129" t="str">
        <f>Proyek!Q76</f>
        <v>Market</v>
      </c>
      <c r="E76" s="129" t="str">
        <f>Proyek!T76</f>
        <v>DONE</v>
      </c>
      <c r="F76" s="129">
        <f>Proyek!J76</f>
        <v>2025</v>
      </c>
      <c r="G76" s="129">
        <f>Proyek!K76</f>
        <v>2025</v>
      </c>
    </row>
    <row r="77" spans="1:7" hidden="1">
      <c r="A77" s="129" t="str">
        <f>Proyek!E77</f>
        <v>P-50</v>
      </c>
      <c r="B77" s="81" t="str">
        <f>Proyek!H77</f>
        <v>Sistem Treasuri Bank Indonesia</v>
      </c>
      <c r="C77" s="81" t="str">
        <f>Proyek!I77</f>
        <v>Upgrade versi FOMOBO</v>
      </c>
      <c r="D77" s="129" t="str">
        <f>Proyek!Q77</f>
        <v>Market</v>
      </c>
      <c r="E77" s="129" t="e">
        <f>Proyek!T77</f>
        <v>#REF!</v>
      </c>
      <c r="F77" s="129">
        <f>Proyek!J77</f>
        <v>2026</v>
      </c>
      <c r="G77" s="129">
        <f>Proyek!K77</f>
        <v>2027</v>
      </c>
    </row>
    <row r="78" spans="1:7" hidden="1">
      <c r="A78" s="129" t="str">
        <f>Proyek!E78</f>
        <v>P-50</v>
      </c>
      <c r="B78" s="81" t="str">
        <f>Proyek!H78</f>
        <v>Sistem Treasuri Bank Indonesia</v>
      </c>
      <c r="C78" s="81" t="str">
        <f>Proyek!I78</f>
        <v>Penguatan FOMOBO Tahap 2</v>
      </c>
      <c r="D78" s="129" t="str">
        <f>Proyek!Q78</f>
        <v>Market</v>
      </c>
      <c r="E78" s="129" t="str">
        <f>Proyek!T78</f>
        <v>Not Started</v>
      </c>
      <c r="F78" s="129">
        <f>Proyek!J78</f>
        <v>2026</v>
      </c>
      <c r="G78" s="129">
        <f>Proyek!K78</f>
        <v>2027</v>
      </c>
    </row>
    <row r="79" spans="1:7">
      <c r="A79" s="129" t="str">
        <f>Proyek!E79</f>
        <v>P-51</v>
      </c>
      <c r="B79" s="81" t="str">
        <f>Proyek!H79</f>
        <v>Pengelolaan Layanan Kas</v>
      </c>
      <c r="C79" s="81" t="str">
        <f>Proyek!I79</f>
        <v>Modernize Layanan Kas Tunai (BI-SILK)</v>
      </c>
      <c r="D79" s="129" t="str">
        <f>Proyek!Q79</f>
        <v>SP</v>
      </c>
      <c r="E79" s="129" t="str">
        <f>Proyek!T79</f>
        <v>DONE</v>
      </c>
      <c r="F79" s="129">
        <f>Proyek!J79</f>
        <v>2024</v>
      </c>
      <c r="G79" s="129">
        <f>Proyek!K79</f>
        <v>2025</v>
      </c>
    </row>
    <row r="80" spans="1:7">
      <c r="A80" s="129" t="str">
        <f>Proyek!E80</f>
        <v>P-52</v>
      </c>
      <c r="B80" s="81" t="str">
        <f>Proyek!H80</f>
        <v>DCP GMMP</v>
      </c>
      <c r="C80" s="81" t="str">
        <f>Proyek!I80</f>
        <v>Implementasi Kewajiban Pemenuhan Giro RPIM pada GMMP</v>
      </c>
      <c r="D80" s="129" t="str">
        <f>Proyek!Q80</f>
        <v>SSK</v>
      </c>
      <c r="E80" s="129" t="str">
        <f>Proyek!T80</f>
        <v>DONE</v>
      </c>
      <c r="F80" s="129">
        <f>Proyek!J80</f>
        <v>2024</v>
      </c>
      <c r="G80" s="129">
        <f>Proyek!K80</f>
        <v>2025</v>
      </c>
    </row>
    <row r="81" spans="1:7">
      <c r="A81" s="129" t="str">
        <f>Proyek!E81</f>
        <v>P-52</v>
      </c>
      <c r="B81" s="81" t="str">
        <f>Proyek!H81</f>
        <v>DCP GMMP</v>
      </c>
      <c r="C81" s="81" t="str">
        <f>Proyek!I81</f>
        <v>Implementasi Kewajiban Pemenuhan Giro RPIM pada GMMP-surrounding BI-SSS</v>
      </c>
      <c r="D81" s="129" t="str">
        <f>Proyek!Q81</f>
        <v>SSK</v>
      </c>
      <c r="E81" s="129" t="str">
        <f>Proyek!T81</f>
        <v>DONE</v>
      </c>
      <c r="F81" s="129">
        <f>Proyek!J81</f>
        <v>2024</v>
      </c>
      <c r="G81" s="129">
        <f>Proyek!K81</f>
        <v>2025</v>
      </c>
    </row>
    <row r="82" spans="1:7" hidden="1">
      <c r="A82" s="129" t="str">
        <f>Proyek!E82</f>
        <v>P-52</v>
      </c>
      <c r="B82" s="81" t="str">
        <f>Proyek!H82</f>
        <v>DCP GMMP</v>
      </c>
      <c r="C82" s="81" t="str">
        <f>Proyek!I82</f>
        <v>Pemenuhan Sumber Data Komponen Perhitungan RIM dari LBUT pada GMMP</v>
      </c>
      <c r="D82" s="129" t="str">
        <f>Proyek!Q82</f>
        <v>SSK</v>
      </c>
      <c r="E82" s="129" t="str">
        <f>Proyek!T82</f>
        <v>On Progress</v>
      </c>
      <c r="F82" s="129">
        <f>Proyek!J82</f>
        <v>2025</v>
      </c>
      <c r="G82" s="129">
        <f>Proyek!K82</f>
        <v>2026</v>
      </c>
    </row>
    <row r="83" spans="1:7" hidden="1">
      <c r="A83" s="129" t="str">
        <f>Proyek!E83</f>
        <v>P-52</v>
      </c>
      <c r="B83" s="81" t="str">
        <f>Proyek!H83</f>
        <v>DCP GMMP</v>
      </c>
      <c r="C83" s="81" t="str">
        <f>Proyek!I83</f>
        <v>Penyesuaian Formula Pengenaan Sanksi GWM, untuk BUK dan BUS pada GMMP</v>
      </c>
      <c r="D83" s="129" t="str">
        <f>Proyek!Q83</f>
        <v>SSK</v>
      </c>
      <c r="E83" s="129" t="str">
        <f>Proyek!T83</f>
        <v>On Progress</v>
      </c>
      <c r="F83" s="129">
        <f>Proyek!J83</f>
        <v>2025</v>
      </c>
      <c r="G83" s="129">
        <f>Proyek!K83</f>
        <v>2026</v>
      </c>
    </row>
    <row r="84" spans="1:7" hidden="1">
      <c r="A84" s="129" t="str">
        <f>Proyek!E84</f>
        <v>P-52</v>
      </c>
      <c r="B84" s="81" t="str">
        <f>Proyek!H84</f>
        <v>DCP GMMP</v>
      </c>
      <c r="C84" s="81" t="str">
        <f>Proyek!I84</f>
        <v>Rekonsiliasi data DPK dan Penyesuaian Perhitungan GWM Averaging d.r. Aksi Korporasi ditengah MP</v>
      </c>
      <c r="D84" s="129" t="str">
        <f>Proyek!Q84</f>
        <v>SSK</v>
      </c>
      <c r="E84" s="129" t="str">
        <f>Proyek!T84</f>
        <v>On Progress</v>
      </c>
      <c r="F84" s="129">
        <f>Proyek!J84</f>
        <v>2025</v>
      </c>
      <c r="G84" s="129">
        <f>Proyek!K84</f>
        <v>2026</v>
      </c>
    </row>
    <row r="85" spans="1:7">
      <c r="A85" s="129" t="str">
        <f>Proyek!E85</f>
        <v>P-52</v>
      </c>
      <c r="B85" s="81" t="str">
        <f>Proyek!H85</f>
        <v>DCP GMMP</v>
      </c>
      <c r="C85" s="81" t="str">
        <f>Proyek!I85</f>
        <v>Implementasi Kewajiban Pemenuhan Giro RPIM pada GMMP Tahap 2</v>
      </c>
      <c r="D85" s="129" t="str">
        <f>Proyek!Q85</f>
        <v>SSK</v>
      </c>
      <c r="E85" s="129" t="str">
        <f>Proyek!T85</f>
        <v>DONE</v>
      </c>
      <c r="F85" s="129">
        <f>Proyek!J85</f>
        <v>2024</v>
      </c>
      <c r="G85" s="129">
        <f>Proyek!K85</f>
        <v>2025</v>
      </c>
    </row>
    <row r="86" spans="1:7" hidden="1">
      <c r="A86" s="129" t="str">
        <f>Proyek!E86</f>
        <v>P-52</v>
      </c>
      <c r="B86" s="81" t="str">
        <f>Proyek!H86</f>
        <v>DCP GMMP</v>
      </c>
      <c r="C86" s="81" t="str">
        <f>Proyek!I86</f>
        <v>Penyesuaian Formula Pengenaan Sanksi GWM, untuk BUK dan BUS pada GMMP - Surrounding ANTASENA</v>
      </c>
      <c r="D86" s="129" t="str">
        <f>Proyek!Q86</f>
        <v>Moneter, SSK</v>
      </c>
      <c r="E86" s="129" t="str">
        <f>Proyek!T86</f>
        <v>On Progress</v>
      </c>
      <c r="F86" s="129">
        <f>Proyek!J86</f>
        <v>2025</v>
      </c>
      <c r="G86" s="129">
        <f>Proyek!K86</f>
        <v>2026</v>
      </c>
    </row>
    <row r="87" spans="1:7">
      <c r="A87" s="129" t="str">
        <f>Proyek!E87</f>
        <v>P-52</v>
      </c>
      <c r="B87" s="81" t="str">
        <f>Proyek!H87</f>
        <v>DCP GMMP</v>
      </c>
      <c r="C87" s="81" t="str">
        <f>Proyek!I87</f>
        <v>KLM Forward Looking Tahap 1</v>
      </c>
      <c r="D87" s="129" t="str">
        <f>Proyek!Q87</f>
        <v>SSK</v>
      </c>
      <c r="E87" s="129" t="str">
        <f>Proyek!T87</f>
        <v>DONE</v>
      </c>
      <c r="F87" s="129">
        <f>Proyek!J87</f>
        <v>2025</v>
      </c>
      <c r="G87" s="129">
        <f>Proyek!K87</f>
        <v>2025</v>
      </c>
    </row>
    <row r="88" spans="1:7">
      <c r="A88" s="129" t="str">
        <f>Proyek!E88</f>
        <v>P-52</v>
      </c>
      <c r="B88" s="81" t="str">
        <f>Proyek!H88</f>
        <v>DCP GMMP</v>
      </c>
      <c r="C88" s="81" t="str">
        <f>Proyek!I88</f>
        <v>KLM Forward Looking Tahap 2</v>
      </c>
      <c r="D88" s="129" t="str">
        <f>Proyek!Q88</f>
        <v>SSK</v>
      </c>
      <c r="E88" s="129" t="str">
        <f>Proyek!T88</f>
        <v>DONE</v>
      </c>
      <c r="F88" s="129">
        <f>Proyek!J88</f>
        <v>2024</v>
      </c>
      <c r="G88" s="129">
        <f>Proyek!K88</f>
        <v>2026</v>
      </c>
    </row>
    <row r="89" spans="1:7" hidden="1">
      <c r="A89" s="129" t="str">
        <f>Proyek!E89</f>
        <v>P-52</v>
      </c>
      <c r="B89" s="81" t="str">
        <f>Proyek!H89</f>
        <v>DCP GMMP</v>
      </c>
      <c r="C89" s="81" t="str">
        <f>Proyek!I89</f>
        <v>Pemberian Remunerasi Excess Reserves Tahap 1</v>
      </c>
      <c r="D89" s="129" t="str">
        <f>Proyek!Q89</f>
        <v>SSK</v>
      </c>
      <c r="E89" s="129" t="str">
        <f>Proyek!T89</f>
        <v>Not Started</v>
      </c>
      <c r="F89" s="129">
        <f>Proyek!J89</f>
        <v>2025</v>
      </c>
      <c r="G89" s="129">
        <f>Proyek!K89</f>
        <v>2025</v>
      </c>
    </row>
    <row r="90" spans="1:7">
      <c r="A90" s="129" t="str">
        <f>Proyek!E90</f>
        <v>P-53</v>
      </c>
      <c r="B90" s="81" t="str">
        <f>Proyek!H90</f>
        <v>Capturing Transaksi Valas dan Rupiah</v>
      </c>
      <c r="C90" s="81" t="str">
        <f>Proyek!I90</f>
        <v>Modernize Custom Report SISMONTAVAR</v>
      </c>
      <c r="D90" s="129" t="str">
        <f>Proyek!Q90</f>
        <v>Market</v>
      </c>
      <c r="E90" s="129" t="str">
        <f>Proyek!T90</f>
        <v>DONE</v>
      </c>
      <c r="F90" s="129">
        <f>Proyek!J90</f>
        <v>2024</v>
      </c>
      <c r="G90" s="129">
        <f>Proyek!K90</f>
        <v>2025</v>
      </c>
    </row>
    <row r="91" spans="1:7" hidden="1">
      <c r="A91" s="129" t="str">
        <f>Proyek!E91</f>
        <v>P-54</v>
      </c>
      <c r="B91" s="81" t="str">
        <f>Proyek!H91</f>
        <v>ERPHRIS</v>
      </c>
      <c r="C91" s="81" t="str">
        <f>Proyek!I91</f>
        <v>Pengelolaan Uang BI pada Modul INV - WMS di ERPHRIS</v>
      </c>
      <c r="D91" s="129" t="str">
        <f>Proyek!Q91</f>
        <v>MI</v>
      </c>
      <c r="E91" s="129" t="str">
        <f>Proyek!T91</f>
        <v>On Progress</v>
      </c>
      <c r="F91" s="129">
        <f>Proyek!J91</f>
        <v>2025</v>
      </c>
      <c r="G91" s="129">
        <f>Proyek!K91</f>
        <v>2026</v>
      </c>
    </row>
    <row r="92" spans="1:7">
      <c r="A92" s="129" t="str">
        <f>Proyek!E92</f>
        <v>P-54</v>
      </c>
      <c r="B92" s="81" t="str">
        <f>Proyek!H92</f>
        <v>ERPHRIS</v>
      </c>
      <c r="C92" s="81" t="str">
        <f>Proyek!I92</f>
        <v>Pengelolaan Keuangan BI (Prioritas 1) pada ERPHRIS</v>
      </c>
      <c r="D92" s="129" t="str">
        <f>Proyek!Q92</f>
        <v>MI</v>
      </c>
      <c r="E92" s="129" t="str">
        <f>Proyek!T92</f>
        <v>DONE</v>
      </c>
      <c r="F92" s="129">
        <f>Proyek!J92</f>
        <v>2025</v>
      </c>
      <c r="G92" s="129">
        <f>Proyek!K92</f>
        <v>2026</v>
      </c>
    </row>
    <row r="93" spans="1:7" hidden="1">
      <c r="A93" s="129" t="str">
        <f>Proyek!E93</f>
        <v>P-54</v>
      </c>
      <c r="B93" s="81" t="str">
        <f>Proyek!H93</f>
        <v>ERPHRIS</v>
      </c>
      <c r="C93" s="81" t="str">
        <f>Proyek!I93</f>
        <v>Pengelolaan Keuangan BI (Prioritas 2) pada ERPHRIS</v>
      </c>
      <c r="D93" s="129" t="str">
        <f>Proyek!Q93</f>
        <v>MI</v>
      </c>
      <c r="E93" s="129" t="str">
        <f>Proyek!T93</f>
        <v>On Progress</v>
      </c>
      <c r="F93" s="129">
        <f>Proyek!J93</f>
        <v>2025</v>
      </c>
      <c r="G93" s="129">
        <f>Proyek!K93</f>
        <v>2026</v>
      </c>
    </row>
    <row r="94" spans="1:7" hidden="1">
      <c r="A94" s="129" t="str">
        <f>Proyek!E94</f>
        <v>P-54</v>
      </c>
      <c r="B94" s="81" t="str">
        <f>Proyek!H94</f>
        <v>ERPHRIS</v>
      </c>
      <c r="C94" s="81" t="str">
        <f>Proyek!I94</f>
        <v>Pengelolaan Keuangan BI (Prioritas 3) pada ERPHRIS</v>
      </c>
      <c r="D94" s="129" t="str">
        <f>Proyek!Q94</f>
        <v>MI</v>
      </c>
      <c r="E94" s="129" t="str">
        <f>Proyek!T94</f>
        <v>On Progress</v>
      </c>
      <c r="F94" s="129">
        <f>Proyek!J94</f>
        <v>2025</v>
      </c>
      <c r="G94" s="129">
        <f>Proyek!K94</f>
        <v>2027</v>
      </c>
    </row>
    <row r="95" spans="1:7">
      <c r="A95" s="129" t="str">
        <f>Proyek!E95</f>
        <v>P-54</v>
      </c>
      <c r="B95" s="81" t="str">
        <f>Proyek!H95</f>
        <v>ERPHRIS</v>
      </c>
      <c r="C95" s="81" t="str">
        <f>Proyek!I95</f>
        <v>Pengelolaan Remunerasi (Prioritas 1) pada ERPHRIS</v>
      </c>
      <c r="D95" s="129" t="str">
        <f>Proyek!Q95</f>
        <v>MI</v>
      </c>
      <c r="E95" s="129" t="str">
        <f>Proyek!T95</f>
        <v>DONE</v>
      </c>
      <c r="F95" s="129">
        <f>Proyek!J95</f>
        <v>2025</v>
      </c>
      <c r="G95" s="129">
        <f>Proyek!K95</f>
        <v>2025</v>
      </c>
    </row>
    <row r="96" spans="1:7" hidden="1">
      <c r="A96" s="129" t="str">
        <f>Proyek!E96</f>
        <v>P-54</v>
      </c>
      <c r="B96" s="81" t="str">
        <f>Proyek!H96</f>
        <v>ERPHRIS</v>
      </c>
      <c r="C96" s="81" t="str">
        <f>Proyek!I96</f>
        <v>Pengelolaan Remunerasi (Prioritas 2) pada ERPHRIS</v>
      </c>
      <c r="D96" s="129" t="str">
        <f>Proyek!Q96</f>
        <v>MI</v>
      </c>
      <c r="E96" s="129" t="str">
        <f>Proyek!T96</f>
        <v>On Progress</v>
      </c>
      <c r="F96" s="129">
        <f>Proyek!J96</f>
        <v>2025</v>
      </c>
      <c r="G96" s="129">
        <f>Proyek!K96</f>
        <v>2026</v>
      </c>
    </row>
    <row r="97" spans="1:7" hidden="1">
      <c r="A97" s="129" t="str">
        <f>Proyek!E97</f>
        <v>P-54</v>
      </c>
      <c r="B97" s="81" t="str">
        <f>Proyek!H97</f>
        <v>ERPHRIS</v>
      </c>
      <c r="C97" s="81" t="str">
        <f>Proyek!I97</f>
        <v>Pengelolaan Remunerasi (Prioritas 3) pada ERPHRIS</v>
      </c>
      <c r="D97" s="129" t="str">
        <f>Proyek!Q97</f>
        <v>MI</v>
      </c>
      <c r="E97" s="129" t="str">
        <f>Proyek!T97</f>
        <v>On Progress</v>
      </c>
      <c r="F97" s="129">
        <f>Proyek!J97</f>
        <v>2025</v>
      </c>
      <c r="G97" s="129">
        <f>Proyek!K97</f>
        <v>2027</v>
      </c>
    </row>
    <row r="98" spans="1:7">
      <c r="A98" s="129" t="str">
        <f>Proyek!E98</f>
        <v>P-54</v>
      </c>
      <c r="B98" s="81" t="str">
        <f>Proyek!H98</f>
        <v>ERPHRIS</v>
      </c>
      <c r="C98" s="81" t="str">
        <f>Proyek!I98</f>
        <v xml:space="preserve">Enhancement ERPHRIS Prioritas </v>
      </c>
      <c r="D98" s="129" t="str">
        <f>Proyek!Q98</f>
        <v>MI</v>
      </c>
      <c r="E98" s="129" t="str">
        <f>Proyek!T98</f>
        <v>DONE</v>
      </c>
      <c r="F98" s="129">
        <f>Proyek!J98</f>
        <v>2024</v>
      </c>
      <c r="G98" s="129">
        <f>Proyek!K98</f>
        <v>2025</v>
      </c>
    </row>
    <row r="99" spans="1:7">
      <c r="A99" s="129" t="str">
        <f>Proyek!E99</f>
        <v>P-54</v>
      </c>
      <c r="B99" s="81" t="str">
        <f>Proyek!H99</f>
        <v>ERPHRIS</v>
      </c>
      <c r="C99" s="81" t="str">
        <f>Proyek!I99</f>
        <v>Penyesuaian Tarif PPN 12%</v>
      </c>
      <c r="D99" s="129" t="str">
        <f>Proyek!Q99</f>
        <v>MI</v>
      </c>
      <c r="E99" s="129" t="str">
        <f>Proyek!T99</f>
        <v>DONE</v>
      </c>
      <c r="F99" s="129">
        <f>Proyek!J99</f>
        <v>2025</v>
      </c>
      <c r="G99" s="129">
        <f>Proyek!K99</f>
        <v>2025</v>
      </c>
    </row>
    <row r="100" spans="1:7">
      <c r="A100" s="129" t="str">
        <f>Proyek!E100</f>
        <v>P-55</v>
      </c>
      <c r="B100" s="81" t="str">
        <f>Proyek!H100</f>
        <v>Surveilance Supervision System</v>
      </c>
      <c r="C100" s="81" t="str">
        <f>Proyek!I100</f>
        <v>Enh. sistem surveillance BI pada BI-SSS</v>
      </c>
      <c r="D100" s="129" t="str">
        <f>Proyek!Q100</f>
        <v>SSK</v>
      </c>
      <c r="E100" s="129" t="str">
        <f>Proyek!T100</f>
        <v>DONE</v>
      </c>
      <c r="F100" s="129">
        <f>Proyek!J100</f>
        <v>2025</v>
      </c>
      <c r="G100" s="129">
        <f>Proyek!K100</f>
        <v>2025</v>
      </c>
    </row>
    <row r="101" spans="1:7" hidden="1">
      <c r="A101" s="129" t="str">
        <f>Proyek!E101</f>
        <v>P-55</v>
      </c>
      <c r="B101" s="81" t="str">
        <f>Proyek!H101</f>
        <v>Surveilance Supervision System</v>
      </c>
      <c r="C101" s="81" t="str">
        <f>Proyek!I101</f>
        <v>Digitalisasi Asesmen TIKMI</v>
      </c>
      <c r="D101" s="129" t="str">
        <f>Proyek!Q101</f>
        <v>SSK</v>
      </c>
      <c r="E101" s="129" t="str">
        <f>Proyek!T101</f>
        <v>On Progress</v>
      </c>
      <c r="F101" s="129">
        <f>Proyek!J101</f>
        <v>2025</v>
      </c>
      <c r="G101" s="129">
        <f>Proyek!K101</f>
        <v>2026</v>
      </c>
    </row>
    <row r="102" spans="1:7" hidden="1">
      <c r="A102" s="129" t="str">
        <f>Proyek!E102</f>
        <v>P-55</v>
      </c>
      <c r="B102" s="81" t="str">
        <f>Proyek!H102</f>
        <v>Surveilance Supervision System</v>
      </c>
      <c r="C102" s="81" t="str">
        <f>Proyek!I102</f>
        <v xml:space="preserve">Pemrosesan PLJP/PLJPS v1.2 </v>
      </c>
      <c r="D102" s="129" t="str">
        <f>Proyek!Q102</f>
        <v>SSK</v>
      </c>
      <c r="E102" s="129" t="str">
        <f>Proyek!T102</f>
        <v>On Progress</v>
      </c>
      <c r="F102" s="129">
        <f>Proyek!J102</f>
        <v>2025</v>
      </c>
      <c r="G102" s="129">
        <f>Proyek!K102</f>
        <v>2026</v>
      </c>
    </row>
    <row r="103" spans="1:7" hidden="1">
      <c r="A103" s="129" t="str">
        <f>Proyek!E103</f>
        <v>P-55</v>
      </c>
      <c r="B103" s="81" t="str">
        <f>Proyek!H103</f>
        <v>Surveilance Supervision System</v>
      </c>
      <c r="C103" s="81" t="str">
        <f>Proyek!I103</f>
        <v>Modernize BI-SSS</v>
      </c>
      <c r="D103" s="129" t="str">
        <f>Proyek!Q103</f>
        <v>SSK</v>
      </c>
      <c r="E103" s="129" t="str">
        <f>Proyek!T103</f>
        <v>On Progress</v>
      </c>
      <c r="F103" s="129">
        <f>Proyek!J103</f>
        <v>2025</v>
      </c>
      <c r="G103" s="129">
        <f>Proyek!K103</f>
        <v>2027</v>
      </c>
    </row>
    <row r="104" spans="1:7">
      <c r="A104" s="129" t="str">
        <f>Proyek!E104</f>
        <v>P-55</v>
      </c>
      <c r="B104" s="81" t="str">
        <f>Proyek!H104</f>
        <v>Surveilance Supervision System</v>
      </c>
      <c r="C104" s="81" t="str">
        <f>Proyek!I104</f>
        <v xml:space="preserve">Digitalisasi TIKMI - Key Survey </v>
      </c>
      <c r="D104" s="129" t="str">
        <f>Proyek!Q104</f>
        <v>SSK</v>
      </c>
      <c r="E104" s="129" t="str">
        <f>Proyek!T104</f>
        <v>DONE</v>
      </c>
      <c r="F104" s="129">
        <f>Proyek!J104</f>
        <v>2024</v>
      </c>
      <c r="G104" s="129">
        <f>Proyek!K104</f>
        <v>2025</v>
      </c>
    </row>
    <row r="105" spans="1:7" hidden="1">
      <c r="A105" s="129" t="str">
        <f>Proyek!E105</f>
        <v>P-57</v>
      </c>
      <c r="B105" s="81" t="str">
        <f>Proyek!H105</f>
        <v>Customer Relationship Management (BICARA)</v>
      </c>
      <c r="C105" s="81" t="str">
        <f>Proyek!I105</f>
        <v>Penyesuaian aplikasi CRM Bicara untuk mendukung Implementas Lembaga Alternatif Penyelesaian Sengketa di Sektor Keuangan (LAPS-SK) Tahap 1</v>
      </c>
      <c r="D105" s="129" t="str">
        <f>Proyek!Q105</f>
        <v>MI</v>
      </c>
      <c r="E105" s="129" t="str">
        <f>Proyek!T105</f>
        <v>On Progress</v>
      </c>
      <c r="F105" s="129">
        <f>Proyek!J105</f>
        <v>2025</v>
      </c>
      <c r="G105" s="129">
        <f>Proyek!K105</f>
        <v>2026</v>
      </c>
    </row>
    <row r="106" spans="1:7" hidden="1">
      <c r="A106" s="129" t="str">
        <f>Proyek!E106</f>
        <v>P-58</v>
      </c>
      <c r="B106" s="81" t="str">
        <f>Proyek!H106</f>
        <v>Integrasi Survei</v>
      </c>
      <c r="C106" s="81" t="str">
        <f>Proyek!I106</f>
        <v>Modernize Integrasi Survei Tahap 1</v>
      </c>
      <c r="D106" s="129" t="str">
        <f>Proyek!Q106</f>
        <v>Moneter</v>
      </c>
      <c r="E106" s="129" t="str">
        <f>Proyek!T106</f>
        <v>On Progress</v>
      </c>
      <c r="F106" s="129">
        <f>Proyek!J106</f>
        <v>2025</v>
      </c>
      <c r="G106" s="129">
        <f>Proyek!K106</f>
        <v>2027</v>
      </c>
    </row>
    <row r="107" spans="1:7" hidden="1">
      <c r="A107" s="129" t="str">
        <f>Proyek!E107</f>
        <v>P-58</v>
      </c>
      <c r="B107" s="81" t="str">
        <f>Proyek!H107</f>
        <v>Integrasi Survei</v>
      </c>
      <c r="C107" s="81" t="str">
        <f>Proyek!I107</f>
        <v>Modernize Integrasi Survei Tahap 2</v>
      </c>
      <c r="D107" s="129" t="str">
        <f>Proyek!Q107</f>
        <v>Moneter</v>
      </c>
      <c r="E107" s="129" t="str">
        <f>Proyek!T107</f>
        <v>Not Started</v>
      </c>
      <c r="F107" s="129">
        <f>Proyek!J107</f>
        <v>2026</v>
      </c>
      <c r="G107" s="129">
        <f>Proyek!K107</f>
        <v>2027</v>
      </c>
    </row>
    <row r="108" spans="1:7" hidden="1">
      <c r="A108" s="129" t="str">
        <f>Proyek!E108</f>
        <v>P-58</v>
      </c>
      <c r="B108" s="81" t="str">
        <f>Proyek!H108</f>
        <v>Integrasi Survei</v>
      </c>
      <c r="C108" s="81" t="str">
        <f>Proyek!I108</f>
        <v>Modernize Integrasi Survei Tahap 3</v>
      </c>
      <c r="D108" s="129" t="str">
        <f>Proyek!Q108</f>
        <v>Moneter</v>
      </c>
      <c r="E108" s="129" t="str">
        <f>Proyek!T108</f>
        <v>Not Started</v>
      </c>
      <c r="F108" s="129">
        <f>Proyek!J108</f>
        <v>2027</v>
      </c>
      <c r="G108" s="129">
        <f>Proyek!K108</f>
        <v>2028</v>
      </c>
    </row>
    <row r="109" spans="1:7" hidden="1">
      <c r="A109" s="129" t="str">
        <f>Proyek!E109</f>
        <v>P-59</v>
      </c>
      <c r="B109" s="81" t="str">
        <f>Proyek!H109</f>
        <v>Reporting BI-SSSS</v>
      </c>
      <c r="C109" s="81" t="str">
        <f>Proyek!I109</f>
        <v>Modernize (rewrite) SI BI-SSSS</v>
      </c>
      <c r="D109" s="129" t="str">
        <f>Proyek!Q109</f>
        <v>Market</v>
      </c>
      <c r="E109" s="129" t="str">
        <f>Proyek!T109</f>
        <v>On Progress</v>
      </c>
      <c r="F109" s="129">
        <f>Proyek!J109</f>
        <v>2025</v>
      </c>
      <c r="G109" s="129">
        <f>Proyek!K109</f>
        <v>2026</v>
      </c>
    </row>
    <row r="110" spans="1:7" hidden="1">
      <c r="A110" s="129" t="str">
        <f>Proyek!E110</f>
        <v>P-60</v>
      </c>
      <c r="B110" s="81" t="str">
        <f>Proyek!H110</f>
        <v>Core Banking System Gen II</v>
      </c>
      <c r="C110" s="81" t="str">
        <f>Proyek!I110</f>
        <v>Modernize Core Banking System (CBS)</v>
      </c>
      <c r="D110" s="129" t="str">
        <f>Proyek!Q110</f>
        <v>SP</v>
      </c>
      <c r="E110" s="129" t="str">
        <f>Proyek!T110</f>
        <v>On Progress</v>
      </c>
      <c r="F110" s="129">
        <f>Proyek!J110</f>
        <v>2025</v>
      </c>
      <c r="G110" s="129">
        <f>Proyek!K110</f>
        <v>2028</v>
      </c>
    </row>
    <row r="111" spans="1:7">
      <c r="A111" s="129" t="str">
        <f>Proyek!E111</f>
        <v>P-61</v>
      </c>
      <c r="B111" s="81" t="str">
        <f>Proyek!H111</f>
        <v>Learning Management System</v>
      </c>
      <c r="C111" s="81" t="str">
        <f>Proyek!I111</f>
        <v>Enh. aplikasi Learning Management System (LMS) Tahap 1</v>
      </c>
      <c r="D111" s="129" t="str">
        <f>Proyek!Q111</f>
        <v>MI</v>
      </c>
      <c r="E111" s="129" t="str">
        <f>Proyek!T111</f>
        <v>DONE</v>
      </c>
      <c r="F111" s="129">
        <f>Proyek!J111</f>
        <v>2024</v>
      </c>
      <c r="G111" s="129">
        <f>Proyek!K111</f>
        <v>2025</v>
      </c>
    </row>
    <row r="112" spans="1:7">
      <c r="A112" s="129" t="str">
        <f>Proyek!E112</f>
        <v>P-61</v>
      </c>
      <c r="B112" s="81" t="str">
        <f>Proyek!H112</f>
        <v>Learning Management System</v>
      </c>
      <c r="C112" s="81" t="str">
        <f>Proyek!I112</f>
        <v>Integrasi LMS-BI dan HRIS</v>
      </c>
      <c r="D112" s="129" t="str">
        <f>Proyek!Q112</f>
        <v>MI</v>
      </c>
      <c r="E112" s="129" t="str">
        <f>Proyek!T112</f>
        <v>DONE</v>
      </c>
      <c r="F112" s="129">
        <f>Proyek!J112</f>
        <v>2025</v>
      </c>
      <c r="G112" s="129">
        <f>Proyek!K112</f>
        <v>2025</v>
      </c>
    </row>
    <row r="113" spans="1:7">
      <c r="A113" s="129" t="str">
        <f>Proyek!E113</f>
        <v>P-61</v>
      </c>
      <c r="B113" s="81" t="str">
        <f>Proyek!H113</f>
        <v>Learning Management System</v>
      </c>
      <c r="C113" s="81" t="str">
        <f>Proyek!I113</f>
        <v>Integrasi LMS-BI dan HR Super Apps</v>
      </c>
      <c r="D113" s="129" t="str">
        <f>Proyek!Q113</f>
        <v>MI</v>
      </c>
      <c r="E113" s="129" t="str">
        <f>Proyek!T113</f>
        <v>DONE</v>
      </c>
      <c r="F113" s="129">
        <f>Proyek!J113</f>
        <v>2025</v>
      </c>
      <c r="G113" s="129">
        <f>Proyek!K113</f>
        <v>2026</v>
      </c>
    </row>
    <row r="114" spans="1:7" hidden="1">
      <c r="A114" s="129" t="str">
        <f>Proyek!E114</f>
        <v>P-61</v>
      </c>
      <c r="B114" s="81" t="str">
        <f>Proyek!H114</f>
        <v>Learning Management System</v>
      </c>
      <c r="C114" s="81" t="str">
        <f>Proyek!I114</f>
        <v>Enh. aplikasi Learning Management System (LMS) Tahap 3</v>
      </c>
      <c r="D114" s="129" t="str">
        <f>Proyek!Q114</f>
        <v>MI</v>
      </c>
      <c r="E114" s="129" t="str">
        <f>Proyek!T114</f>
        <v>Not Started</v>
      </c>
      <c r="F114" s="129">
        <f>Proyek!J114</f>
        <v>2026</v>
      </c>
      <c r="G114" s="129">
        <f>Proyek!K114</f>
        <v>2026</v>
      </c>
    </row>
    <row r="115" spans="1:7" hidden="1">
      <c r="A115" s="129" t="str">
        <f>Proyek!E115</f>
        <v>P-61</v>
      </c>
      <c r="B115" s="81" t="str">
        <f>Proyek!H115</f>
        <v>Learning Management System</v>
      </c>
      <c r="C115" s="81" t="str">
        <f>Proyek!I115</f>
        <v>Enh. aplikasi Learning Management System (LMS) Tahap 4</v>
      </c>
      <c r="D115" s="129" t="str">
        <f>Proyek!Q115</f>
        <v>MI</v>
      </c>
      <c r="E115" s="129" t="str">
        <f>Proyek!T115</f>
        <v>Not Started</v>
      </c>
      <c r="F115" s="129">
        <f>Proyek!J115</f>
        <v>2026</v>
      </c>
      <c r="G115" s="129">
        <f>Proyek!K115</f>
        <v>2027</v>
      </c>
    </row>
    <row r="116" spans="1:7">
      <c r="A116" s="129" t="str">
        <f>Proyek!E116</f>
        <v>P-62</v>
      </c>
      <c r="B116" s="81" t="str">
        <f>Proyek!H116</f>
        <v>Sistem Perizinan Bank Indonesia</v>
      </c>
      <c r="C116" s="81" t="str">
        <f>Proyek!I116</f>
        <v xml:space="preserve">Modernize Sistem Perizinan (E-Licensing) </v>
      </c>
      <c r="D116" s="129" t="str">
        <f>Proyek!Q116</f>
        <v>SSK</v>
      </c>
      <c r="E116" s="129" t="str">
        <f>Proyek!T116</f>
        <v>DONE</v>
      </c>
      <c r="F116" s="129">
        <f>Proyek!J116</f>
        <v>2024</v>
      </c>
      <c r="G116" s="129">
        <f>Proyek!K116</f>
        <v>2025</v>
      </c>
    </row>
    <row r="117" spans="1:7" hidden="1">
      <c r="A117" s="129" t="str">
        <f>Proyek!E117</f>
        <v>P-62</v>
      </c>
      <c r="B117" s="81" t="str">
        <f>Proyek!H117</f>
        <v>Sistem Perizinan Bank Indonesia</v>
      </c>
      <c r="C117" s="81" t="str">
        <f>Proyek!I117</f>
        <v>Enhacement Otomasi dan Optimalisasi Perizinan</v>
      </c>
      <c r="D117" s="129" t="str">
        <f>Proyek!Q117</f>
        <v>SSK</v>
      </c>
      <c r="E117" s="129" t="str">
        <f>Proyek!T117</f>
        <v>On Progress</v>
      </c>
      <c r="F117" s="129">
        <f>Proyek!J117</f>
        <v>2025</v>
      </c>
      <c r="G117" s="129">
        <f>Proyek!K117</f>
        <v>2026</v>
      </c>
    </row>
    <row r="118" spans="1:7" hidden="1">
      <c r="A118" s="129" t="str">
        <f>Proyek!E118</f>
        <v>P-62</v>
      </c>
      <c r="B118" s="81" t="str">
        <f>Proyek!H118</f>
        <v>Sistem Perizinan Bank Indonesia</v>
      </c>
      <c r="C118" s="81" t="str">
        <f>Proyek!I118</f>
        <v>Pengembangan Perizinan KUPVA BB</v>
      </c>
      <c r="D118" s="129" t="str">
        <f>Proyek!Q118</f>
        <v>SSK</v>
      </c>
      <c r="E118" s="129" t="str">
        <f>Proyek!T118</f>
        <v>Not Started</v>
      </c>
      <c r="F118" s="129">
        <f>Proyek!J118</f>
        <v>2026</v>
      </c>
      <c r="G118" s="129">
        <f>Proyek!K118</f>
        <v>2026</v>
      </c>
    </row>
    <row r="119" spans="1:7">
      <c r="A119" s="129" t="str">
        <f>Proyek!E119</f>
        <v>P-63</v>
      </c>
      <c r="B119" s="81" t="str">
        <f>Proyek!H119</f>
        <v>ANTASENA - LBUT</v>
      </c>
      <c r="C119" s="81" t="str">
        <f>Proyek!I119</f>
        <v xml:space="preserve">Enhancement Antasena LBUT Tahap 1 </v>
      </c>
      <c r="D119" s="129" t="str">
        <f>Proyek!Q119</f>
        <v>Moneter</v>
      </c>
      <c r="E119" s="129" t="str">
        <f>Proyek!T119</f>
        <v>DONE</v>
      </c>
      <c r="F119" s="129">
        <f>Proyek!J119</f>
        <v>2024</v>
      </c>
      <c r="G119" s="129">
        <f>Proyek!K119</f>
        <v>2025</v>
      </c>
    </row>
    <row r="120" spans="1:7">
      <c r="A120" s="129" t="str">
        <f>Proyek!E120</f>
        <v>P-63</v>
      </c>
      <c r="B120" s="81" t="str">
        <f>Proyek!H120</f>
        <v>ANTASENA - LBUT</v>
      </c>
      <c r="C120" s="81" t="str">
        <f>Proyek!I120</f>
        <v>Pengiriman data LBUT ke OJK dan LPS</v>
      </c>
      <c r="D120" s="129" t="str">
        <f>Proyek!Q120</f>
        <v>Moneter</v>
      </c>
      <c r="E120" s="129" t="str">
        <f>Proyek!T120</f>
        <v>DONE</v>
      </c>
      <c r="F120" s="129">
        <f>Proyek!J120</f>
        <v>2025</v>
      </c>
      <c r="G120" s="129">
        <f>Proyek!K120</f>
        <v>2025</v>
      </c>
    </row>
    <row r="121" spans="1:7" hidden="1">
      <c r="A121" s="129" t="str">
        <f>Proyek!E121</f>
        <v>P-63</v>
      </c>
      <c r="B121" s="81" t="str">
        <f>Proyek!H121</f>
        <v>ANTASENA - LBUT</v>
      </c>
      <c r="C121" s="81" t="str">
        <f>Proyek!I121</f>
        <v>Penguatan LBUT untuk STP Tahap 1</v>
      </c>
      <c r="D121" s="129" t="str">
        <f>Proyek!Q121</f>
        <v>Moneter</v>
      </c>
      <c r="E121" s="129" t="str">
        <f>Proyek!T121</f>
        <v>On Progress</v>
      </c>
      <c r="F121" s="129">
        <f>Proyek!J121</f>
        <v>2025</v>
      </c>
      <c r="G121" s="129">
        <f>Proyek!K121</f>
        <v>2026</v>
      </c>
    </row>
    <row r="122" spans="1:7" hidden="1">
      <c r="A122" s="129" t="str">
        <f>Proyek!E122</f>
        <v>P-63</v>
      </c>
      <c r="B122" s="81" t="str">
        <f>Proyek!H122</f>
        <v>ANTASENA - LBUT</v>
      </c>
      <c r="C122" s="81" t="str">
        <f>Proyek!I122</f>
        <v>Digitalisasi Laporan Offline (LBUT - RPIM &amp; PJP/PIP)</v>
      </c>
      <c r="D122" s="129" t="str">
        <f>Proyek!Q122</f>
        <v>Moneter</v>
      </c>
      <c r="E122" s="129" t="str">
        <f>Proyek!T122</f>
        <v>Not Started</v>
      </c>
      <c r="F122" s="129">
        <f>Proyek!J122</f>
        <v>2026</v>
      </c>
      <c r="G122" s="129">
        <f>Proyek!K122</f>
        <v>2027</v>
      </c>
    </row>
    <row r="123" spans="1:7">
      <c r="A123" s="129" t="str">
        <f>Proyek!E123</f>
        <v>P-63</v>
      </c>
      <c r="B123" s="81" t="str">
        <f>Proyek!H123</f>
        <v>ANTASENA - LBUT</v>
      </c>
      <c r="C123" s="81" t="str">
        <f>Proyek!I123</f>
        <v>Enhancement Antasena LBUT Tahap 2</v>
      </c>
      <c r="D123" s="129" t="str">
        <f>Proyek!Q123</f>
        <v>Moneter</v>
      </c>
      <c r="E123" s="129" t="str">
        <f>Proyek!T123</f>
        <v>DONE</v>
      </c>
      <c r="F123" s="129">
        <f>Proyek!J123</f>
        <v>2024</v>
      </c>
      <c r="G123" s="129">
        <f>Proyek!K123</f>
        <v>2025</v>
      </c>
    </row>
    <row r="124" spans="1:7" hidden="1">
      <c r="A124" s="129" t="str">
        <f>Proyek!E124</f>
        <v>P-63</v>
      </c>
      <c r="B124" s="81" t="str">
        <f>Proyek!H124</f>
        <v>ANTASENA - LBUT</v>
      </c>
      <c r="C124" s="81" t="str">
        <f>Proyek!I124</f>
        <v>Enhancement Antasena LBUT Tahap 3</v>
      </c>
      <c r="D124" s="129" t="str">
        <f>Proyek!Q124</f>
        <v>Moneter</v>
      </c>
      <c r="E124" s="129" t="str">
        <f>Proyek!T124</f>
        <v>On Progress</v>
      </c>
      <c r="F124" s="129">
        <f>Proyek!J124</f>
        <v>2024</v>
      </c>
      <c r="G124" s="129">
        <f>Proyek!K124</f>
        <v>2026</v>
      </c>
    </row>
    <row r="125" spans="1:7">
      <c r="A125" s="129" t="str">
        <f>Proyek!E125</f>
        <v>P-63</v>
      </c>
      <c r="B125" s="81" t="str">
        <f>Proyek!H125</f>
        <v>ANTASENA - LBUT</v>
      </c>
      <c r="C125" s="81" t="str">
        <f>Proyek!I125</f>
        <v>Enhancement Antasena LBUT : Fleksibilitas Metadata</v>
      </c>
      <c r="D125" s="129" t="str">
        <f>Proyek!Q125</f>
        <v>Moneter</v>
      </c>
      <c r="E125" s="129" t="str">
        <f>Proyek!T125</f>
        <v>DONE</v>
      </c>
      <c r="F125" s="129">
        <f>Proyek!J125</f>
        <v>2024</v>
      </c>
      <c r="G125" s="129">
        <f>Proyek!K125</f>
        <v>2025</v>
      </c>
    </row>
    <row r="126" spans="1:7" hidden="1">
      <c r="A126" s="129" t="str">
        <f>Proyek!E126</f>
        <v>P-63</v>
      </c>
      <c r="B126" s="81" t="str">
        <f>Proyek!H126</f>
        <v>ANTASENA - LBUT</v>
      </c>
      <c r="C126" s="81" t="str">
        <f>Proyek!I126</f>
        <v>Enhancement Antasena LBUT : Retensi Data</v>
      </c>
      <c r="D126" s="129" t="str">
        <f>Proyek!Q126</f>
        <v>Moneter</v>
      </c>
      <c r="E126" s="129" t="str">
        <f>Proyek!T126</f>
        <v>Not Started</v>
      </c>
      <c r="F126" s="129">
        <f>Proyek!J126</f>
        <v>2024</v>
      </c>
      <c r="G126" s="129">
        <f>Proyek!K126</f>
        <v>2026</v>
      </c>
    </row>
    <row r="127" spans="1:7" hidden="1">
      <c r="A127" s="129" t="str">
        <f>Proyek!E127</f>
        <v>P-63</v>
      </c>
      <c r="B127" s="81" t="str">
        <f>Proyek!H127</f>
        <v>ANTASENA - LBUT</v>
      </c>
      <c r="C127" s="81" t="str">
        <f>Proyek!I127</f>
        <v>Penguatan LBUT untuk STP Tahap 2</v>
      </c>
      <c r="D127" s="129" t="str">
        <f>Proyek!Q127</f>
        <v>Moneter</v>
      </c>
      <c r="E127" s="129" t="str">
        <f>Proyek!T127</f>
        <v>Not Started</v>
      </c>
      <c r="F127" s="129">
        <f>Proyek!J127</f>
        <v>2026</v>
      </c>
      <c r="G127" s="129">
        <f>Proyek!K127</f>
        <v>2027</v>
      </c>
    </row>
    <row r="128" spans="1:7" hidden="1">
      <c r="A128" s="129" t="str">
        <f>Proyek!E128</f>
        <v>P-63</v>
      </c>
      <c r="B128" s="81" t="str">
        <f>Proyek!H128</f>
        <v>ANTASENA - LBUT</v>
      </c>
      <c r="C128" s="81" t="str">
        <f>Proyek!I128</f>
        <v>Pengembangan  capturing LBUT dan LLD Terintegrasi</v>
      </c>
      <c r="D128" s="129" t="str">
        <f>Proyek!Q128</f>
        <v>Moneter</v>
      </c>
      <c r="E128" s="129" t="str">
        <f>Proyek!T128</f>
        <v>Not Started</v>
      </c>
      <c r="F128" s="129">
        <f>Proyek!J128</f>
        <v>2026</v>
      </c>
      <c r="G128" s="129">
        <f>Proyek!K128</f>
        <v>2028</v>
      </c>
    </row>
    <row r="129" spans="1:7">
      <c r="A129" s="129" t="str">
        <f>Proyek!E129</f>
        <v>P-64</v>
      </c>
      <c r="B129" s="81" t="str">
        <f>Proyek!H129</f>
        <v>Sistem UMKM</v>
      </c>
      <c r="C129" s="81" t="str">
        <f>Proyek!I129</f>
        <v>SIUMBI:  Pengelolaan Informasi Ketahanan Pangan pada SIKEPANG (Sistem Informasi Ketahanan Pangan)</v>
      </c>
      <c r="D129" s="129" t="str">
        <f>Proyek!Q129</f>
        <v>SSK</v>
      </c>
      <c r="E129" s="129" t="str">
        <f>Proyek!T129</f>
        <v>DONE</v>
      </c>
      <c r="F129" s="129">
        <f>Proyek!J129</f>
        <v>2024</v>
      </c>
      <c r="G129" s="129">
        <f>Proyek!K129</f>
        <v>2025</v>
      </c>
    </row>
    <row r="130" spans="1:7" hidden="1">
      <c r="A130" s="129" t="str">
        <f>Proyek!E130</f>
        <v>P-64</v>
      </c>
      <c r="B130" s="81" t="str">
        <f>Proyek!H130</f>
        <v>Sistem UMKM</v>
      </c>
      <c r="C130" s="81" t="str">
        <f>Proyek!I130</f>
        <v>Enhancement SIUMBI Modul SIAPIK</v>
      </c>
      <c r="D130" s="129" t="str">
        <f>Proyek!Q130</f>
        <v>SSK</v>
      </c>
      <c r="E130" s="129" t="str">
        <f>Proyek!T130</f>
        <v>On Progress</v>
      </c>
      <c r="F130" s="129">
        <f>Proyek!J130</f>
        <v>2025</v>
      </c>
      <c r="G130" s="129">
        <f>Proyek!K130</f>
        <v>2027</v>
      </c>
    </row>
    <row r="131" spans="1:7" hidden="1">
      <c r="A131" s="129" t="str">
        <f>Proyek!E131</f>
        <v>P-65</v>
      </c>
      <c r="B131" s="81" t="str">
        <f>Proyek!H131</f>
        <v>Reporting Pengelolaan Layanan Kas</v>
      </c>
      <c r="C131" s="81" t="str">
        <f>Proyek!I131</f>
        <v xml:space="preserve">Modernize BI Counterfeit Analysis Center </v>
      </c>
      <c r="D131" s="129" t="str">
        <f>Proyek!Q131</f>
        <v>SP</v>
      </c>
      <c r="E131" s="129" t="str">
        <f>Proyek!T131</f>
        <v>Not Started</v>
      </c>
      <c r="F131" s="129">
        <f>Proyek!J131</f>
        <v>2026</v>
      </c>
      <c r="G131" s="129">
        <f>Proyek!K131</f>
        <v>2027</v>
      </c>
    </row>
    <row r="132" spans="1:7" hidden="1">
      <c r="A132" s="129" t="str">
        <f>Proyek!E132</f>
        <v>P-66</v>
      </c>
      <c r="B132" s="81" t="str">
        <f>Proyek!H132</f>
        <v>Legal Information Management System</v>
      </c>
      <c r="C132" s="81" t="str">
        <f>Proyek!I132</f>
        <v>Enh. Legal Information Management System (LIMS)</v>
      </c>
      <c r="D132" s="129" t="str">
        <f>Proyek!Q132</f>
        <v>MI</v>
      </c>
      <c r="E132" s="129" t="str">
        <f>Proyek!T132</f>
        <v>On Progress</v>
      </c>
      <c r="F132" s="129">
        <f>Proyek!J132</f>
        <v>2025</v>
      </c>
      <c r="G132" s="129">
        <f>Proyek!K132</f>
        <v>2027</v>
      </c>
    </row>
    <row r="133" spans="1:7" hidden="1">
      <c r="A133" s="129" t="str">
        <f>Proyek!E133</f>
        <v>P-67</v>
      </c>
      <c r="B133" s="81" t="str">
        <f>Proyek!H133</f>
        <v>Whisle Blowing System</v>
      </c>
      <c r="C133" s="81" t="str">
        <f>Proyek!I133</f>
        <v>Modernize WBS</v>
      </c>
      <c r="D133" s="129" t="str">
        <f>Proyek!Q133</f>
        <v>MI</v>
      </c>
      <c r="E133" s="129" t="str">
        <f>Proyek!T133</f>
        <v>Not Started</v>
      </c>
      <c r="F133" s="129">
        <f>Proyek!J133</f>
        <v>2026</v>
      </c>
      <c r="G133" s="129">
        <f>Proyek!K133</f>
        <v>2028</v>
      </c>
    </row>
    <row r="134" spans="1:7" hidden="1">
      <c r="A134" s="129" t="str">
        <f>Proyek!E134</f>
        <v>P-68</v>
      </c>
      <c r="B134" s="81" t="str">
        <f>Proyek!H134</f>
        <v>Record Management System</v>
      </c>
      <c r="C134" s="81" t="str">
        <f>Proyek!I134</f>
        <v>Modernize BI-RMS</v>
      </c>
      <c r="D134" s="129" t="str">
        <f>Proyek!Q134</f>
        <v>MI</v>
      </c>
      <c r="E134" s="129" t="str">
        <f>Proyek!T134</f>
        <v>Not Started</v>
      </c>
      <c r="F134" s="129">
        <f>Proyek!J134</f>
        <v>2026</v>
      </c>
      <c r="G134" s="129">
        <f>Proyek!K134</f>
        <v>2029</v>
      </c>
    </row>
    <row r="135" spans="1:7" hidden="1">
      <c r="A135" s="129" t="str">
        <f>Proyek!E135</f>
        <v>P-69</v>
      </c>
      <c r="B135" s="81" t="str">
        <f>Proyek!H135</f>
        <v>Sistem Presensi Pegawai</v>
      </c>
      <c r="C135" s="81" t="str">
        <f>Proyek!I135</f>
        <v xml:space="preserve">Modernize dan Enhancement BI-SIAP </v>
      </c>
      <c r="D135" s="129" t="str">
        <f>Proyek!Q135</f>
        <v>MI</v>
      </c>
      <c r="E135" s="129" t="str">
        <f>Proyek!T135</f>
        <v>On Progress</v>
      </c>
      <c r="F135" s="129">
        <f>Proyek!J135</f>
        <v>2025</v>
      </c>
      <c r="G135" s="129">
        <f>Proyek!K135</f>
        <v>2027</v>
      </c>
    </row>
    <row r="136" spans="1:7">
      <c r="A136" s="129" t="str">
        <f>Proyek!E136</f>
        <v>P-70</v>
      </c>
      <c r="B136" s="81" t="str">
        <f>Proyek!H136</f>
        <v>Implementasi ISO 20022</v>
      </c>
      <c r="C136" s="81" t="str">
        <f>Proyek!I136</f>
        <v>Legacy ISO 20022: CBS</v>
      </c>
      <c r="D136" s="129" t="str">
        <f>Proyek!Q136</f>
        <v>SP</v>
      </c>
      <c r="E136" s="129" t="str">
        <f>Proyek!T136</f>
        <v>DONE</v>
      </c>
      <c r="F136" s="129">
        <f>Proyek!J136</f>
        <v>2024</v>
      </c>
      <c r="G136" s="129">
        <f>Proyek!K136</f>
        <v>2025</v>
      </c>
    </row>
    <row r="137" spans="1:7">
      <c r="A137" s="129" t="str">
        <f>Proyek!E137</f>
        <v>P-70</v>
      </c>
      <c r="B137" s="81" t="str">
        <f>Proyek!H137</f>
        <v>Implementasi ISO 20022</v>
      </c>
      <c r="C137" s="81" t="str">
        <f>Proyek!I137</f>
        <v>Legacy ISO 20022: ERPHRIS</v>
      </c>
      <c r="D137" s="129" t="str">
        <f>Proyek!Q137</f>
        <v>MI</v>
      </c>
      <c r="E137" s="129" t="str">
        <f>Proyek!T137</f>
        <v>DONE</v>
      </c>
      <c r="F137" s="129">
        <f>Proyek!J137</f>
        <v>2024</v>
      </c>
      <c r="G137" s="129">
        <f>Proyek!K137</f>
        <v>2025</v>
      </c>
    </row>
    <row r="138" spans="1:7">
      <c r="A138" s="129" t="str">
        <f>Proyek!E138</f>
        <v>P-71</v>
      </c>
      <c r="B138" s="81" t="str">
        <f>Proyek!H138</f>
        <v>Sistem Treasuri Bank Indonesia - NCP</v>
      </c>
      <c r="C138" s="81" t="str">
        <f>Proyek!I138</f>
        <v xml:space="preserve">Enhancement NCP Laporan Perhitungan Valas </v>
      </c>
      <c r="D138" s="129" t="str">
        <f>Proyek!Q138</f>
        <v>Market</v>
      </c>
      <c r="E138" s="129" t="str">
        <f>Proyek!T138</f>
        <v>DONE</v>
      </c>
      <c r="F138" s="129">
        <f>Proyek!J138</f>
        <v>2024</v>
      </c>
      <c r="G138" s="129">
        <f>Proyek!K138</f>
        <v>2025</v>
      </c>
    </row>
    <row r="139" spans="1:7">
      <c r="A139" s="129" t="str">
        <f>Proyek!E139</f>
        <v>P-71</v>
      </c>
      <c r="B139" s="81" t="str">
        <f>Proyek!H139</f>
        <v>Sistem Treasuri Bank Indonesia - NCP</v>
      </c>
      <c r="C139" s="81" t="str">
        <f>Proyek!I139</f>
        <v>Enhancement NCP fungsi rekalkulasi 
atas reversal incremental</v>
      </c>
      <c r="D139" s="129" t="str">
        <f>Proyek!Q139</f>
        <v>Market</v>
      </c>
      <c r="E139" s="129" t="str">
        <f>Proyek!T139</f>
        <v>DONE</v>
      </c>
      <c r="F139" s="129">
        <f>Proyek!J139</f>
        <v>2025</v>
      </c>
      <c r="G139" s="129">
        <f>Proyek!K139</f>
        <v>2025</v>
      </c>
    </row>
    <row r="140" spans="1:7">
      <c r="A140" s="129" t="str">
        <f>Proyek!E140</f>
        <v>P-72</v>
      </c>
      <c r="B140" s="81" t="str">
        <f>Proyek!H140</f>
        <v>Pengelolaan Layanan Kas - Antrian</v>
      </c>
      <c r="C140" s="81" t="str">
        <f>Proyek!I140</f>
        <v xml:space="preserve">Pengelolaan Layanan Antrian Kas pada BI-ALK </v>
      </c>
      <c r="D140" s="129" t="str">
        <f>Proyek!Q140</f>
        <v>SP</v>
      </c>
      <c r="E140" s="129" t="s">
        <v>1129</v>
      </c>
      <c r="F140" s="129">
        <f>Proyek!J140</f>
        <v>2024</v>
      </c>
      <c r="G140" s="129">
        <f>Proyek!K140</f>
        <v>2025</v>
      </c>
    </row>
    <row r="141" spans="1:7">
      <c r="A141" s="129" t="str">
        <f>Proyek!E141</f>
        <v>P-73</v>
      </c>
      <c r="B141" s="81" t="str">
        <f>Proyek!H141</f>
        <v>Portal Jaringan Dokumentasi dan Informasi Hukum (JDIH)</v>
      </c>
      <c r="C141" s="81" t="str">
        <f>Proyek!I141</f>
        <v>Layanan Informasi Dokumen Hukum berbasis Web pada JDIH</v>
      </c>
      <c r="D141" s="129" t="str">
        <f>Proyek!Q141</f>
        <v>MI</v>
      </c>
      <c r="E141" s="129" t="str">
        <f>Proyek!T141</f>
        <v>DONE</v>
      </c>
      <c r="F141" s="129">
        <f>Proyek!J141</f>
        <v>2024</v>
      </c>
      <c r="G141" s="129">
        <f>Proyek!K141</f>
        <v>2025</v>
      </c>
    </row>
    <row r="142" spans="1:7">
      <c r="A142" s="129" t="str">
        <f>Proyek!E142</f>
        <v>P-73</v>
      </c>
      <c r="B142" s="81" t="str">
        <f>Proyek!H142</f>
        <v>Portal Jaringan Dokumentasi dan Informasi Hukum (JDIH)</v>
      </c>
      <c r="C142" s="81" t="str">
        <f>Proyek!I142</f>
        <v>Integrasi LIMS dengan JDIH</v>
      </c>
      <c r="D142" s="129" t="str">
        <f>Proyek!Q142</f>
        <v>MI</v>
      </c>
      <c r="E142" s="129" t="str">
        <f>Proyek!T142</f>
        <v>DONE</v>
      </c>
      <c r="F142" s="129">
        <f>Proyek!J142</f>
        <v>2024</v>
      </c>
      <c r="G142" s="129">
        <f>Proyek!K142</f>
        <v>2025</v>
      </c>
    </row>
    <row r="143" spans="1:7" hidden="1">
      <c r="A143" s="129" t="str">
        <f>Proyek!E143</f>
        <v>P-74</v>
      </c>
      <c r="B143" s="81" t="str">
        <f>Proyek!H143</f>
        <v>BI-ETP</v>
      </c>
      <c r="C143" s="81" t="str">
        <f>Proyek!I143</f>
        <v>Enh BI-ETP Penyediaan Informasi Investor Asing (Tindak Lanjut FORHAR)</v>
      </c>
      <c r="D143" s="129" t="str">
        <f>Proyek!Q143</f>
        <v>Market</v>
      </c>
      <c r="E143" s="129" t="str">
        <f>Proyek!T143</f>
        <v>Not Started</v>
      </c>
      <c r="F143" s="129">
        <f>Proyek!J143</f>
        <v>2027</v>
      </c>
      <c r="G143" s="129">
        <f>Proyek!K143</f>
        <v>2028</v>
      </c>
    </row>
    <row r="144" spans="1:7">
      <c r="A144" s="129" t="str">
        <f>Proyek!E144</f>
        <v>P-74</v>
      </c>
      <c r="B144" s="81" t="str">
        <f>Proyek!H144</f>
        <v>BI-ETP</v>
      </c>
      <c r="C144" s="81" t="str">
        <f>Proyek!I144</f>
        <v>Enhancement  Untuk Fitur Pengiriman Hasil Lelang Berbagai Jenis Bids (Termasuk Incoming Non-competitive Bids)</v>
      </c>
      <c r="D144" s="129" t="str">
        <f>Proyek!Q144</f>
        <v>Market</v>
      </c>
      <c r="E144" s="129" t="str">
        <f>Proyek!T144</f>
        <v>DONE</v>
      </c>
      <c r="F144" s="129">
        <f>Proyek!J144</f>
        <v>2024</v>
      </c>
      <c r="G144" s="129">
        <f>Proyek!K144</f>
        <v>2025</v>
      </c>
    </row>
    <row r="145" spans="1:7">
      <c r="A145" s="129" t="str">
        <f>Proyek!E145</f>
        <v>P-75</v>
      </c>
      <c r="B145" s="81" t="str">
        <f>Proyek!H145</f>
        <v>ANTASENA - Non Bank</v>
      </c>
      <c r="C145" s="81" t="str">
        <f>Proyek!I145</f>
        <v>Enh. Aplikasi Pelaporan Online SK SP - Tahap 2</v>
      </c>
      <c r="D145" s="129" t="str">
        <f>Proyek!Q145</f>
        <v>Moneter</v>
      </c>
      <c r="E145" s="129" t="str">
        <f>Proyek!T145</f>
        <v>DONE</v>
      </c>
      <c r="F145" s="129">
        <f>Proyek!J145</f>
        <v>2024</v>
      </c>
      <c r="G145" s="129">
        <f>Proyek!K145</f>
        <v>2025</v>
      </c>
    </row>
    <row r="146" spans="1:7" hidden="1">
      <c r="A146" s="129" t="str">
        <f>Proyek!E146</f>
        <v>P-75</v>
      </c>
      <c r="B146" s="81" t="str">
        <f>Proyek!H146</f>
        <v>ANTASENA - Non Bank</v>
      </c>
      <c r="C146" s="81" t="str">
        <f>Proyek!I146</f>
        <v>Enhancement PJPUR</v>
      </c>
      <c r="D146" s="129" t="str">
        <f>Proyek!Q146</f>
        <v>Moneter</v>
      </c>
      <c r="E146" s="129" t="str">
        <f>Proyek!T146</f>
        <v>Not Started</v>
      </c>
      <c r="F146" s="129">
        <f>Proyek!J146</f>
        <v>2026</v>
      </c>
      <c r="G146" s="129">
        <f>Proyek!K146</f>
        <v>2026</v>
      </c>
    </row>
    <row r="147" spans="1:7" hidden="1">
      <c r="A147" s="129" t="str">
        <f>Proyek!E147</f>
        <v>P-75</v>
      </c>
      <c r="B147" s="81" t="str">
        <f>Proyek!H147</f>
        <v>ANTASENA - Non Bank</v>
      </c>
      <c r="C147" s="81" t="str">
        <f>Proyek!I147</f>
        <v>Penguatan ANTASENA Non Bank untuk STP (PJPUR, UKA, Tresury, SK SP)</v>
      </c>
      <c r="D147" s="129" t="str">
        <f>Proyek!Q147</f>
        <v>Moneter</v>
      </c>
      <c r="E147" s="129" t="str">
        <f>Proyek!T147</f>
        <v>Not Started</v>
      </c>
      <c r="F147" s="129">
        <f>Proyek!J147</f>
        <v>2027</v>
      </c>
      <c r="G147" s="129">
        <f>Proyek!K147</f>
        <v>2029</v>
      </c>
    </row>
    <row r="148" spans="1:7">
      <c r="A148" s="129" t="str">
        <f>Proyek!E148</f>
        <v>P-81</v>
      </c>
      <c r="B148" s="81" t="str">
        <f>Proyek!H148</f>
        <v>Reporting Operasional BI-SSSS &amp; BI-RTGS</v>
      </c>
      <c r="C148" s="81" t="str">
        <f>Proyek!I148</f>
        <v>Dashboard Operasional BI-SSSS &amp; BI- RTGS Tahap 1</v>
      </c>
      <c r="D148" s="129" t="str">
        <f>Proyek!Q148</f>
        <v xml:space="preserve">Market, SP </v>
      </c>
      <c r="E148" s="129" t="str">
        <f>Proyek!T148</f>
        <v>DONE</v>
      </c>
      <c r="F148" s="129">
        <f>Proyek!J148</f>
        <v>2024</v>
      </c>
      <c r="G148" s="129">
        <f>Proyek!K148</f>
        <v>2025</v>
      </c>
    </row>
    <row r="149" spans="1:7" hidden="1">
      <c r="A149" s="129" t="str">
        <f>Proyek!E149</f>
        <v>P-81</v>
      </c>
      <c r="B149" s="81" t="str">
        <f>Proyek!H149</f>
        <v>Reporting Operasional BI-SSSS &amp; BI-RTGS</v>
      </c>
      <c r="C149" s="81" t="str">
        <f>Proyek!I149</f>
        <v>Dashboard Operasional BI-SSSS &amp; BI- RTGS Tahap 2</v>
      </c>
      <c r="D149" s="129" t="str">
        <f>Proyek!Q149</f>
        <v xml:space="preserve">Market, SP </v>
      </c>
      <c r="E149" s="129" t="str">
        <f>Proyek!T149</f>
        <v>Not Started</v>
      </c>
      <c r="F149" s="129">
        <f>Proyek!J149</f>
        <v>2026</v>
      </c>
      <c r="G149" s="129">
        <f>Proyek!K149</f>
        <v>2026</v>
      </c>
    </row>
    <row r="150" spans="1:7">
      <c r="A150" s="129" t="str">
        <f>Proyek!E150</f>
        <v>P-85</v>
      </c>
      <c r="B150" s="81" t="str">
        <f>Proyek!H150</f>
        <v>IPM Apps</v>
      </c>
      <c r="C150" s="81" t="str">
        <f>Proyek!I150</f>
        <v xml:space="preserve">Enhancement Aplikasi Legacy (ERPHRIS) IPM Superapps Quickwins Layer COA </v>
      </c>
      <c r="D150" s="129" t="str">
        <f>Proyek!Q150</f>
        <v>MI</v>
      </c>
      <c r="E150" s="129" t="str">
        <f>Proyek!T150</f>
        <v>DONE</v>
      </c>
      <c r="F150" s="129">
        <f>Proyek!J150</f>
        <v>2025</v>
      </c>
      <c r="G150" s="129">
        <f>Proyek!K150</f>
        <v>2025</v>
      </c>
    </row>
    <row r="151" spans="1:7" hidden="1">
      <c r="A151" s="129" t="str">
        <f>Proyek!E151</f>
        <v>P-85</v>
      </c>
      <c r="B151" s="81" t="str">
        <f>Proyek!H151</f>
        <v>IPM Apps</v>
      </c>
      <c r="C151" s="81" t="str">
        <f>Proyek!I151</f>
        <v>Enhancement Aplikasi Legacy (ERPHRIS) IPM Superapps Quickwins Reporting</v>
      </c>
      <c r="D151" s="129" t="str">
        <f>Proyek!Q151</f>
        <v>MI</v>
      </c>
      <c r="E151" s="129" t="str">
        <f>Proyek!T151</f>
        <v>On Progress</v>
      </c>
      <c r="F151" s="129">
        <f>Proyek!J151</f>
        <v>2025</v>
      </c>
      <c r="G151" s="129">
        <f>Proyek!K151</f>
        <v>2026</v>
      </c>
    </row>
    <row r="152" spans="1:7" hidden="1">
      <c r="A152" s="129" t="str">
        <f>Proyek!E152</f>
        <v>P-85</v>
      </c>
      <c r="B152" s="81" t="str">
        <f>Proyek!H152</f>
        <v>IPM Apps</v>
      </c>
      <c r="C152" s="81" t="str">
        <f>Proyek!I152</f>
        <v>Enhancement Aplikasi Legacy (ERPHRIS) IPM Superapps Fase I (Enhanecment penyesuaian aplikasi Hyperion)</v>
      </c>
      <c r="D152" s="129" t="str">
        <f>Proyek!Q152</f>
        <v>MI</v>
      </c>
      <c r="E152" s="129" t="str">
        <f>Proyek!T152</f>
        <v>On Progress</v>
      </c>
      <c r="F152" s="129">
        <f>Proyek!J152</f>
        <v>2025</v>
      </c>
      <c r="G152" s="129">
        <f>Proyek!K152</f>
        <v>2026</v>
      </c>
    </row>
    <row r="153" spans="1:7" hidden="1">
      <c r="A153" s="129" t="str">
        <f>Proyek!E153</f>
        <v>P-88</v>
      </c>
      <c r="B153" s="81" t="str">
        <f>Proyek!H153</f>
        <v>Pengelolaan Penukaran Uang Tunai</v>
      </c>
      <c r="C153" s="81" t="str">
        <f>Proyek!I153</f>
        <v>Enhancement aplikasi PINTAR</v>
      </c>
      <c r="D153" s="129" t="str">
        <f>Proyek!Q153</f>
        <v>SP</v>
      </c>
      <c r="E153" s="129" t="str">
        <f>Proyek!T153</f>
        <v>Not Started</v>
      </c>
      <c r="F153" s="129">
        <f>Proyek!J153</f>
        <v>2026</v>
      </c>
      <c r="G153" s="129">
        <f>Proyek!K153</f>
        <v>2026</v>
      </c>
    </row>
    <row r="154" spans="1:7">
      <c r="A154" s="129" t="str">
        <f>Proyek!E154</f>
        <v>P-89</v>
      </c>
      <c r="B154" s="81" t="str">
        <f>Proyek!H154</f>
        <v>Enhancement Sistem Treasuri Bank Indonesia mendukung Cadev 5.0</v>
      </c>
      <c r="C154" s="81" t="str">
        <f>Proyek!I154</f>
        <v>Penyesuaian Komposisi Portofolio Hierarchy</v>
      </c>
      <c r="D154" s="129" t="str">
        <f>Proyek!Q154</f>
        <v>Market</v>
      </c>
      <c r="E154" s="129" t="str">
        <f>Proyek!T154</f>
        <v>DONE</v>
      </c>
      <c r="F154" s="129">
        <f>Proyek!J154</f>
        <v>2025</v>
      </c>
      <c r="G154" s="129">
        <f>Proyek!K154</f>
        <v>2025</v>
      </c>
    </row>
    <row r="155" spans="1:7" hidden="1">
      <c r="A155" s="129" t="str">
        <f>Proyek!E155</f>
        <v>P-90</v>
      </c>
      <c r="B155" s="81" t="str">
        <f>Proyek!H155</f>
        <v>Enhancement Sistem Treasuri Bank Indonesia mendukung KKI</v>
      </c>
      <c r="C155" s="81" t="str">
        <f>Proyek!I155</f>
        <v>Kerjasama Keuangan Internasional KKI</v>
      </c>
      <c r="D155" s="129" t="str">
        <f>Proyek!Q155</f>
        <v>Market</v>
      </c>
      <c r="E155" s="129" t="str">
        <f>Proyek!T155</f>
        <v>Not Started</v>
      </c>
      <c r="F155" s="129">
        <f>Proyek!J155</f>
        <v>2026</v>
      </c>
      <c r="G155" s="129">
        <f>Proyek!K155</f>
        <v>2026</v>
      </c>
    </row>
    <row r="156" spans="1:7" hidden="1">
      <c r="A156" s="129" t="str">
        <f>Proyek!E156</f>
        <v>P-91</v>
      </c>
      <c r="B156" s="81" t="str">
        <f>Proyek!H156</f>
        <v>Penguatan SKNBI</v>
      </c>
      <c r="C156" s="81" t="str">
        <f>Proyek!I156</f>
        <v>Penguatan SKNBI</v>
      </c>
      <c r="D156" s="129" t="str">
        <f>Proyek!Q156</f>
        <v>SP</v>
      </c>
      <c r="E156" s="129" t="str">
        <f>Proyek!T156</f>
        <v>Not Started</v>
      </c>
      <c r="F156" s="129">
        <f>Proyek!J156</f>
        <v>2026</v>
      </c>
      <c r="G156" s="129">
        <f>Proyek!K156</f>
        <v>2028</v>
      </c>
    </row>
    <row r="157" spans="1:7" hidden="1">
      <c r="A157" s="129" t="str">
        <f>Proyek!E157</f>
        <v>P-92</v>
      </c>
      <c r="B157" s="81" t="str">
        <f>Proyek!H157</f>
        <v>Enhancement Perolehan dan Pemanfaatan Data</v>
      </c>
      <c r="C157" s="81" t="str">
        <f>Proyek!I157</f>
        <v>Enhancement Perolehan dan Pemanfaatan Data</v>
      </c>
      <c r="D157" s="129" t="str">
        <f>Proyek!Q157</f>
        <v>SSK</v>
      </c>
      <c r="E157" s="129" t="str">
        <f>Proyek!T157</f>
        <v>Not Started</v>
      </c>
      <c r="F157" s="129">
        <f>Proyek!J157</f>
        <v>2026</v>
      </c>
      <c r="G157" s="129">
        <f>Proyek!K157</f>
        <v>2027</v>
      </c>
    </row>
    <row r="158" spans="1:7">
      <c r="A158" s="129" t="str">
        <f>'Non Proyek'!A5</f>
        <v>NP-16</v>
      </c>
      <c r="B158" s="81" t="str">
        <f>'Non Proyek'!C5</f>
        <v>RTGS</v>
      </c>
      <c r="C158" s="81" t="str">
        <f>'Non Proyek'!D5</f>
        <v>Upgrade Platform RTGS ke TMSX</v>
      </c>
      <c r="D158" s="129" t="str">
        <f>'Non Proyek'!H5</f>
        <v>SP</v>
      </c>
      <c r="E158" s="129" t="str">
        <f>'Non Proyek'!L5</f>
        <v>DONE</v>
      </c>
      <c r="F158" s="129">
        <f>'Non Proyek'!E5</f>
        <v>2024</v>
      </c>
      <c r="G158" s="129">
        <f>'Non Proyek'!F5</f>
        <v>2025</v>
      </c>
    </row>
    <row r="159" spans="1:7">
      <c r="A159" s="129" t="str">
        <f>'Non Proyek'!A6</f>
        <v>NP-17</v>
      </c>
      <c r="B159" s="81" t="str">
        <f>'Non Proyek'!C6</f>
        <v>Pengaliran data audit ICOFR dari FOMOBO ke Pusat data</v>
      </c>
      <c r="C159" s="81" t="str">
        <f>'Non Proyek'!D6</f>
        <v>Pengaliran data audit ICOFR dari FOMOBO ke Pusat data</v>
      </c>
      <c r="D159" s="129" t="str">
        <f>'Non Proyek'!H6</f>
        <v>Market</v>
      </c>
      <c r="E159" s="129" t="str">
        <f>'Non Proyek'!L6</f>
        <v>DONE</v>
      </c>
      <c r="F159" s="129">
        <f>'Non Proyek'!E6</f>
        <v>2024</v>
      </c>
      <c r="G159" s="129">
        <f>'Non Proyek'!F6</f>
        <v>2025</v>
      </c>
    </row>
    <row r="160" spans="1:7">
      <c r="A160" s="129" t="str">
        <f>'Non Proyek'!A7</f>
        <v>NP-18</v>
      </c>
      <c r="B160" s="81" t="str">
        <f>'Non Proyek'!C7</f>
        <v>Penggantian Hard Token BI-ETP</v>
      </c>
      <c r="C160" s="81" t="str">
        <f>'Non Proyek'!D7</f>
        <v>Penggantian Hard Token BI-ETP</v>
      </c>
      <c r="D160" s="129" t="str">
        <f>'Non Proyek'!H7</f>
        <v>Market</v>
      </c>
      <c r="E160" s="129" t="str">
        <f>'Non Proyek'!L7</f>
        <v>DONE</v>
      </c>
      <c r="F160" s="129">
        <f>'Non Proyek'!E7</f>
        <v>2024</v>
      </c>
      <c r="G160" s="129">
        <f>'Non Proyek'!F7</f>
        <v>2025</v>
      </c>
    </row>
    <row r="161" spans="1:7">
      <c r="A161" s="129" t="str">
        <f>'Non Proyek'!A8</f>
        <v>NP-19</v>
      </c>
      <c r="B161" s="81" t="str">
        <f>'Non Proyek'!C8</f>
        <v>Enhancement CBS Penyediaan Report ALBI (Tindak lanjut Forum Harmonisasi)</v>
      </c>
      <c r="C161" s="81" t="str">
        <f>'Non Proyek'!D8</f>
        <v>Enhancement CBS Penyediaan Report ALBI (Tindak lanjut Forum Harmonisasi)</v>
      </c>
      <c r="D161" s="129" t="str">
        <f>'Non Proyek'!H8</f>
        <v>SP</v>
      </c>
      <c r="E161" s="129" t="str">
        <f>'Non Proyek'!L8</f>
        <v>DONE</v>
      </c>
      <c r="F161" s="129">
        <f>'Non Proyek'!E8</f>
        <v>2024</v>
      </c>
      <c r="G161" s="129">
        <f>'Non Proyek'!F8</f>
        <v>2025</v>
      </c>
    </row>
    <row r="162" spans="1:7" hidden="1">
      <c r="A162" s="129" t="str">
        <f>'Non Proyek'!A9</f>
        <v>NP-20</v>
      </c>
      <c r="B162" s="81" t="str">
        <f>'Non Proyek'!C9</f>
        <v>Rekonfigurasi Pemenuhan DC 2</v>
      </c>
      <c r="C162" s="81" t="str">
        <f>'Non Proyek'!D9</f>
        <v>Rekonfigurasi BI-SILK</v>
      </c>
      <c r="D162" s="129" t="str">
        <f>'Non Proyek'!H9</f>
        <v>SP</v>
      </c>
      <c r="E162" s="129" t="str">
        <f>'Non Proyek'!L9</f>
        <v>Not Started</v>
      </c>
      <c r="F162" s="129">
        <f>'Non Proyek'!E9</f>
        <v>2026</v>
      </c>
      <c r="G162" s="129">
        <f>'Non Proyek'!F9</f>
        <v>2026</v>
      </c>
    </row>
    <row r="163" spans="1:7" hidden="1">
      <c r="A163" s="129" t="str">
        <f>'Non Proyek'!A10</f>
        <v>NP-20</v>
      </c>
      <c r="B163" s="81" t="str">
        <f>'Non Proyek'!C10</f>
        <v>Rekonfigurasi Pemenuhan DC 2</v>
      </c>
      <c r="C163" s="81" t="str">
        <f>'Non Proyek'!D10</f>
        <v xml:space="preserve">Rekonfigurasi En Reporting SWIFT </v>
      </c>
      <c r="D163" s="129" t="str">
        <f>'Non Proyek'!H10</f>
        <v>Market</v>
      </c>
      <c r="E163" s="129" t="str">
        <f>'Non Proyek'!L10</f>
        <v>Not Started</v>
      </c>
      <c r="F163" s="129">
        <f>'Non Proyek'!E10</f>
        <v>2026</v>
      </c>
      <c r="G163" s="129">
        <f>'Non Proyek'!F10</f>
        <v>2026</v>
      </c>
    </row>
    <row r="164" spans="1:7" hidden="1">
      <c r="A164" s="129" t="str">
        <f>'Non Proyek'!A11</f>
        <v>NP-20</v>
      </c>
      <c r="B164" s="81" t="str">
        <f>'Non Proyek'!C11</f>
        <v>Rekonfigurasi Pemenuhan DC 2</v>
      </c>
      <c r="C164" s="81" t="str">
        <f>'Non Proyek'!D11</f>
        <v>Rekonfigurasi SIMP</v>
      </c>
      <c r="D164" s="129" t="str">
        <f>'Non Proyek'!H11</f>
        <v>SSK</v>
      </c>
      <c r="E164" s="129" t="str">
        <f>'Non Proyek'!L11</f>
        <v>Not Started</v>
      </c>
      <c r="F164" s="129">
        <f>'Non Proyek'!E11</f>
        <v>2026</v>
      </c>
      <c r="G164" s="129">
        <f>'Non Proyek'!F11</f>
        <v>2026</v>
      </c>
    </row>
    <row r="165" spans="1:7" hidden="1">
      <c r="A165" s="129" t="str">
        <f>'Non Proyek'!A12</f>
        <v>NP-20</v>
      </c>
      <c r="B165" s="81" t="str">
        <f>'Non Proyek'!C12</f>
        <v>Rekonfigurasi Pemenuhan DC 2</v>
      </c>
      <c r="C165" s="81" t="str">
        <f>'Non Proyek'!D12</f>
        <v>Rekonfigurasi BIWEB</v>
      </c>
      <c r="D165" s="129" t="str">
        <f>'Non Proyek'!H12</f>
        <v>MI</v>
      </c>
      <c r="E165" s="129" t="str">
        <f>'Non Proyek'!L12</f>
        <v>Not Started</v>
      </c>
      <c r="F165" s="129">
        <f>'Non Proyek'!E12</f>
        <v>2026</v>
      </c>
      <c r="G165" s="129">
        <f>'Non Proyek'!F12</f>
        <v>2026</v>
      </c>
    </row>
    <row r="166" spans="1:7" hidden="1">
      <c r="A166" s="129" t="str">
        <f>'Non Proyek'!A13</f>
        <v>NP-20</v>
      </c>
      <c r="B166" s="81" t="str">
        <f>'Non Proyek'!C13</f>
        <v>Rekonfigurasi Pemenuhan DC 2</v>
      </c>
      <c r="C166" s="81" t="str">
        <f>'Non Proyek'!D13</f>
        <v>Rekonfigurasi SISMONTAVAR</v>
      </c>
      <c r="D166" s="129" t="str">
        <f>'Non Proyek'!H13</f>
        <v>Market</v>
      </c>
      <c r="E166" s="129" t="str">
        <f>'Non Proyek'!L13</f>
        <v>Not Started</v>
      </c>
      <c r="F166" s="129">
        <f>'Non Proyek'!E13</f>
        <v>2026</v>
      </c>
      <c r="G166" s="129">
        <f>'Non Proyek'!F13</f>
        <v>2026</v>
      </c>
    </row>
    <row r="167" spans="1:7" hidden="1">
      <c r="A167" s="129" t="str">
        <f>'Non Proyek'!A14</f>
        <v>NP-20</v>
      </c>
      <c r="B167" s="81" t="str">
        <f>'Non Proyek'!C14</f>
        <v>Rekonfigurasi Pemenuhan DC 2</v>
      </c>
      <c r="C167" s="81" t="str">
        <f>'Non Proyek'!D14</f>
        <v xml:space="preserve">Rekonfigurasi SI-BISSS </v>
      </c>
      <c r="D167" s="129" t="str">
        <f>'Non Proyek'!H14</f>
        <v>Market</v>
      </c>
      <c r="E167" s="129" t="str">
        <f>'Non Proyek'!L14</f>
        <v>Not Started</v>
      </c>
      <c r="F167" s="129">
        <f>'Non Proyek'!E14</f>
        <v>2027</v>
      </c>
      <c r="G167" s="129">
        <f>'Non Proyek'!F14</f>
        <v>2027</v>
      </c>
    </row>
    <row r="168" spans="1:7" hidden="1">
      <c r="A168" s="129" t="str">
        <f>'Non Proyek'!A15</f>
        <v>NP-20</v>
      </c>
      <c r="B168" s="81" t="str">
        <f>'Non Proyek'!C15</f>
        <v>Rekonfigurasi Pemenuhan DC 2</v>
      </c>
      <c r="C168" s="81" t="str">
        <f>'Non Proyek'!D15</f>
        <v>Rekonfigurasi GMMP</v>
      </c>
      <c r="D168" s="129" t="str">
        <f>'Non Proyek'!H15</f>
        <v>SSK</v>
      </c>
      <c r="E168" s="129" t="str">
        <f>'Non Proyek'!L15</f>
        <v>Not Started</v>
      </c>
      <c r="F168" s="129">
        <f>'Non Proyek'!E15</f>
        <v>2027</v>
      </c>
      <c r="G168" s="129">
        <f>'Non Proyek'!F15</f>
        <v>2027</v>
      </c>
    </row>
    <row r="169" spans="1:7" hidden="1">
      <c r="A169" s="129" t="str">
        <f>'Non Proyek'!A16</f>
        <v>NP-20</v>
      </c>
      <c r="B169" s="81" t="str">
        <f>'Non Proyek'!C16</f>
        <v>Rekonfigurasi Pemenuhan DC 2</v>
      </c>
      <c r="C169" s="81" t="str">
        <f>'Non Proyek'!D16</f>
        <v xml:space="preserve">Rekonfigurasi ANTASENA LBUT  </v>
      </c>
      <c r="D169" s="129" t="str">
        <f>'Non Proyek'!H16</f>
        <v>Moneter</v>
      </c>
      <c r="E169" s="129" t="str">
        <f>'Non Proyek'!L16</f>
        <v>Not Started</v>
      </c>
      <c r="F169" s="129">
        <f>'Non Proyek'!E16</f>
        <v>2027</v>
      </c>
      <c r="G169" s="129">
        <f>'Non Proyek'!F16</f>
        <v>2028</v>
      </c>
    </row>
    <row r="170" spans="1:7" hidden="1">
      <c r="A170" s="129" t="str">
        <f>'Non Proyek'!A17</f>
        <v>NP-20</v>
      </c>
      <c r="B170" s="81" t="str">
        <f>'Non Proyek'!C17</f>
        <v>Rekonfigurasi Pemenuhan DC 2</v>
      </c>
      <c r="C170" s="81" t="str">
        <f>'Non Proyek'!D17</f>
        <v xml:space="preserve">Rekonfigurasi BI-ETP </v>
      </c>
      <c r="D170" s="129" t="str">
        <f>'Non Proyek'!H17</f>
        <v>Market</v>
      </c>
      <c r="E170" s="129" t="str">
        <f>'Non Proyek'!L17</f>
        <v>Not Started</v>
      </c>
      <c r="F170" s="129">
        <f>'Non Proyek'!E17</f>
        <v>2027</v>
      </c>
      <c r="G170" s="129">
        <f>'Non Proyek'!F17</f>
        <v>2027</v>
      </c>
    </row>
    <row r="171" spans="1:7" hidden="1">
      <c r="A171" s="129" t="str">
        <f>'Non Proyek'!A18</f>
        <v>NP-20</v>
      </c>
      <c r="B171" s="81" t="str">
        <f>'Non Proyek'!C18</f>
        <v>Rekonfigurasi Pemenuhan DC 2</v>
      </c>
      <c r="C171" s="81" t="str">
        <f>'Non Proyek'!D18</f>
        <v xml:space="preserve">Rekonfigurasi HARTIS </v>
      </c>
      <c r="D171" s="129" t="str">
        <f>'Non Proyek'!H18</f>
        <v>Market</v>
      </c>
      <c r="E171" s="129" t="str">
        <f>'Non Proyek'!L18</f>
        <v>Not Started</v>
      </c>
      <c r="F171" s="129">
        <f>'Non Proyek'!E18</f>
        <v>2027</v>
      </c>
      <c r="G171" s="129">
        <f>'Non Proyek'!F18</f>
        <v>2027</v>
      </c>
    </row>
    <row r="172" spans="1:7" hidden="1">
      <c r="A172" s="129" t="str">
        <f>'Non Proyek'!A19</f>
        <v>NP-20</v>
      </c>
      <c r="B172" s="81" t="str">
        <f>'Non Proyek'!C19</f>
        <v>Rekonfigurasi Pemenuhan DC 2</v>
      </c>
      <c r="C172" s="81" t="str">
        <f>'Non Proyek'!D19</f>
        <v xml:space="preserve">Rekonfigurasi FOMOBO </v>
      </c>
      <c r="D172" s="129" t="str">
        <f>'Non Proyek'!H19</f>
        <v>Market</v>
      </c>
      <c r="E172" s="129" t="str">
        <f>'Non Proyek'!L19</f>
        <v>Not Started</v>
      </c>
      <c r="F172" s="129">
        <f>'Non Proyek'!E19</f>
        <v>2029</v>
      </c>
      <c r="G172" s="129">
        <f>'Non Proyek'!F19</f>
        <v>2029</v>
      </c>
    </row>
    <row r="173" spans="1:7" hidden="1">
      <c r="A173" s="129" t="str">
        <f>'Non Proyek'!A20</f>
        <v>NP-20</v>
      </c>
      <c r="B173" s="81" t="str">
        <f>'Non Proyek'!C20</f>
        <v>Rekonfigurasi Pemenuhan DC 2</v>
      </c>
      <c r="C173" s="81" t="str">
        <f>'Non Proyek'!D20</f>
        <v xml:space="preserve">Rekonfigurasi NCP </v>
      </c>
      <c r="D173" s="129" t="str">
        <f>'Non Proyek'!H20</f>
        <v>Market</v>
      </c>
      <c r="E173" s="129" t="str">
        <f>'Non Proyek'!L20</f>
        <v>Not Started</v>
      </c>
      <c r="F173" s="129">
        <f>'Non Proyek'!E20</f>
        <v>2029</v>
      </c>
      <c r="G173" s="129">
        <f>'Non Proyek'!F20</f>
        <v>2029</v>
      </c>
    </row>
    <row r="174" spans="1:7" hidden="1">
      <c r="A174" s="129" t="str">
        <f>'Non Proyek'!A21</f>
        <v>NP-20</v>
      </c>
      <c r="B174" s="81" t="str">
        <f>'Non Proyek'!C21</f>
        <v>Rekonfigurasi Pemenuhan DC 2</v>
      </c>
      <c r="C174" s="81" t="str">
        <f>'Non Proyek'!D21</f>
        <v xml:space="preserve">Rekonfigurasi ERPHRIS </v>
      </c>
      <c r="D174" s="129" t="str">
        <f>'Non Proyek'!H21</f>
        <v>MI</v>
      </c>
      <c r="E174" s="129" t="str">
        <f>'Non Proyek'!L21</f>
        <v>Not Started</v>
      </c>
      <c r="F174" s="129">
        <f>'Non Proyek'!E21</f>
        <v>2029</v>
      </c>
      <c r="G174" s="129">
        <f>'Non Proyek'!F21</f>
        <v>2029</v>
      </c>
    </row>
    <row r="175" spans="1:7" hidden="1">
      <c r="A175" s="129" t="str">
        <f>'Non Proyek'!A22</f>
        <v>NP-20</v>
      </c>
      <c r="B175" s="81" t="str">
        <f>'Non Proyek'!C22</f>
        <v>Rekonfigurasi Pemenuhan DC 2</v>
      </c>
      <c r="C175" s="81" t="str">
        <f>'Non Proyek'!D22</f>
        <v>Rekonfigurasi Alternate ETP</v>
      </c>
      <c r="D175" s="129" t="str">
        <f>'Non Proyek'!H22</f>
        <v>Market</v>
      </c>
      <c r="E175" s="129" t="str">
        <f>'Non Proyek'!L22</f>
        <v>Not Started</v>
      </c>
      <c r="F175" s="129">
        <v>2028</v>
      </c>
      <c r="G175" s="129">
        <f>'Non Proyek'!F22</f>
        <v>2028</v>
      </c>
    </row>
    <row r="176" spans="1:7" hidden="1">
      <c r="A176" s="129" t="str">
        <f>'Non Proyek'!A23</f>
        <v>NP-20</v>
      </c>
      <c r="B176" s="81" t="str">
        <f>'Non Proyek'!C23</f>
        <v>Rekonfigurasi Pemenuhan DC 2</v>
      </c>
      <c r="C176" s="81" t="str">
        <f>'Non Proyek'!D23</f>
        <v xml:space="preserve">Rekonfigurasi LKPBU (ANTASENA Non LBUT) </v>
      </c>
      <c r="D176" s="129" t="str">
        <f>'Non Proyek'!H23</f>
        <v>Moneter</v>
      </c>
      <c r="E176" s="129" t="str">
        <f>'Non Proyek'!L23</f>
        <v>Not Started</v>
      </c>
      <c r="F176" s="129">
        <f>'Non Proyek'!E23</f>
        <v>2026</v>
      </c>
      <c r="G176" s="129">
        <f>'Non Proyek'!F23</f>
        <v>2027</v>
      </c>
    </row>
    <row r="177" spans="1:7" hidden="1">
      <c r="A177" s="129" t="str">
        <f>'Non Proyek'!A24</f>
        <v>NP-20</v>
      </c>
      <c r="B177" s="81" t="str">
        <f>'Non Proyek'!C24</f>
        <v>Rekonfigurasi Pemenuhan DC 2</v>
      </c>
      <c r="C177" s="81" t="str">
        <f>'Non Proyek'!D24</f>
        <v>Rekonfigurasi SIMODIS</v>
      </c>
      <c r="D177" s="129" t="str">
        <f>'Non Proyek'!H24</f>
        <v>Moneter</v>
      </c>
      <c r="E177" s="129" t="str">
        <f>'Non Proyek'!L24</f>
        <v>Not Started</v>
      </c>
      <c r="F177" s="129">
        <f>'Non Proyek'!E24</f>
        <v>2027</v>
      </c>
      <c r="G177" s="129">
        <f>'Non Proyek'!F24</f>
        <v>2027</v>
      </c>
    </row>
    <row r="178" spans="1:7" hidden="1">
      <c r="A178" s="129" t="str">
        <f>'Non Proyek'!A25</f>
        <v>NP-20</v>
      </c>
      <c r="B178" s="81" t="str">
        <f>'Non Proyek'!C25</f>
        <v>Rekonfigurasi Pemenuhan DC 2</v>
      </c>
      <c r="C178" s="81" t="str">
        <f>'Non Proyek'!D25</f>
        <v>Rekonfigurasi BI-SSS</v>
      </c>
      <c r="D178" s="129" t="str">
        <f>'Non Proyek'!H25</f>
        <v>SSK</v>
      </c>
      <c r="E178" s="129" t="str">
        <f>'Non Proyek'!L25</f>
        <v>Not Started</v>
      </c>
      <c r="F178" s="129">
        <f>'Non Proyek'!E25</f>
        <v>2026</v>
      </c>
      <c r="G178" s="129">
        <f>'Non Proyek'!F25</f>
        <v>2026</v>
      </c>
    </row>
    <row r="179" spans="1:7" hidden="1">
      <c r="A179" s="129" t="str">
        <f>'Non Proyek'!A26</f>
        <v>NP-24</v>
      </c>
      <c r="B179" s="81" t="str">
        <f>'Non Proyek'!C26</f>
        <v>Perluasan IEA</v>
      </c>
      <c r="C179" s="81" t="str">
        <f>'Non Proyek'!D26</f>
        <v>IEA-KUPVA BB ( Solusi Interim) Untuk Pengawasan di KPwDN WG end to end</v>
      </c>
      <c r="D179" s="129" t="str">
        <f>'Non Proyek'!H26</f>
        <v>MD</v>
      </c>
      <c r="E179" s="129" t="str">
        <f>'Non Proyek'!L26</f>
        <v>On Progress</v>
      </c>
      <c r="F179" s="129">
        <f>'Non Proyek'!E26</f>
        <v>2026</v>
      </c>
      <c r="G179" s="129">
        <f>'Non Proyek'!F26</f>
        <v>2026</v>
      </c>
    </row>
    <row r="180" spans="1:7">
      <c r="A180" s="129" t="str">
        <f>'Non Proyek'!A27</f>
        <v>NP-24</v>
      </c>
      <c r="B180" s="81" t="str">
        <f>'Non Proyek'!C27</f>
        <v>Perluasan IEA</v>
      </c>
      <c r="C180" s="81" t="str">
        <f>'Non Proyek'!D27</f>
        <v>Konfigurasi IEA untuk mendukung Use Case Bansos dan Use Case Internal Pegawai BI / Payment ID &amp; Lanjutan Payment Integrity</v>
      </c>
      <c r="D180" s="129" t="str">
        <f>'Non Proyek'!H27</f>
        <v>MD</v>
      </c>
      <c r="E180" s="129" t="str">
        <f>'Non Proyek'!L27</f>
        <v>DONE</v>
      </c>
      <c r="F180" s="129">
        <f>'Non Proyek'!E27</f>
        <v>2025</v>
      </c>
      <c r="G180" s="129">
        <f>'Non Proyek'!F27</f>
        <v>2025</v>
      </c>
    </row>
    <row r="181" spans="1:7">
      <c r="A181" s="129" t="str">
        <f>'Non Proyek'!A28</f>
        <v>NP-24</v>
      </c>
      <c r="B181" s="81" t="str">
        <f>'Non Proyek'!C28</f>
        <v>Perluasan IEA</v>
      </c>
      <c r="C181" s="81" t="str">
        <f>'Non Proyek'!D28</f>
        <v>Perolehan Data PJP/PIP</v>
      </c>
      <c r="D181" s="129" t="str">
        <f>'Non Proyek'!H28</f>
        <v>MD</v>
      </c>
      <c r="E181" s="129" t="str">
        <f>'Non Proyek'!L28</f>
        <v>DONE</v>
      </c>
      <c r="F181" s="129">
        <f>'Non Proyek'!E28</f>
        <v>2025</v>
      </c>
      <c r="G181" s="129">
        <f>'Non Proyek'!F28</f>
        <v>2025</v>
      </c>
    </row>
    <row r="182" spans="1:7">
      <c r="A182" s="129" t="str">
        <f>'Non Proyek'!A29</f>
        <v>NP-24</v>
      </c>
      <c r="B182" s="81" t="str">
        <f>'Non Proyek'!C29</f>
        <v>Perluasan IEA</v>
      </c>
      <c r="C182" s="81" t="str">
        <f>'Non Proyek'!D29</f>
        <v>IEA-DHE SDA (Sub Registry 16 Pelapor)</v>
      </c>
      <c r="D182" s="129" t="str">
        <f>'Non Proyek'!H29</f>
        <v>MD</v>
      </c>
      <c r="E182" s="129" t="str">
        <f>'Non Proyek'!L29</f>
        <v>DONE</v>
      </c>
      <c r="F182" s="129">
        <f>'Non Proyek'!E29</f>
        <v>2025</v>
      </c>
      <c r="G182" s="129">
        <f>'Non Proyek'!F29</f>
        <v>2025</v>
      </c>
    </row>
    <row r="183" spans="1:7">
      <c r="A183" s="129" t="str">
        <f>'Non Proyek'!A30</f>
        <v>NP-24</v>
      </c>
      <c r="B183" s="81" t="str">
        <f>'Non Proyek'!C30</f>
        <v>Perluasan IEA</v>
      </c>
      <c r="C183" s="81" t="str">
        <f>'Non Proyek'!D30</f>
        <v>Konfigurasi IEA otomasi Data SBN  - OJK ke pusat Data</v>
      </c>
      <c r="D183" s="129" t="str">
        <f>'Non Proyek'!H30</f>
        <v>MD</v>
      </c>
      <c r="E183" s="129" t="str">
        <f>'Non Proyek'!L30</f>
        <v>DONE</v>
      </c>
      <c r="F183" s="129">
        <f>'Non Proyek'!E30</f>
        <v>2025</v>
      </c>
      <c r="G183" s="129">
        <f>'Non Proyek'!F30</f>
        <v>2025</v>
      </c>
    </row>
    <row r="184" spans="1:7">
      <c r="A184" s="129" t="str">
        <f>'Non Proyek'!A31</f>
        <v>NP-24</v>
      </c>
      <c r="B184" s="81" t="str">
        <f>'Non Proyek'!C31</f>
        <v>Perluasan IEA</v>
      </c>
      <c r="C184" s="81" t="str">
        <f>'Non Proyek'!D31</f>
        <v>IEA-BAPPEBTI Dervatif PUVA - (OJK BAPPEBTI)</v>
      </c>
      <c r="D184" s="129" t="str">
        <f>'Non Proyek'!H31</f>
        <v>MD</v>
      </c>
      <c r="E184" s="129" t="str">
        <f>'Non Proyek'!L31</f>
        <v>DONE</v>
      </c>
      <c r="F184" s="129">
        <f>'Non Proyek'!E31</f>
        <v>2025</v>
      </c>
      <c r="G184" s="129">
        <f>'Non Proyek'!F31</f>
        <v>2025</v>
      </c>
    </row>
    <row r="185" spans="1:7">
      <c r="A185" s="129" t="str">
        <f>'Non Proyek'!A32</f>
        <v>NP-24</v>
      </c>
      <c r="B185" s="81" t="str">
        <f>'Non Proyek'!C32</f>
        <v>Perluasan IEA</v>
      </c>
      <c r="C185" s="81" t="str">
        <f>'Non Proyek'!D32</f>
        <v>IEA-DJA Pengaliran suku bunga</v>
      </c>
      <c r="D185" s="129" t="str">
        <f>'Non Proyek'!H32</f>
        <v>MD</v>
      </c>
      <c r="E185" s="129" t="str">
        <f>'Non Proyek'!L32</f>
        <v>DONE</v>
      </c>
      <c r="F185" s="129">
        <f>'Non Proyek'!E32</f>
        <v>2025</v>
      </c>
      <c r="G185" s="129">
        <f>'Non Proyek'!F32</f>
        <v>2025</v>
      </c>
    </row>
    <row r="186" spans="1:7">
      <c r="A186" s="129" t="str">
        <f>'Non Proyek'!A33</f>
        <v>NP-24</v>
      </c>
      <c r="B186" s="81" t="str">
        <f>'Non Proyek'!C33</f>
        <v>Perluasan IEA</v>
      </c>
      <c r="C186" s="81" t="str">
        <f>'Non Proyek'!D33</f>
        <v>Pengiriman Data Antasena LBUT - Pengiriman Data LBUT ke Otoritas Jasa Keuangan dan Lembaga Penjamin Simpanan</v>
      </c>
      <c r="D186" s="129" t="str">
        <f>'Non Proyek'!H33</f>
        <v>MD</v>
      </c>
      <c r="E186" s="129" t="str">
        <f>'Non Proyek'!L33</f>
        <v>DONE</v>
      </c>
      <c r="F186" s="129">
        <f>'Non Proyek'!E33</f>
        <v>2025</v>
      </c>
      <c r="G186" s="129">
        <f>'Non Proyek'!F33</f>
        <v>2025</v>
      </c>
    </row>
    <row r="187" spans="1:7">
      <c r="A187" s="129" t="str">
        <f>'Non Proyek'!A34</f>
        <v>NP-24</v>
      </c>
      <c r="B187" s="81" t="str">
        <f>'Non Proyek'!C34</f>
        <v>Perluasan IEA</v>
      </c>
      <c r="C187" s="81" t="str">
        <f>'Non Proyek'!D34</f>
        <v>Pengaliran Data LBBPR/S dari OJK ke BI</v>
      </c>
      <c r="D187" s="129" t="str">
        <f>'Non Proyek'!H34</f>
        <v>MD</v>
      </c>
      <c r="E187" s="129" t="str">
        <f>'Non Proyek'!L34</f>
        <v>DONE</v>
      </c>
      <c r="F187" s="129">
        <f>'Non Proyek'!E34</f>
        <v>2025</v>
      </c>
      <c r="G187" s="129">
        <f>'Non Proyek'!F34</f>
        <v>2025</v>
      </c>
    </row>
    <row r="188" spans="1:7">
      <c r="A188" s="129" t="str">
        <f>'Non Proyek'!A36</f>
        <v>NP-24</v>
      </c>
      <c r="B188" s="81" t="str">
        <f>'Non Proyek'!C36</f>
        <v>Perluasan IEA</v>
      </c>
      <c r="C188" s="81" t="str">
        <f>'Non Proyek'!D36</f>
        <v>Pengembangan Sistem Pelaporan CCP ke BI dan TPA melalui Aplikasi IEA</v>
      </c>
      <c r="D188" s="129" t="str">
        <f>'Non Proyek'!H36</f>
        <v>Market, MD</v>
      </c>
      <c r="E188" s="129" t="str">
        <f>'Non Proyek'!L36</f>
        <v>DONE</v>
      </c>
      <c r="F188" s="129">
        <f>'Non Proyek'!E36</f>
        <v>2025</v>
      </c>
      <c r="G188" s="129">
        <f>'Non Proyek'!F36</f>
        <v>2025</v>
      </c>
    </row>
    <row r="189" spans="1:7">
      <c r="A189" s="129" t="str">
        <f>'[1]All Proyek'!B47</f>
        <v xml:space="preserve"> NP-27</v>
      </c>
      <c r="B189" s="81" t="str">
        <f>'Non Proyek'!C39</f>
        <v>Transaksi FX-DNDF via Primary Dealers (PDs)</v>
      </c>
      <c r="C189" s="81" t="str">
        <f>'Non Proyek'!D39</f>
        <v>Penguatan transaksi FX-NDF BI pada Bloomberg FX Go</v>
      </c>
      <c r="D189" s="129" t="str">
        <f>'Non Proyek'!H39</f>
        <v>Market</v>
      </c>
      <c r="E189" s="129" t="str">
        <f>'Non Proyek'!L39</f>
        <v>DONE</v>
      </c>
      <c r="F189" s="129">
        <f>'Non Proyek'!E39</f>
        <v>2025</v>
      </c>
      <c r="G189" s="129">
        <f>'Non Proyek'!F39</f>
        <v>2025</v>
      </c>
    </row>
    <row r="190" spans="1:7" hidden="1">
      <c r="A190" s="129" t="str">
        <f>'[1]All Proyek'!B48</f>
        <v>NP-34</v>
      </c>
      <c r="B190" s="81" t="str">
        <f>'Non Proyek'!C40</f>
        <v>Konfigurasi Sistem Treasury Bank Indonesia</v>
      </c>
      <c r="C190" s="81" t="str">
        <f>'Non Proyek'!D40</f>
        <v xml:space="preserve">Otomasi Penarikan Report Portfolio Workstation di FOMOBO </v>
      </c>
      <c r="D190" s="129" t="str">
        <f>'Non Proyek'!H40</f>
        <v>Market</v>
      </c>
      <c r="E190" s="129" t="str">
        <f>'Non Proyek'!L40</f>
        <v>Not Started</v>
      </c>
      <c r="F190" s="129">
        <f>'Non Proyek'!E40</f>
        <v>2026</v>
      </c>
      <c r="G190" s="129">
        <f>'Non Proyek'!F40</f>
        <v>2026</v>
      </c>
    </row>
    <row r="191" spans="1:7">
      <c r="A191" s="129" t="str">
        <f>'Non Proyek'!A41</f>
        <v>NP-34</v>
      </c>
      <c r="B191" s="81" t="str">
        <f>'Non Proyek'!C41</f>
        <v>Konfigurasi Sistem Treasury Bank Indonesia</v>
      </c>
      <c r="C191" s="81" t="str">
        <f>'Non Proyek'!D41</f>
        <v>FOMOBO Konfigurasi FOMOBO untuk Perbaikan Laporan EDW-ORA</v>
      </c>
      <c r="D191" s="129" t="str">
        <f>'Non Proyek'!H41</f>
        <v>Market</v>
      </c>
      <c r="E191" s="129" t="str">
        <f>'Non Proyek'!L41</f>
        <v>DONE</v>
      </c>
      <c r="F191" s="129">
        <f>'Non Proyek'!E41</f>
        <v>2025</v>
      </c>
      <c r="G191" s="129">
        <f>'Non Proyek'!F41</f>
        <v>2025</v>
      </c>
    </row>
    <row r="192" spans="1:7">
      <c r="A192" s="129" t="str">
        <f>'Non Proyek'!A42</f>
        <v>NP-35</v>
      </c>
      <c r="B192" s="81" t="str">
        <f>'Non Proyek'!C42</f>
        <v xml:space="preserve">SWIFT </v>
      </c>
      <c r="C192" s="81" t="str">
        <f>'Non Proyek'!D42</f>
        <v>SWIFT November Changes 2025</v>
      </c>
      <c r="D192" s="129" t="str">
        <f>'Non Proyek'!H42</f>
        <v>Market</v>
      </c>
      <c r="E192" s="129" t="str">
        <f>'Non Proyek'!L42</f>
        <v>DONE</v>
      </c>
      <c r="F192" s="129">
        <f>'Non Proyek'!E42</f>
        <v>2025</v>
      </c>
      <c r="G192" s="129">
        <f>'Non Proyek'!F42</f>
        <v>2025</v>
      </c>
    </row>
    <row r="193" spans="1:11" hidden="1">
      <c r="A193" s="129" t="str">
        <f>'Non Proyek'!A43</f>
        <v>NP-35</v>
      </c>
      <c r="B193" s="81" t="str">
        <f>'Non Proyek'!C43</f>
        <v xml:space="preserve">SWIFT </v>
      </c>
      <c r="C193" s="81" t="str">
        <f>'Non Proyek'!D43</f>
        <v>SWIFT November Changes 2026</v>
      </c>
      <c r="D193" s="129" t="str">
        <f>'Non Proyek'!H43</f>
        <v>Market</v>
      </c>
      <c r="E193" s="129" t="str">
        <f>'Non Proyek'!L43</f>
        <v>Not Started</v>
      </c>
      <c r="F193" s="129">
        <f>'Non Proyek'!E43</f>
        <v>2026</v>
      </c>
      <c r="G193" s="129">
        <f>'Non Proyek'!F43</f>
        <v>2026</v>
      </c>
    </row>
    <row r="194" spans="1:11">
      <c r="A194" s="129" t="str">
        <f>'Non Proyek'!A47</f>
        <v>NP-36</v>
      </c>
      <c r="B194" s="81" t="str">
        <f>'Non Proyek'!C47</f>
        <v>Peningkatan Kapasitas dan Performance Aplikasi Legacy</v>
      </c>
      <c r="C194" s="81" t="str">
        <f>'Non Proyek'!D47</f>
        <v>Peningkatan Performance PINTAR dalam rangka SERAMBI 2026</v>
      </c>
      <c r="D194" s="129" t="str">
        <f>'Non Proyek'!H47</f>
        <v>SP</v>
      </c>
      <c r="E194" s="129" t="str">
        <f>'Non Proyek'!L47</f>
        <v>DONE</v>
      </c>
      <c r="F194" s="129">
        <f>'Non Proyek'!E47</f>
        <v>2025</v>
      </c>
      <c r="G194" s="129">
        <f>'Non Proyek'!F47</f>
        <v>2025</v>
      </c>
    </row>
    <row r="195" spans="1:11" hidden="1">
      <c r="A195" s="129" t="str">
        <f>'Non Proyek'!A48</f>
        <v>NP-37</v>
      </c>
      <c r="B195" s="81" t="str">
        <f>'Non Proyek'!C48</f>
        <v>Upgrade CRM</v>
      </c>
      <c r="C195" s="81" t="str">
        <f>'Non Proyek'!D48</f>
        <v>Upgrade versi CRM</v>
      </c>
      <c r="D195" s="129" t="str">
        <f>'Non Proyek'!H48</f>
        <v>MI</v>
      </c>
      <c r="E195" s="129" t="str">
        <f>'Non Proyek'!L48</f>
        <v>Not Started</v>
      </c>
      <c r="F195" s="129">
        <f>'Non Proyek'!E48</f>
        <v>2027</v>
      </c>
      <c r="G195" s="129">
        <f>'Non Proyek'!F48</f>
        <v>2027</v>
      </c>
    </row>
    <row r="196" spans="1:11" hidden="1">
      <c r="A196" s="129" t="str">
        <f>'Non Proyek'!A49</f>
        <v>NP-38</v>
      </c>
      <c r="B196" s="81" t="str">
        <f>'Non Proyek'!C49</f>
        <v>Konfigurasi WBS</v>
      </c>
      <c r="C196" s="81" t="str">
        <f>'Non Proyek'!D49</f>
        <v>Konfigurasi Penyempurnaan Notifikasi Flow Proses Pemeriksaan pada WBS</v>
      </c>
      <c r="D196" s="129" t="str">
        <f>'Non Proyek'!H49</f>
        <v>MI</v>
      </c>
      <c r="E196" s="129" t="str">
        <f>'Non Proyek'!L49</f>
        <v>Not Started</v>
      </c>
      <c r="F196" s="129">
        <f>'Non Proyek'!E49</f>
        <v>2026</v>
      </c>
      <c r="G196" s="129">
        <f>'Non Proyek'!F49</f>
        <v>2026</v>
      </c>
    </row>
    <row r="197" spans="1:11" hidden="1">
      <c r="A197" s="129" t="str">
        <f>'Non Proyek'!A50</f>
        <v>NP-39</v>
      </c>
      <c r="B197" s="81" t="str">
        <f>'Non Proyek'!C50</f>
        <v>Piloting Laporan LLD Bank High-Frequency</v>
      </c>
      <c r="C197" s="81" t="str">
        <f>'Non Proyek'!D50</f>
        <v>Piloting Laporan LLD Bank High-Frequency</v>
      </c>
      <c r="D197" s="129" t="str">
        <f>'Non Proyek'!H50</f>
        <v>Middleware, Moneter</v>
      </c>
      <c r="E197" s="129" t="str">
        <f>'Non Proyek'!L50</f>
        <v>Not Started</v>
      </c>
      <c r="F197" s="129">
        <f>'Non Proyek'!E50</f>
        <v>2026</v>
      </c>
      <c r="G197" s="129">
        <f>'Non Proyek'!F50</f>
        <v>2026</v>
      </c>
    </row>
    <row r="198" spans="1:11" hidden="1">
      <c r="A198" s="129" t="str">
        <f>'Non Proyek'!A51</f>
        <v>NP-40</v>
      </c>
      <c r="B198" s="81" t="str">
        <f>'Non Proyek'!C51</f>
        <v>Dukungan IN-FAST</v>
      </c>
      <c r="C198" s="81" t="str">
        <f>'Non Proyek'!D51</f>
        <v>On Boarding IN-FAST pada Infra SP BI</v>
      </c>
      <c r="D198" s="129" t="str">
        <f>'Non Proyek'!H51</f>
        <v>SP</v>
      </c>
      <c r="E198" s="129" t="str">
        <f>'Non Proyek'!L51</f>
        <v>Not Started</v>
      </c>
      <c r="F198" s="129">
        <f>'Non Proyek'!E51</f>
        <v>2026</v>
      </c>
      <c r="G198" s="129">
        <f>'Non Proyek'!F51</f>
        <v>2026</v>
      </c>
    </row>
    <row r="199" spans="1:11" hidden="1">
      <c r="A199" s="129" t="str">
        <f>'Non Proyek'!A52</f>
        <v>NP-29</v>
      </c>
      <c r="B199" s="81" t="str">
        <f>'Non Proyek'!C52</f>
        <v>Pengaliran Data Eksyar</v>
      </c>
      <c r="C199" s="81" t="str">
        <f>'Non Proyek'!D52</f>
        <v>Pengaliran Data Eksyar</v>
      </c>
      <c r="D199" s="129" t="str">
        <f>'Non Proyek'!H52</f>
        <v>Middleware</v>
      </c>
      <c r="E199" s="129" t="str">
        <f>'Non Proyek'!L52</f>
        <v>Not Started</v>
      </c>
      <c r="F199" s="129">
        <f>'Non Proyek'!E52</f>
        <v>2026</v>
      </c>
      <c r="G199" s="129">
        <f>'Non Proyek'!F52</f>
        <v>2027</v>
      </c>
    </row>
    <row r="204" spans="1:11">
      <c r="J204" s="127" t="s">
        <v>137</v>
      </c>
      <c r="K204" t="s">
        <v>1469</v>
      </c>
    </row>
    <row r="205" spans="1:11">
      <c r="J205" s="127" t="s">
        <v>138</v>
      </c>
      <c r="K205" t="s">
        <v>1469</v>
      </c>
    </row>
    <row r="207" spans="1:11">
      <c r="J207" s="127" t="s">
        <v>1470</v>
      </c>
      <c r="K207" t="s">
        <v>1594</v>
      </c>
    </row>
    <row r="208" spans="1:11">
      <c r="J208" s="12" t="s">
        <v>199</v>
      </c>
      <c r="K208">
        <v>20</v>
      </c>
    </row>
    <row r="209" spans="10:11">
      <c r="J209" s="12" t="s">
        <v>1010</v>
      </c>
      <c r="K209">
        <v>1</v>
      </c>
    </row>
    <row r="210" spans="10:11">
      <c r="J210" s="12" t="s">
        <v>389</v>
      </c>
      <c r="K210">
        <v>1</v>
      </c>
    </row>
    <row r="211" spans="10:11">
      <c r="J211" s="12" t="s">
        <v>558</v>
      </c>
      <c r="K211">
        <v>3</v>
      </c>
    </row>
    <row r="212" spans="10:11">
      <c r="J212" s="12" t="s">
        <v>297</v>
      </c>
      <c r="K212">
        <v>31</v>
      </c>
    </row>
    <row r="213" spans="10:11">
      <c r="J213" s="12" t="s">
        <v>1255</v>
      </c>
      <c r="K213">
        <v>1</v>
      </c>
    </row>
    <row r="214" spans="10:11">
      <c r="J214" s="12" t="s">
        <v>213</v>
      </c>
      <c r="K214">
        <v>16</v>
      </c>
    </row>
    <row r="215" spans="10:11">
      <c r="J215" s="12" t="s">
        <v>228</v>
      </c>
      <c r="K215">
        <v>3</v>
      </c>
    </row>
    <row r="216" spans="10:11">
      <c r="J216" s="12" t="s">
        <v>698</v>
      </c>
      <c r="K216">
        <v>1</v>
      </c>
    </row>
    <row r="217" spans="10:11">
      <c r="J217" s="12" t="s">
        <v>189</v>
      </c>
      <c r="K217">
        <v>10</v>
      </c>
    </row>
    <row r="218" spans="10:11">
      <c r="J218" s="12" t="s">
        <v>673</v>
      </c>
      <c r="K218">
        <v>13</v>
      </c>
    </row>
    <row r="219" spans="10:11">
      <c r="J219" s="12" t="s">
        <v>1597</v>
      </c>
      <c r="K219">
        <v>1</v>
      </c>
    </row>
    <row r="220" spans="10:11">
      <c r="J220" s="12" t="s">
        <v>1598</v>
      </c>
      <c r="K220">
        <v>1</v>
      </c>
    </row>
    <row r="221" spans="10:11">
      <c r="J221" s="12" t="s">
        <v>1607</v>
      </c>
      <c r="K221">
        <v>1</v>
      </c>
    </row>
    <row r="222" spans="10:11">
      <c r="J222" s="12" t="s">
        <v>1473</v>
      </c>
      <c r="K222">
        <v>103</v>
      </c>
    </row>
  </sheetData>
  <autoFilter ref="A2:G199" xr:uid="{151777F2-38AA-4A52-87F1-56E36692A51B}">
    <filterColumn colId="4">
      <filters>
        <filter val="DONE"/>
      </filters>
    </filterColumn>
    <filterColumn colId="5">
      <filters>
        <filter val="2024"/>
        <filter val="2025"/>
      </filters>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C5093-D555-4FF8-9E53-2AC427460B73}">
  <sheetPr filterMode="1"/>
  <dimension ref="A1:I52"/>
  <sheetViews>
    <sheetView topLeftCell="A65" workbookViewId="0">
      <selection activeCell="B2" sqref="B2:B52"/>
    </sheetView>
  </sheetViews>
  <sheetFormatPr defaultRowHeight="14.5"/>
  <cols>
    <col min="2" max="2" width="21.54296875" customWidth="1"/>
    <col min="3" max="4" width="13.1796875" customWidth="1"/>
    <col min="5" max="5" width="22.453125" style="2" customWidth="1"/>
    <col min="6" max="6" width="15.1796875" customWidth="1"/>
    <col min="7" max="7" width="18.453125" customWidth="1"/>
    <col min="8" max="8" width="10.81640625" style="3" customWidth="1"/>
    <col min="9" max="9" width="8.81640625" style="1"/>
  </cols>
  <sheetData>
    <row r="1" spans="1:9">
      <c r="A1" s="206" t="s">
        <v>58</v>
      </c>
      <c r="B1" s="206" t="s">
        <v>61</v>
      </c>
      <c r="C1" s="206" t="s">
        <v>63</v>
      </c>
      <c r="D1" s="476" t="s">
        <v>64</v>
      </c>
      <c r="E1" s="476" t="s">
        <v>70</v>
      </c>
      <c r="F1" s="476" t="s">
        <v>75</v>
      </c>
      <c r="G1" s="477" t="s">
        <v>1585</v>
      </c>
      <c r="H1" s="479" t="s">
        <v>93</v>
      </c>
      <c r="I1" s="479" t="s">
        <v>1484</v>
      </c>
    </row>
    <row r="2" spans="1:9" s="3" customFormat="1" ht="16">
      <c r="A2" s="48" t="s">
        <v>168</v>
      </c>
      <c r="B2" s="213" t="s">
        <v>170</v>
      </c>
      <c r="C2" s="278">
        <v>2025</v>
      </c>
      <c r="D2" s="48">
        <v>2028</v>
      </c>
      <c r="E2" s="214" t="s">
        <v>1597</v>
      </c>
      <c r="F2" s="100">
        <f>AVERAGE(Proyek!V$3)</f>
        <v>1.4999999999999999E-2</v>
      </c>
      <c r="G2" s="478">
        <f>AVERAGE(Proyek!BE3)</f>
        <v>0.06</v>
      </c>
      <c r="H2" s="100">
        <f t="shared" ref="H2:H33" si="0">F2/G2</f>
        <v>0.25</v>
      </c>
      <c r="I2" s="91" t="str">
        <f>IF(H2&gt;105%,"AS",IF(H2&gt;=95%,"OS",IF(H2&gt;=75%,"BS","BS")))</f>
        <v>BS</v>
      </c>
    </row>
    <row r="3" spans="1:9" s="3" customFormat="1" ht="16" hidden="1">
      <c r="A3" s="48" t="s">
        <v>185</v>
      </c>
      <c r="B3" s="213" t="s">
        <v>186</v>
      </c>
      <c r="C3" s="278">
        <v>2026</v>
      </c>
      <c r="D3" s="48">
        <v>2029</v>
      </c>
      <c r="E3" s="63" t="s">
        <v>189</v>
      </c>
      <c r="F3" s="100">
        <f>AVERAGE(Proyek!V4)</f>
        <v>0</v>
      </c>
      <c r="G3" s="478">
        <f>AVERAGE(Proyek!BE4)</f>
        <v>0</v>
      </c>
      <c r="H3" s="100" t="e">
        <f t="shared" si="0"/>
        <v>#DIV/0!</v>
      </c>
      <c r="I3" s="91" t="s">
        <v>599</v>
      </c>
    </row>
    <row r="4" spans="1:9" s="3" customFormat="1" ht="16" hidden="1">
      <c r="A4" s="48" t="s">
        <v>195</v>
      </c>
      <c r="B4" s="213" t="s">
        <v>196</v>
      </c>
      <c r="C4" s="278">
        <v>2027</v>
      </c>
      <c r="D4" s="48">
        <v>2029</v>
      </c>
      <c r="E4" s="63" t="s">
        <v>199</v>
      </c>
      <c r="F4" s="100">
        <f>AVERAGE(Proyek!V5)</f>
        <v>0</v>
      </c>
      <c r="G4" s="478">
        <f>AVERAGE(Proyek!BE5)</f>
        <v>0</v>
      </c>
      <c r="H4" s="100" t="e">
        <f t="shared" si="0"/>
        <v>#DIV/0!</v>
      </c>
      <c r="I4" s="91" t="s">
        <v>599</v>
      </c>
    </row>
    <row r="5" spans="1:9" s="3" customFormat="1" ht="32">
      <c r="A5" s="226" t="s">
        <v>208</v>
      </c>
      <c r="B5" s="65" t="s">
        <v>210</v>
      </c>
      <c r="C5" s="278">
        <v>2025</v>
      </c>
      <c r="D5" s="48">
        <v>2030</v>
      </c>
      <c r="E5" s="63" t="s">
        <v>1599</v>
      </c>
      <c r="F5" s="100">
        <f>AVERAGE(Proyek!V6:V20)</f>
        <v>0.19999999999999998</v>
      </c>
      <c r="G5" s="478">
        <f>AVERAGE(Proyek!BE6:BE20)</f>
        <v>0.20666666666666664</v>
      </c>
      <c r="H5" s="100">
        <f t="shared" si="0"/>
        <v>0.967741935483871</v>
      </c>
      <c r="I5" s="91" t="str">
        <f>IF(H5&gt;105%,"AS",IF(H5&gt;=95%,"OS",IF(H5&gt;=75%,"BS","BS")))</f>
        <v>OS</v>
      </c>
    </row>
    <row r="6" spans="1:9" s="3" customFormat="1" ht="16" hidden="1">
      <c r="A6" s="226" t="s">
        <v>285</v>
      </c>
      <c r="B6" s="213" t="s">
        <v>286</v>
      </c>
      <c r="C6" s="278">
        <v>2026</v>
      </c>
      <c r="D6" s="48">
        <v>2028</v>
      </c>
      <c r="E6" s="63" t="s">
        <v>213</v>
      </c>
      <c r="F6" s="100">
        <f>AVERAGE(Proyek!V21)</f>
        <v>0</v>
      </c>
      <c r="G6" s="478">
        <f>AVERAGE(Proyek!BE21)</f>
        <v>0</v>
      </c>
      <c r="H6" s="100" t="e">
        <f t="shared" si="0"/>
        <v>#DIV/0!</v>
      </c>
      <c r="I6" s="91" t="s">
        <v>599</v>
      </c>
    </row>
    <row r="7" spans="1:9" s="3" customFormat="1" ht="32" hidden="1">
      <c r="A7" s="48" t="s">
        <v>292</v>
      </c>
      <c r="B7" s="213" t="s">
        <v>294</v>
      </c>
      <c r="C7" s="278">
        <v>2026</v>
      </c>
      <c r="D7" s="48">
        <v>2027</v>
      </c>
      <c r="E7" s="91" t="s">
        <v>297</v>
      </c>
      <c r="F7" s="100">
        <f>AVERAGE(Proyek!V22)</f>
        <v>0.12</v>
      </c>
      <c r="G7" s="478">
        <f>AVERAGE(Proyek!BE22)</f>
        <v>0.05</v>
      </c>
      <c r="H7" s="100">
        <f t="shared" si="0"/>
        <v>2.4</v>
      </c>
      <c r="I7" s="91" t="s">
        <v>599</v>
      </c>
    </row>
    <row r="8" spans="1:9" s="3" customFormat="1" ht="16">
      <c r="A8" s="48" t="s">
        <v>303</v>
      </c>
      <c r="B8" s="213" t="s">
        <v>305</v>
      </c>
      <c r="C8" s="278">
        <v>2025</v>
      </c>
      <c r="D8" s="48">
        <v>2028</v>
      </c>
      <c r="E8" s="91" t="s">
        <v>297</v>
      </c>
      <c r="F8" s="100">
        <f>AVERAGE(Proyek!V23:V24)</f>
        <v>0.06</v>
      </c>
      <c r="G8" s="478">
        <f>AVERAGE(Proyek!BE23:BE24)</f>
        <v>7.4999999999999997E-2</v>
      </c>
      <c r="H8" s="100">
        <f t="shared" si="0"/>
        <v>0.8</v>
      </c>
      <c r="I8" s="91" t="str">
        <f>IF(H8&gt;105%,"AS",IF(H8&gt;=95%,"OS",IF(H8&gt;=75%,"BS","BS")))</f>
        <v>BS</v>
      </c>
    </row>
    <row r="9" spans="1:9" s="3" customFormat="1" ht="16">
      <c r="A9" s="63" t="s">
        <v>319</v>
      </c>
      <c r="B9" s="213" t="s">
        <v>321</v>
      </c>
      <c r="C9" s="278">
        <v>2025</v>
      </c>
      <c r="D9" s="48">
        <v>2026</v>
      </c>
      <c r="E9" s="91" t="s">
        <v>297</v>
      </c>
      <c r="F9" s="100">
        <f>AVERAGE(Proyek!V25:V26)</f>
        <v>0.28749999999999998</v>
      </c>
      <c r="G9" s="478">
        <f>AVERAGE(Proyek!BE25:BE26)</f>
        <v>0.28749999999999998</v>
      </c>
      <c r="H9" s="100">
        <f t="shared" si="0"/>
        <v>1</v>
      </c>
      <c r="I9" s="91" t="str">
        <f>IF(H9&gt;105%,"AS",IF(H9&gt;=95%,"OS",IF(H9&gt;=75%,"BS","BS")))</f>
        <v>OS</v>
      </c>
    </row>
    <row r="10" spans="1:9" s="3" customFormat="1" ht="16" hidden="1">
      <c r="A10" s="63" t="s">
        <v>339</v>
      </c>
      <c r="B10" s="213" t="s">
        <v>341</v>
      </c>
      <c r="C10" s="278">
        <v>2026</v>
      </c>
      <c r="D10" s="48">
        <v>2027</v>
      </c>
      <c r="E10" s="91" t="s">
        <v>297</v>
      </c>
      <c r="F10" s="100">
        <f>AVERAGE(Proyek!V27)</f>
        <v>0</v>
      </c>
      <c r="G10" s="478">
        <f>AVERAGE(Proyek!BE27)</f>
        <v>1.4999999999999999E-2</v>
      </c>
      <c r="H10" s="100">
        <f t="shared" si="0"/>
        <v>0</v>
      </c>
      <c r="I10" s="91" t="s">
        <v>599</v>
      </c>
    </row>
    <row r="11" spans="1:9" s="3" customFormat="1" ht="16" hidden="1">
      <c r="A11" s="63" t="s">
        <v>348</v>
      </c>
      <c r="B11" s="213" t="s">
        <v>350</v>
      </c>
      <c r="C11" s="278">
        <v>2026</v>
      </c>
      <c r="D11" s="48">
        <v>2028</v>
      </c>
      <c r="E11" s="91" t="s">
        <v>297</v>
      </c>
      <c r="F11" s="100">
        <f>AVERAGE(Proyek!V28:V29)</f>
        <v>0</v>
      </c>
      <c r="G11" s="478">
        <f>AVERAGE(Proyek!BE28:BE29)</f>
        <v>7.4999999999999997E-3</v>
      </c>
      <c r="H11" s="100">
        <f t="shared" si="0"/>
        <v>0</v>
      </c>
      <c r="I11" s="91" t="s">
        <v>599</v>
      </c>
    </row>
    <row r="12" spans="1:9" s="3" customFormat="1" ht="48">
      <c r="A12" s="63" t="s">
        <v>364</v>
      </c>
      <c r="B12" s="65" t="s">
        <v>366</v>
      </c>
      <c r="C12" s="278">
        <v>2024</v>
      </c>
      <c r="D12" s="48">
        <v>2029</v>
      </c>
      <c r="E12" s="91" t="s">
        <v>389</v>
      </c>
      <c r="F12" s="100">
        <f>AVERAGE(Proyek!V30:V42)</f>
        <v>0.41903846153846153</v>
      </c>
      <c r="G12" s="478">
        <f>AVERAGE(Proyek!BE30:BE42)</f>
        <v>0.38846153846153847</v>
      </c>
      <c r="H12" s="100">
        <f t="shared" si="0"/>
        <v>1.0787128712871286</v>
      </c>
      <c r="I12" s="91" t="str">
        <f t="shared" ref="I12:I28" si="1">IF(H12&gt;105%,"AS",IF(H12&gt;=95%,"OS",IF(H12&gt;=75%,"BS","BS")))</f>
        <v>AS</v>
      </c>
    </row>
    <row r="13" spans="1:9" s="3" customFormat="1" ht="48">
      <c r="A13" s="63" t="s">
        <v>455</v>
      </c>
      <c r="B13" s="65" t="s">
        <v>456</v>
      </c>
      <c r="C13" s="278">
        <v>2024</v>
      </c>
      <c r="D13" s="48">
        <v>2027</v>
      </c>
      <c r="E13" s="91" t="s">
        <v>199</v>
      </c>
      <c r="F13" s="100">
        <f>AVERAGE(Proyek!V44:V45)</f>
        <v>0.49999999999999994</v>
      </c>
      <c r="G13" s="478">
        <f>AVERAGE(Proyek!BE44:BE45)</f>
        <v>0.5</v>
      </c>
      <c r="H13" s="100">
        <f t="shared" si="0"/>
        <v>0.99999999999999989</v>
      </c>
      <c r="I13" s="91" t="str">
        <f t="shared" si="1"/>
        <v>OS</v>
      </c>
    </row>
    <row r="14" spans="1:9" s="3" customFormat="1" ht="16">
      <c r="A14" s="63" t="s">
        <v>469</v>
      </c>
      <c r="B14" s="65" t="s">
        <v>470</v>
      </c>
      <c r="C14" s="278">
        <v>2025</v>
      </c>
      <c r="D14" s="48">
        <v>2025</v>
      </c>
      <c r="E14" s="91" t="s">
        <v>297</v>
      </c>
      <c r="F14" s="100">
        <f>AVERAGE(Proyek!V46)</f>
        <v>0.99999999999999989</v>
      </c>
      <c r="G14" s="478">
        <f>AVERAGE(Proyek!BE46)</f>
        <v>1</v>
      </c>
      <c r="H14" s="100">
        <f t="shared" si="0"/>
        <v>0.99999999999999989</v>
      </c>
      <c r="I14" s="91" t="str">
        <f t="shared" si="1"/>
        <v>OS</v>
      </c>
    </row>
    <row r="15" spans="1:9" s="3" customFormat="1" ht="16">
      <c r="A15" s="63" t="s">
        <v>479</v>
      </c>
      <c r="B15" s="65" t="s">
        <v>481</v>
      </c>
      <c r="C15" s="278">
        <v>2024</v>
      </c>
      <c r="D15" s="48">
        <v>2028</v>
      </c>
      <c r="E15" s="91" t="s">
        <v>213</v>
      </c>
      <c r="F15" s="100">
        <f>AVERAGE(Proyek!V47:V52)</f>
        <v>0.10166666666666667</v>
      </c>
      <c r="G15" s="478">
        <f>AVERAGE(Proyek!BE47:BE52)</f>
        <v>0.11666666666666668</v>
      </c>
      <c r="H15" s="100">
        <f t="shared" si="0"/>
        <v>0.87142857142857133</v>
      </c>
      <c r="I15" s="91" t="str">
        <f t="shared" si="1"/>
        <v>BS</v>
      </c>
    </row>
    <row r="16" spans="1:9" s="3" customFormat="1" ht="16">
      <c r="A16" s="63" t="s">
        <v>517</v>
      </c>
      <c r="B16" s="65" t="s">
        <v>519</v>
      </c>
      <c r="C16" s="278">
        <v>2024</v>
      </c>
      <c r="D16" s="48">
        <v>2026</v>
      </c>
      <c r="E16" s="91" t="s">
        <v>297</v>
      </c>
      <c r="F16" s="100">
        <f>AVERAGE(Proyek!V53)</f>
        <v>0.69499999999999995</v>
      </c>
      <c r="G16" s="478">
        <f>AVERAGE(Proyek!BE53)</f>
        <v>0.6</v>
      </c>
      <c r="H16" s="100">
        <f t="shared" si="0"/>
        <v>1.1583333333333332</v>
      </c>
      <c r="I16" s="91" t="str">
        <f t="shared" si="1"/>
        <v>AS</v>
      </c>
    </row>
    <row r="17" spans="1:9" s="3" customFormat="1" ht="16">
      <c r="A17" s="63" t="s">
        <v>529</v>
      </c>
      <c r="B17" s="222" t="s">
        <v>43</v>
      </c>
      <c r="C17" s="278">
        <v>2024</v>
      </c>
      <c r="D17" s="48">
        <v>2027</v>
      </c>
      <c r="E17" s="91" t="s">
        <v>297</v>
      </c>
      <c r="F17" s="100">
        <f>AVERAGE(Proyek!V54:V55)</f>
        <v>0.51500000000000001</v>
      </c>
      <c r="G17" s="478">
        <f>AVERAGE(Proyek!BE54:BE55)</f>
        <v>0.44999999999999996</v>
      </c>
      <c r="H17" s="100">
        <f t="shared" si="0"/>
        <v>1.1444444444444446</v>
      </c>
      <c r="I17" s="91" t="str">
        <f t="shared" si="1"/>
        <v>AS</v>
      </c>
    </row>
    <row r="18" spans="1:9" s="3" customFormat="1" ht="32">
      <c r="A18" s="63" t="s">
        <v>539</v>
      </c>
      <c r="B18" s="65" t="s">
        <v>541</v>
      </c>
      <c r="C18" s="278">
        <v>2024</v>
      </c>
      <c r="D18" s="48">
        <v>2027</v>
      </c>
      <c r="E18" s="91" t="s">
        <v>1600</v>
      </c>
      <c r="F18" s="100">
        <f>AVERAGE(Proyek!V56:V62)</f>
        <v>0.35749999999999998</v>
      </c>
      <c r="G18" s="478">
        <f>AVERAGE(Proyek!BE56:BE62)</f>
        <v>0.39571428571428574</v>
      </c>
      <c r="H18" s="100">
        <f t="shared" si="0"/>
        <v>0.90342960288808649</v>
      </c>
      <c r="I18" s="91" t="str">
        <f t="shared" si="1"/>
        <v>BS</v>
      </c>
    </row>
    <row r="19" spans="1:9" s="3" customFormat="1" ht="16">
      <c r="A19" s="63" t="s">
        <v>577</v>
      </c>
      <c r="B19" s="65" t="s">
        <v>578</v>
      </c>
      <c r="C19" s="278">
        <v>2024</v>
      </c>
      <c r="D19" s="48">
        <v>2027</v>
      </c>
      <c r="E19" s="91" t="s">
        <v>297</v>
      </c>
      <c r="F19" s="100">
        <f>AVERAGE(Proyek!V63)</f>
        <v>0.375</v>
      </c>
      <c r="G19" s="478">
        <f>AVERAGE(Proyek!BE63)</f>
        <v>0.45</v>
      </c>
      <c r="H19" s="100">
        <f t="shared" si="0"/>
        <v>0.83333333333333326</v>
      </c>
      <c r="I19" s="91" t="str">
        <f t="shared" si="1"/>
        <v>BS</v>
      </c>
    </row>
    <row r="20" spans="1:9" s="3" customFormat="1" ht="29">
      <c r="A20" s="63" t="s">
        <v>583</v>
      </c>
      <c r="B20" s="409" t="s">
        <v>585</v>
      </c>
      <c r="C20" s="278">
        <v>2024</v>
      </c>
      <c r="D20" s="48">
        <v>2028</v>
      </c>
      <c r="E20" s="91" t="s">
        <v>213</v>
      </c>
      <c r="F20" s="100">
        <f>AVERAGE(Proyek!V64:V67)</f>
        <v>0.56125000000000003</v>
      </c>
      <c r="G20" s="478">
        <f>AVERAGE(Proyek!BE64:BE67)</f>
        <v>0.5</v>
      </c>
      <c r="H20" s="100">
        <f t="shared" si="0"/>
        <v>1.1225000000000001</v>
      </c>
      <c r="I20" s="91" t="str">
        <f t="shared" si="1"/>
        <v>AS</v>
      </c>
    </row>
    <row r="21" spans="1:9" s="3" customFormat="1" ht="32">
      <c r="A21" s="48" t="s">
        <v>604</v>
      </c>
      <c r="B21" s="222" t="s">
        <v>606</v>
      </c>
      <c r="C21" s="474">
        <v>2025</v>
      </c>
      <c r="D21" s="48">
        <v>2029</v>
      </c>
      <c r="E21" s="91" t="s">
        <v>199</v>
      </c>
      <c r="F21" s="100" t="e">
        <f>AVERAGE(Proyek!V69:V78)</f>
        <v>#REF!</v>
      </c>
      <c r="G21" s="478">
        <f>AVERAGE(Proyek!BE69:BE78)</f>
        <v>0.39200000000000002</v>
      </c>
      <c r="H21" s="100" t="e">
        <f t="shared" si="0"/>
        <v>#REF!</v>
      </c>
      <c r="I21" s="91" t="e">
        <f t="shared" si="1"/>
        <v>#REF!</v>
      </c>
    </row>
    <row r="22" spans="1:9" s="3" customFormat="1" ht="32">
      <c r="A22" s="63" t="s">
        <v>655</v>
      </c>
      <c r="B22" s="222" t="s">
        <v>657</v>
      </c>
      <c r="C22" s="278">
        <v>2024</v>
      </c>
      <c r="D22" s="48">
        <v>2025</v>
      </c>
      <c r="E22" s="91" t="s">
        <v>189</v>
      </c>
      <c r="F22" s="100">
        <f>AVERAGE(Proyek!V79)</f>
        <v>0.99999999999999989</v>
      </c>
      <c r="G22" s="478">
        <f>AVERAGE(Proyek!BE79)</f>
        <v>1</v>
      </c>
      <c r="H22" s="100">
        <f t="shared" si="0"/>
        <v>0.99999999999999989</v>
      </c>
      <c r="I22" s="91" t="str">
        <f t="shared" si="1"/>
        <v>OS</v>
      </c>
    </row>
    <row r="23" spans="1:9" s="3" customFormat="1" ht="16">
      <c r="A23" s="63" t="s">
        <v>668</v>
      </c>
      <c r="B23" s="222" t="s">
        <v>670</v>
      </c>
      <c r="C23" s="278">
        <v>2024</v>
      </c>
      <c r="D23" s="48">
        <v>2026</v>
      </c>
      <c r="E23" s="91" t="s">
        <v>1601</v>
      </c>
      <c r="F23" s="100">
        <f>AVERAGE(Proyek!V80:V88)</f>
        <v>0.82327777777777778</v>
      </c>
      <c r="G23" s="478">
        <f>AVERAGE(Proyek!BE80:BE88)</f>
        <v>0.84111111111111114</v>
      </c>
      <c r="H23" s="100">
        <f t="shared" si="0"/>
        <v>0.97879788639365917</v>
      </c>
      <c r="I23" s="91" t="str">
        <f t="shared" si="1"/>
        <v>OS</v>
      </c>
    </row>
    <row r="24" spans="1:9" s="3" customFormat="1" ht="32">
      <c r="A24" s="226" t="s">
        <v>705</v>
      </c>
      <c r="B24" s="222" t="s">
        <v>707</v>
      </c>
      <c r="C24" s="278">
        <v>2024</v>
      </c>
      <c r="D24" s="48">
        <v>2025</v>
      </c>
      <c r="E24" s="91" t="s">
        <v>199</v>
      </c>
      <c r="F24" s="100">
        <f>AVERAGE(Proyek!V90)</f>
        <v>0.99999999999999989</v>
      </c>
      <c r="G24" s="478">
        <f>AVERAGE(Proyek!BE90)</f>
        <v>1</v>
      </c>
      <c r="H24" s="100">
        <f t="shared" si="0"/>
        <v>0.99999999999999989</v>
      </c>
      <c r="I24" s="91" t="str">
        <f t="shared" si="1"/>
        <v>OS</v>
      </c>
    </row>
    <row r="25" spans="1:9" s="3" customFormat="1" ht="16">
      <c r="A25" s="48" t="s">
        <v>713</v>
      </c>
      <c r="B25" s="222" t="s">
        <v>310</v>
      </c>
      <c r="C25" s="278">
        <v>2025</v>
      </c>
      <c r="D25" s="48">
        <v>2027</v>
      </c>
      <c r="E25" s="91" t="s">
        <v>297</v>
      </c>
      <c r="F25" s="100">
        <f>AVERAGE(Proyek!V91:V99)</f>
        <v>0.64999999999999991</v>
      </c>
      <c r="G25" s="478">
        <f>AVERAGE(Proyek!BE91:BE99)</f>
        <v>0.38555555555555554</v>
      </c>
      <c r="H25" s="100">
        <f t="shared" si="0"/>
        <v>1.6858789625360229</v>
      </c>
      <c r="I25" s="91" t="str">
        <f t="shared" si="1"/>
        <v>AS</v>
      </c>
    </row>
    <row r="26" spans="1:9" s="3" customFormat="1" ht="32">
      <c r="A26" s="48" t="s">
        <v>743</v>
      </c>
      <c r="B26" s="65" t="s">
        <v>745</v>
      </c>
      <c r="C26" s="278">
        <v>2025</v>
      </c>
      <c r="D26" s="48">
        <v>2027</v>
      </c>
      <c r="E26" s="91" t="s">
        <v>673</v>
      </c>
      <c r="F26" s="100">
        <f>AVERAGE(Proyek!V100:V104)</f>
        <v>0.53999999999999992</v>
      </c>
      <c r="G26" s="478">
        <f>AVERAGE(Proyek!BE100:BE104)</f>
        <v>0.57000000000000006</v>
      </c>
      <c r="H26" s="100">
        <f t="shared" si="0"/>
        <v>0.9473684210526313</v>
      </c>
      <c r="I26" s="91" t="str">
        <f t="shared" si="1"/>
        <v>BS</v>
      </c>
    </row>
    <row r="27" spans="1:9" s="3" customFormat="1" ht="16">
      <c r="A27" s="63" t="s">
        <v>760</v>
      </c>
      <c r="B27" s="220" t="s">
        <v>762</v>
      </c>
      <c r="C27" s="278">
        <v>2025</v>
      </c>
      <c r="D27" s="48">
        <v>2026</v>
      </c>
      <c r="E27" s="91" t="s">
        <v>297</v>
      </c>
      <c r="F27" s="100">
        <f>AVERAGE(Proyek!V105)</f>
        <v>0.09</v>
      </c>
      <c r="G27" s="478">
        <f>AVERAGE(Proyek!BE105)</f>
        <v>0.15</v>
      </c>
      <c r="H27" s="100">
        <f t="shared" si="0"/>
        <v>0.6</v>
      </c>
      <c r="I27" s="91" t="str">
        <f t="shared" si="1"/>
        <v>BS</v>
      </c>
    </row>
    <row r="28" spans="1:9" s="3" customFormat="1" ht="16">
      <c r="A28" s="63" t="s">
        <v>769</v>
      </c>
      <c r="B28" s="220" t="s">
        <v>770</v>
      </c>
      <c r="C28" s="278">
        <v>2025</v>
      </c>
      <c r="D28" s="48">
        <v>2028</v>
      </c>
      <c r="E28" s="91" t="s">
        <v>213</v>
      </c>
      <c r="F28" s="100">
        <f>AVERAGE(Proyek!V106:V108)</f>
        <v>8.3333333333333329E-2</v>
      </c>
      <c r="G28" s="478">
        <f>AVERAGE(Proyek!BE106:BE108)</f>
        <v>9.3333333333333338E-2</v>
      </c>
      <c r="H28" s="100">
        <f t="shared" si="0"/>
        <v>0.89285714285714279</v>
      </c>
      <c r="I28" s="91" t="str">
        <f t="shared" si="1"/>
        <v>BS</v>
      </c>
    </row>
    <row r="29" spans="1:9" s="3" customFormat="1" ht="16">
      <c r="A29" s="63" t="s">
        <v>779</v>
      </c>
      <c r="B29" s="222" t="s">
        <v>781</v>
      </c>
      <c r="C29" s="278">
        <v>2025</v>
      </c>
      <c r="D29" s="48">
        <v>2026</v>
      </c>
      <c r="E29" s="91" t="s">
        <v>199</v>
      </c>
      <c r="F29" s="100">
        <f>AVERAGE(Proyek!V109)</f>
        <v>4.4999999999999998E-2</v>
      </c>
      <c r="G29" s="478">
        <f>AVERAGE(Proyek!BE109)</f>
        <v>0.1</v>
      </c>
      <c r="H29" s="100">
        <f t="shared" si="0"/>
        <v>0.44999999999999996</v>
      </c>
      <c r="I29" s="91" t="s">
        <v>599</v>
      </c>
    </row>
    <row r="30" spans="1:9" s="3" customFormat="1" ht="32">
      <c r="A30" s="63" t="s">
        <v>788</v>
      </c>
      <c r="B30" s="222" t="s">
        <v>790</v>
      </c>
      <c r="C30" s="278">
        <v>2025</v>
      </c>
      <c r="D30" s="48">
        <v>2028</v>
      </c>
      <c r="E30" s="91" t="s">
        <v>189</v>
      </c>
      <c r="F30" s="100">
        <f>AVERAGE(Proyek!V110)</f>
        <v>0.09</v>
      </c>
      <c r="G30" s="478">
        <f>AVERAGE(Proyek!BE110)</f>
        <v>0.12</v>
      </c>
      <c r="H30" s="100">
        <f t="shared" si="0"/>
        <v>0.75</v>
      </c>
      <c r="I30" s="91" t="str">
        <f>IF(H30&gt;105%,"AS",IF(H30&gt;=95%,"OS",IF(H30&gt;=75%,"BS","BS")))</f>
        <v>BS</v>
      </c>
    </row>
    <row r="31" spans="1:9" s="3" customFormat="1" ht="32">
      <c r="A31" s="63" t="s">
        <v>799</v>
      </c>
      <c r="B31" s="322" t="s">
        <v>801</v>
      </c>
      <c r="C31" s="278">
        <v>2024</v>
      </c>
      <c r="D31" s="48">
        <v>2027</v>
      </c>
      <c r="E31" s="91" t="s">
        <v>297</v>
      </c>
      <c r="F31" s="100">
        <f>AVERAGE(Proyek!V111:V115)</f>
        <v>0.59999999999999987</v>
      </c>
      <c r="G31" s="478">
        <f>AVERAGE(Proyek!BE111:BE115)</f>
        <v>0.6</v>
      </c>
      <c r="H31" s="100">
        <f t="shared" si="0"/>
        <v>0.99999999999999978</v>
      </c>
      <c r="I31" s="91" t="str">
        <f>IF(H31&gt;105%,"AS",IF(H31&gt;=95%,"OS",IF(H31&gt;=75%,"BS","BS")))</f>
        <v>OS</v>
      </c>
    </row>
    <row r="32" spans="1:9" s="3" customFormat="1" ht="32">
      <c r="A32" s="226" t="s">
        <v>816</v>
      </c>
      <c r="B32" s="222" t="s">
        <v>818</v>
      </c>
      <c r="C32" s="278">
        <v>2024</v>
      </c>
      <c r="D32" s="48">
        <v>2026</v>
      </c>
      <c r="E32" s="91" t="s">
        <v>673</v>
      </c>
      <c r="F32" s="100">
        <f>AVERAGE(Proyek!V116:V118)</f>
        <v>0.60724999999999996</v>
      </c>
      <c r="G32" s="478">
        <f>AVERAGE(Proyek!BE116:BE118)</f>
        <v>0.62333333333333341</v>
      </c>
      <c r="H32" s="100">
        <f t="shared" si="0"/>
        <v>0.97419786096256666</v>
      </c>
      <c r="I32" s="91" t="str">
        <f>IF(H32&gt;105%,"AS",IF(H32&gt;=95%,"OS",IF(H32&gt;=75%,"BS","BS")))</f>
        <v>OS</v>
      </c>
    </row>
    <row r="33" spans="1:9" s="3" customFormat="1" ht="16">
      <c r="A33" s="48" t="s">
        <v>829</v>
      </c>
      <c r="B33" s="409" t="s">
        <v>831</v>
      </c>
      <c r="C33" s="278">
        <v>2024</v>
      </c>
      <c r="D33" s="48">
        <v>2028</v>
      </c>
      <c r="E33" s="91" t="s">
        <v>213</v>
      </c>
      <c r="F33" s="100">
        <f>AVERAGE(Proyek!V119:V128)</f>
        <v>0.505</v>
      </c>
      <c r="G33" s="478">
        <f>AVERAGE(Proyek!BE119:BE128)</f>
        <v>0.57499999999999996</v>
      </c>
      <c r="H33" s="100">
        <f t="shared" si="0"/>
        <v>0.87826086956521743</v>
      </c>
      <c r="I33" s="91" t="str">
        <f>IF(H33&gt;105%,"AS",IF(H33&gt;=95%,"OS",IF(H33&gt;=75%,"BS","BS")))</f>
        <v>BS</v>
      </c>
    </row>
    <row r="34" spans="1:9" s="3" customFormat="1" ht="16">
      <c r="A34" s="48" t="s">
        <v>871</v>
      </c>
      <c r="B34" s="222" t="s">
        <v>873</v>
      </c>
      <c r="C34" s="278">
        <v>2024</v>
      </c>
      <c r="D34" s="48">
        <v>2027</v>
      </c>
      <c r="E34" s="91" t="s">
        <v>673</v>
      </c>
      <c r="F34" s="100">
        <f>AVERAGE(Proyek!V129:V130)</f>
        <v>0.55249999999999999</v>
      </c>
      <c r="G34" s="478">
        <f>AVERAGE(Proyek!BE129:BE130)</f>
        <v>0.56000000000000005</v>
      </c>
      <c r="H34" s="100">
        <f t="shared" ref="H34:H52" si="2">F34/G34</f>
        <v>0.98660714285714279</v>
      </c>
      <c r="I34" s="91" t="str">
        <f>IF(H34&gt;105%,"AS",IF(H34&gt;=95%,"OS",IF(H34&gt;=75%,"BS","BS")))</f>
        <v>OS</v>
      </c>
    </row>
    <row r="35" spans="1:9" s="3" customFormat="1" ht="32" hidden="1">
      <c r="A35" s="226" t="s">
        <v>883</v>
      </c>
      <c r="B35" s="65" t="s">
        <v>885</v>
      </c>
      <c r="C35" s="278">
        <v>2026</v>
      </c>
      <c r="D35" s="48">
        <v>2027</v>
      </c>
      <c r="E35" s="91" t="s">
        <v>189</v>
      </c>
      <c r="F35" s="100">
        <f>AVERAGE(Proyek!V131)</f>
        <v>0</v>
      </c>
      <c r="G35" s="478">
        <f>AVERAGE(Proyek!BE131)</f>
        <v>0.03</v>
      </c>
      <c r="H35" s="100">
        <f t="shared" si="2"/>
        <v>0</v>
      </c>
      <c r="I35" s="91" t="s">
        <v>599</v>
      </c>
    </row>
    <row r="36" spans="1:9" s="3" customFormat="1" ht="32">
      <c r="A36" s="226" t="s">
        <v>889</v>
      </c>
      <c r="B36" s="65" t="s">
        <v>891</v>
      </c>
      <c r="C36" s="278">
        <v>2025</v>
      </c>
      <c r="D36" s="48">
        <v>2027</v>
      </c>
      <c r="E36" s="91" t="s">
        <v>297</v>
      </c>
      <c r="F36" s="100">
        <f>AVERAGE(Proyek!V132)</f>
        <v>0.15</v>
      </c>
      <c r="G36" s="478">
        <f>AVERAGE(Proyek!BE132)</f>
        <v>0.25</v>
      </c>
      <c r="H36" s="100">
        <f t="shared" si="2"/>
        <v>0.6</v>
      </c>
      <c r="I36" s="91" t="str">
        <f>IF(H36&gt;105%,"AS",IF(H36&gt;=95%,"OS",IF(H36&gt;=75%,"BS","BS")))</f>
        <v>BS</v>
      </c>
    </row>
    <row r="37" spans="1:9" s="3" customFormat="1" ht="16" hidden="1">
      <c r="A37" s="226" t="s">
        <v>896</v>
      </c>
      <c r="B37" s="65" t="s">
        <v>898</v>
      </c>
      <c r="C37" s="278">
        <v>2026</v>
      </c>
      <c r="D37" s="48">
        <v>2028</v>
      </c>
      <c r="E37" s="91" t="s">
        <v>297</v>
      </c>
      <c r="F37" s="100">
        <f>AVERAGE(Proyek!V133)</f>
        <v>0</v>
      </c>
      <c r="G37" s="478">
        <f>AVERAGE(Proyek!BE133)</f>
        <v>1.4999999999999999E-2</v>
      </c>
      <c r="H37" s="100">
        <f t="shared" si="2"/>
        <v>0</v>
      </c>
      <c r="I37" s="91" t="s">
        <v>599</v>
      </c>
    </row>
    <row r="38" spans="1:9" s="3" customFormat="1" ht="32" hidden="1">
      <c r="A38" s="226" t="s">
        <v>906</v>
      </c>
      <c r="B38" s="65" t="s">
        <v>908</v>
      </c>
      <c r="C38" s="278">
        <v>2026</v>
      </c>
      <c r="D38" s="48">
        <v>2029</v>
      </c>
      <c r="E38" s="91" t="s">
        <v>297</v>
      </c>
      <c r="F38" s="100">
        <f>AVERAGE(Proyek!V134)</f>
        <v>0</v>
      </c>
      <c r="G38" s="478">
        <f>AVERAGE(Proyek!BE134)</f>
        <v>0</v>
      </c>
      <c r="H38" s="100" t="e">
        <f t="shared" si="2"/>
        <v>#DIV/0!</v>
      </c>
      <c r="I38" s="91" t="s">
        <v>599</v>
      </c>
    </row>
    <row r="39" spans="1:9" s="3" customFormat="1" ht="32">
      <c r="A39" s="226" t="s">
        <v>914</v>
      </c>
      <c r="B39" s="65" t="s">
        <v>916</v>
      </c>
      <c r="C39" s="278">
        <v>2025</v>
      </c>
      <c r="D39" s="48">
        <v>2027</v>
      </c>
      <c r="E39" s="91" t="s">
        <v>297</v>
      </c>
      <c r="F39" s="100">
        <f>AVERAGE(Proyek!V135)</f>
        <v>0.14249999999999999</v>
      </c>
      <c r="G39" s="478">
        <f>AVERAGE(Proyek!BE135)</f>
        <v>0.2</v>
      </c>
      <c r="H39" s="100">
        <f t="shared" si="2"/>
        <v>0.71249999999999991</v>
      </c>
      <c r="I39" s="91" t="str">
        <f t="shared" ref="I39:I47" si="3">IF(H39&gt;105%,"AS",IF(H39&gt;=95%,"OS",IF(H39&gt;=75%,"BS","BS")))</f>
        <v>BS</v>
      </c>
    </row>
    <row r="40" spans="1:9" s="3" customFormat="1" ht="32">
      <c r="A40" s="63" t="s">
        <v>921</v>
      </c>
      <c r="B40" s="65" t="s">
        <v>923</v>
      </c>
      <c r="C40" s="278">
        <v>2024</v>
      </c>
      <c r="D40" s="48">
        <v>2025</v>
      </c>
      <c r="E40" s="91" t="s">
        <v>199</v>
      </c>
      <c r="F40" s="100">
        <f>AVERAGE(Proyek!V136:V137)</f>
        <v>0.99999999999999989</v>
      </c>
      <c r="G40" s="478">
        <f>AVERAGE(Proyek!BE136:BE137)</f>
        <v>1</v>
      </c>
      <c r="H40" s="100">
        <f t="shared" si="2"/>
        <v>0.99999999999999989</v>
      </c>
      <c r="I40" s="91" t="str">
        <f t="shared" si="3"/>
        <v>OS</v>
      </c>
    </row>
    <row r="41" spans="1:9" s="3" customFormat="1" ht="32">
      <c r="A41" s="63" t="s">
        <v>935</v>
      </c>
      <c r="B41" s="65" t="s">
        <v>937</v>
      </c>
      <c r="C41" s="278">
        <v>2024</v>
      </c>
      <c r="D41" s="48">
        <v>2025</v>
      </c>
      <c r="E41" s="91" t="s">
        <v>199</v>
      </c>
      <c r="F41" s="100">
        <f>AVERAGE(Proyek!V138:V139)</f>
        <v>0.99999999999999989</v>
      </c>
      <c r="G41" s="478">
        <f>AVERAGE(Proyek!BE138:BE139)</f>
        <v>1</v>
      </c>
      <c r="H41" s="100">
        <f t="shared" si="2"/>
        <v>0.99999999999999989</v>
      </c>
      <c r="I41" s="91" t="str">
        <f t="shared" si="3"/>
        <v>OS</v>
      </c>
    </row>
    <row r="42" spans="1:9" s="3" customFormat="1" ht="32">
      <c r="A42" s="63" t="s">
        <v>948</v>
      </c>
      <c r="B42" s="65" t="s">
        <v>950</v>
      </c>
      <c r="C42" s="278">
        <v>2024</v>
      </c>
      <c r="D42" s="48">
        <v>2025</v>
      </c>
      <c r="E42" s="91" t="s">
        <v>189</v>
      </c>
      <c r="F42" s="100">
        <f>AVERAGE(Proyek!V140)</f>
        <v>0.99999999999999989</v>
      </c>
      <c r="G42" s="478">
        <f>AVERAGE(Proyek!BE140)</f>
        <v>1</v>
      </c>
      <c r="H42" s="100">
        <f t="shared" si="2"/>
        <v>0.99999999999999989</v>
      </c>
      <c r="I42" s="91" t="str">
        <f t="shared" si="3"/>
        <v>OS</v>
      </c>
    </row>
    <row r="43" spans="1:9" s="3" customFormat="1" ht="64">
      <c r="A43" s="63" t="s">
        <v>959</v>
      </c>
      <c r="B43" s="65" t="s">
        <v>961</v>
      </c>
      <c r="C43" s="278">
        <v>2024</v>
      </c>
      <c r="D43" s="48">
        <v>2025</v>
      </c>
      <c r="E43" s="91" t="s">
        <v>297</v>
      </c>
      <c r="F43" s="100">
        <f>AVERAGE(Proyek!V141:V142)</f>
        <v>0.99999999999999989</v>
      </c>
      <c r="G43" s="478">
        <f>AVERAGE(Proyek!BE141:BE142)</f>
        <v>1</v>
      </c>
      <c r="H43" s="100">
        <f t="shared" si="2"/>
        <v>0.99999999999999989</v>
      </c>
      <c r="I43" s="91" t="str">
        <f t="shared" si="3"/>
        <v>OS</v>
      </c>
    </row>
    <row r="44" spans="1:9" s="3" customFormat="1" ht="16">
      <c r="A44" s="63" t="s">
        <v>974</v>
      </c>
      <c r="B44" s="65" t="s">
        <v>398</v>
      </c>
      <c r="C44" s="278">
        <v>2024</v>
      </c>
      <c r="D44" s="48">
        <v>2028</v>
      </c>
      <c r="E44" s="91" t="s">
        <v>199</v>
      </c>
      <c r="F44" s="100">
        <f>AVERAGE(Proyek!V143:V144)</f>
        <v>0.49999999999999994</v>
      </c>
      <c r="G44" s="478">
        <f>AVERAGE(Proyek!BE143:BE144)</f>
        <v>0.5</v>
      </c>
      <c r="H44" s="100">
        <f t="shared" si="2"/>
        <v>0.99999999999999989</v>
      </c>
      <c r="I44" s="91" t="str">
        <f t="shared" si="3"/>
        <v>OS</v>
      </c>
    </row>
    <row r="45" spans="1:9" s="3" customFormat="1" ht="16">
      <c r="A45" s="48" t="s">
        <v>986</v>
      </c>
      <c r="B45" s="293" t="s">
        <v>988</v>
      </c>
      <c r="C45" s="278">
        <v>2024</v>
      </c>
      <c r="D45" s="48">
        <v>2026</v>
      </c>
      <c r="E45" s="91" t="s">
        <v>213</v>
      </c>
      <c r="F45" s="100">
        <f>AVERAGE(Proyek!V145:V147)</f>
        <v>0.33333333333333331</v>
      </c>
      <c r="G45" s="478">
        <f>AVERAGE(Proyek!BE145:BE147)</f>
        <v>0.5</v>
      </c>
      <c r="H45" s="100">
        <f t="shared" si="2"/>
        <v>0.66666666666666663</v>
      </c>
      <c r="I45" s="91" t="str">
        <f t="shared" si="3"/>
        <v>BS</v>
      </c>
    </row>
    <row r="46" spans="1:9" s="3" customFormat="1" ht="32">
      <c r="A46" s="226" t="s">
        <v>1005</v>
      </c>
      <c r="B46" s="222" t="s">
        <v>1007</v>
      </c>
      <c r="C46" s="278">
        <v>2024</v>
      </c>
      <c r="D46" s="48">
        <v>2026</v>
      </c>
      <c r="E46" s="91" t="s">
        <v>1602</v>
      </c>
      <c r="F46" s="100">
        <f>AVERAGE(Proyek!V148)</f>
        <v>0.99999999999999989</v>
      </c>
      <c r="G46" s="478">
        <f>AVERAGE(Proyek!BE148)</f>
        <v>1</v>
      </c>
      <c r="H46" s="100">
        <f t="shared" si="2"/>
        <v>0.99999999999999989</v>
      </c>
      <c r="I46" s="91" t="str">
        <f t="shared" si="3"/>
        <v>OS</v>
      </c>
    </row>
    <row r="47" spans="1:9" s="3" customFormat="1" ht="16">
      <c r="A47" s="63" t="s">
        <v>1018</v>
      </c>
      <c r="B47" s="222" t="s">
        <v>1020</v>
      </c>
      <c r="C47" s="64">
        <v>2025</v>
      </c>
      <c r="D47" s="63">
        <v>2026</v>
      </c>
      <c r="E47" s="91" t="s">
        <v>297</v>
      </c>
      <c r="F47" s="100">
        <f>AVERAGE(Proyek!V152)</f>
        <v>0.15</v>
      </c>
      <c r="G47" s="478">
        <f>AVERAGE(Proyek!BE152)</f>
        <v>0.15</v>
      </c>
      <c r="H47" s="100">
        <f t="shared" si="2"/>
        <v>1</v>
      </c>
      <c r="I47" s="91" t="str">
        <f t="shared" si="3"/>
        <v>OS</v>
      </c>
    </row>
    <row r="48" spans="1:9" s="3" customFormat="1" ht="32" hidden="1">
      <c r="A48" s="63" t="s">
        <v>1027</v>
      </c>
      <c r="B48" s="222" t="s">
        <v>1029</v>
      </c>
      <c r="C48" s="64">
        <v>2026</v>
      </c>
      <c r="D48" s="63">
        <v>2026</v>
      </c>
      <c r="E48" s="91" t="s">
        <v>189</v>
      </c>
      <c r="F48" s="100">
        <f>AVERAGE(Proyek!V153)</f>
        <v>0</v>
      </c>
      <c r="G48" s="478">
        <f>AVERAGE(Proyek!BE153)</f>
        <v>0</v>
      </c>
      <c r="H48" s="100" t="e">
        <f t="shared" si="2"/>
        <v>#DIV/0!</v>
      </c>
      <c r="I48" s="91" t="s">
        <v>599</v>
      </c>
    </row>
    <row r="49" spans="1:9" s="3" customFormat="1" ht="64">
      <c r="A49" s="42" t="s">
        <v>1034</v>
      </c>
      <c r="B49" s="222" t="s">
        <v>1036</v>
      </c>
      <c r="C49" s="64">
        <v>2025</v>
      </c>
      <c r="D49" s="63">
        <v>2025</v>
      </c>
      <c r="E49" s="91" t="s">
        <v>199</v>
      </c>
      <c r="F49" s="100">
        <f>AVERAGE(Proyek!V154)</f>
        <v>0.99999999999999989</v>
      </c>
      <c r="G49" s="478">
        <f>AVERAGE(Proyek!BE154)</f>
        <v>1</v>
      </c>
      <c r="H49" s="100">
        <f t="shared" si="2"/>
        <v>0.99999999999999989</v>
      </c>
      <c r="I49" s="91" t="str">
        <f>IF(H49&gt;105%,"AS",IF(H49&gt;=95%,"OS",IF(H49&gt;=75%,"BS","BS")))</f>
        <v>OS</v>
      </c>
    </row>
    <row r="50" spans="1:9" s="3" customFormat="1" ht="64" hidden="1">
      <c r="A50" s="63" t="s">
        <v>1040</v>
      </c>
      <c r="B50" s="222" t="s">
        <v>1042</v>
      </c>
      <c r="C50" s="64">
        <v>2026</v>
      </c>
      <c r="D50" s="63">
        <v>2026</v>
      </c>
      <c r="E50" s="91" t="s">
        <v>199</v>
      </c>
      <c r="F50" s="100">
        <f>AVERAGE(Proyek!V155)</f>
        <v>0</v>
      </c>
      <c r="G50" s="478">
        <f>AVERAGE(Proyek!BE155)</f>
        <v>0</v>
      </c>
      <c r="H50" s="100" t="e">
        <f t="shared" si="2"/>
        <v>#DIV/0!</v>
      </c>
      <c r="I50" s="91" t="s">
        <v>599</v>
      </c>
    </row>
    <row r="51" spans="1:9" s="3" customFormat="1" ht="16" hidden="1">
      <c r="A51" s="42" t="s">
        <v>1045</v>
      </c>
      <c r="B51" s="222" t="s">
        <v>1047</v>
      </c>
      <c r="C51" s="475">
        <v>2026</v>
      </c>
      <c r="D51" s="63">
        <v>2028</v>
      </c>
      <c r="E51" s="91" t="s">
        <v>189</v>
      </c>
      <c r="F51" s="100">
        <f>AVERAGE(Proyek!V156)</f>
        <v>0</v>
      </c>
      <c r="G51" s="478">
        <f>AVERAGE(Proyek!BE156)</f>
        <v>0</v>
      </c>
      <c r="H51" s="100" t="e">
        <f t="shared" si="2"/>
        <v>#DIV/0!</v>
      </c>
      <c r="I51" s="91" t="s">
        <v>599</v>
      </c>
    </row>
    <row r="52" spans="1:9" s="3" customFormat="1" ht="48" hidden="1">
      <c r="A52" s="63" t="s">
        <v>1049</v>
      </c>
      <c r="B52" s="222" t="s">
        <v>1051</v>
      </c>
      <c r="C52" s="64">
        <v>2026</v>
      </c>
      <c r="D52" s="63">
        <v>2027</v>
      </c>
      <c r="E52" s="91" t="s">
        <v>673</v>
      </c>
      <c r="F52" s="100">
        <f>AVERAGE(Proyek!V157)</f>
        <v>0</v>
      </c>
      <c r="G52" s="478">
        <f>AVERAGE(Proyek!BE157)</f>
        <v>0</v>
      </c>
      <c r="H52" s="100" t="e">
        <f t="shared" si="2"/>
        <v>#DIV/0!</v>
      </c>
      <c r="I52" s="91" t="s">
        <v>599</v>
      </c>
    </row>
  </sheetData>
  <autoFilter ref="A1:I52" xr:uid="{DBAC5093-D555-4FF8-9E53-2AC427460B73}">
    <filterColumn colId="2">
      <filters>
        <filter val="2024"/>
        <filter val="2025"/>
      </filters>
    </filterColumn>
  </autoFilter>
  <conditionalFormatting sqref="I2:I52">
    <cfRule type="containsText" dxfId="3" priority="1" operator="containsText" text="NS">
      <formula>NOT(ISERROR(SEARCH("NS",I2)))</formula>
    </cfRule>
    <cfRule type="containsText" dxfId="2" priority="2" operator="containsText" text="OS">
      <formula>NOT(ISERROR(SEARCH("OS",I2)))</formula>
    </cfRule>
    <cfRule type="containsText" dxfId="1" priority="3" operator="containsText" text="AS">
      <formula>NOT(ISERROR(SEARCH("AS",I2)))</formula>
    </cfRule>
    <cfRule type="containsText" dxfId="0" priority="4" operator="containsText" text="BS">
      <formula>NOT(ISERROR(SEARCH("BS",I2)))</formula>
    </cfRule>
  </conditionalFormatting>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80168-5CFC-46AE-A265-7823563063FC}">
  <dimension ref="A1:E16"/>
  <sheetViews>
    <sheetView workbookViewId="0">
      <selection activeCell="B24" sqref="B24"/>
    </sheetView>
  </sheetViews>
  <sheetFormatPr defaultColWidth="13.36328125" defaultRowHeight="14.5"/>
  <cols>
    <col min="1" max="1" width="13.36328125" style="2"/>
    <col min="2" max="2" width="64.1796875" bestFit="1" customWidth="1"/>
    <col min="3" max="4" width="13.36328125" style="2"/>
    <col min="5" max="5" width="25.54296875" style="2" customWidth="1"/>
  </cols>
  <sheetData>
    <row r="1" spans="1:5">
      <c r="A1" s="476" t="s">
        <v>58</v>
      </c>
      <c r="B1" s="476" t="s">
        <v>1604</v>
      </c>
      <c r="C1" s="476" t="s">
        <v>1605</v>
      </c>
      <c r="D1" s="476" t="s">
        <v>1606</v>
      </c>
      <c r="E1" s="476" t="s">
        <v>70</v>
      </c>
    </row>
    <row r="2" spans="1:5">
      <c r="A2" s="129" t="str">
        <f>'Non Proyek'!A5</f>
        <v>NP-16</v>
      </c>
      <c r="B2" s="10" t="str">
        <f>'Non Proyek'!C5</f>
        <v>RTGS</v>
      </c>
      <c r="C2" s="129">
        <f>'Non Proyek'!E5</f>
        <v>2024</v>
      </c>
      <c r="D2" s="129">
        <f>'Non Proyek'!F5</f>
        <v>2025</v>
      </c>
      <c r="E2" s="129" t="str">
        <f>'Non Proyek'!H5</f>
        <v>SP</v>
      </c>
    </row>
    <row r="3" spans="1:5">
      <c r="A3" s="129" t="str">
        <f>'Non Proyek'!A6</f>
        <v>NP-17</v>
      </c>
      <c r="B3" s="10" t="str">
        <f>'Non Proyek'!C6</f>
        <v>Pengaliran data audit ICOFR dari FOMOBO ke Pusat data</v>
      </c>
      <c r="C3" s="129">
        <f>'Non Proyek'!E6</f>
        <v>2024</v>
      </c>
      <c r="D3" s="129">
        <f>'Non Proyek'!F6</f>
        <v>2025</v>
      </c>
      <c r="E3" s="129" t="str">
        <f>'Non Proyek'!H6</f>
        <v>Market</v>
      </c>
    </row>
    <row r="4" spans="1:5">
      <c r="A4" s="129" t="str">
        <f>'Non Proyek'!A7</f>
        <v>NP-18</v>
      </c>
      <c r="B4" s="10" t="str">
        <f>'Non Proyek'!C7</f>
        <v>Penggantian Hard Token BI-ETP</v>
      </c>
      <c r="C4" s="129">
        <f>'Non Proyek'!E7</f>
        <v>2024</v>
      </c>
      <c r="D4" s="129">
        <f>'Non Proyek'!F7</f>
        <v>2025</v>
      </c>
      <c r="E4" s="129" t="str">
        <f>'Non Proyek'!H7</f>
        <v>Market</v>
      </c>
    </row>
    <row r="5" spans="1:5">
      <c r="A5" s="129" t="str">
        <f>'Non Proyek'!A8</f>
        <v>NP-19</v>
      </c>
      <c r="B5" s="10" t="str">
        <f>'Non Proyek'!C8</f>
        <v>Enhancement CBS Penyediaan Report ALBI (Tindak lanjut Forum Harmonisasi)</v>
      </c>
      <c r="C5" s="129">
        <f>'Non Proyek'!E8</f>
        <v>2024</v>
      </c>
      <c r="D5" s="129">
        <f>'Non Proyek'!F8</f>
        <v>2025</v>
      </c>
      <c r="E5" s="129" t="str">
        <f>'Non Proyek'!H8</f>
        <v>SP</v>
      </c>
    </row>
    <row r="6" spans="1:5">
      <c r="A6" s="129" t="str">
        <f>'Non Proyek'!A9</f>
        <v>NP-20</v>
      </c>
      <c r="B6" s="10" t="str">
        <f>'Non Proyek'!C9</f>
        <v>Rekonfigurasi Pemenuhan DC 2</v>
      </c>
      <c r="C6" s="129">
        <f>'Non Proyek'!E9</f>
        <v>2026</v>
      </c>
      <c r="D6" s="129">
        <v>2029</v>
      </c>
      <c r="E6" s="129" t="s">
        <v>1608</v>
      </c>
    </row>
    <row r="7" spans="1:5">
      <c r="A7" s="129" t="str">
        <f>'Non Proyek'!A26</f>
        <v>NP-24</v>
      </c>
      <c r="B7" s="10" t="str">
        <f>'Non Proyek'!C26</f>
        <v>Perluasan IEA</v>
      </c>
      <c r="C7" s="129">
        <v>2025</v>
      </c>
      <c r="D7" s="129">
        <f>'Non Proyek'!F26</f>
        <v>2026</v>
      </c>
      <c r="E7" s="129" t="s">
        <v>1609</v>
      </c>
    </row>
    <row r="8" spans="1:5">
      <c r="A8" s="129" t="str">
        <f>'Non Proyek'!A39</f>
        <v>NP-27</v>
      </c>
      <c r="B8" s="10" t="str">
        <f>'Non Proyek'!C39</f>
        <v>Transaksi FX-DNDF via Primary Dealers (PDs)</v>
      </c>
      <c r="C8" s="129">
        <f>'Non Proyek'!E39</f>
        <v>2025</v>
      </c>
      <c r="D8" s="129">
        <f>'Non Proyek'!F39</f>
        <v>2025</v>
      </c>
      <c r="E8" s="129" t="str">
        <f>'Non Proyek'!H39</f>
        <v>Market</v>
      </c>
    </row>
    <row r="9" spans="1:5">
      <c r="A9" s="129" t="str">
        <f>'Non Proyek'!A40</f>
        <v>NP-34</v>
      </c>
      <c r="B9" s="10" t="str">
        <f>'Non Proyek'!C40</f>
        <v>Konfigurasi Sistem Treasury Bank Indonesia</v>
      </c>
      <c r="C9" s="129">
        <v>2025</v>
      </c>
      <c r="D9" s="129">
        <f>'Non Proyek'!F40</f>
        <v>2026</v>
      </c>
      <c r="E9" s="129" t="str">
        <f>'Non Proyek'!H40</f>
        <v>Market</v>
      </c>
    </row>
    <row r="10" spans="1:5">
      <c r="A10" s="129" t="str">
        <f>'Non Proyek'!A42</f>
        <v>NP-35</v>
      </c>
      <c r="B10" s="10" t="str">
        <f>'Non Proyek'!C42</f>
        <v xml:space="preserve">SWIFT </v>
      </c>
      <c r="C10" s="129">
        <f>'Non Proyek'!E42</f>
        <v>2025</v>
      </c>
      <c r="D10" s="129">
        <v>2026</v>
      </c>
      <c r="E10" s="129" t="str">
        <f>'Non Proyek'!H42</f>
        <v>Market</v>
      </c>
    </row>
    <row r="11" spans="1:5">
      <c r="A11" s="129" t="str">
        <f>'Non Proyek'!A47</f>
        <v>NP-36</v>
      </c>
      <c r="B11" s="10" t="str">
        <f>'Non Proyek'!C47</f>
        <v>Peningkatan Kapasitas dan Performance Aplikasi Legacy</v>
      </c>
      <c r="C11" s="129">
        <f>'Non Proyek'!E47</f>
        <v>2025</v>
      </c>
      <c r="D11" s="129">
        <f>'Non Proyek'!F47</f>
        <v>2025</v>
      </c>
      <c r="E11" s="129" t="str">
        <f>'Non Proyek'!H47</f>
        <v>SP</v>
      </c>
    </row>
    <row r="12" spans="1:5">
      <c r="A12" s="129" t="str">
        <f>'Non Proyek'!A48</f>
        <v>NP-37</v>
      </c>
      <c r="B12" s="10" t="str">
        <f>'Non Proyek'!C48</f>
        <v>Upgrade CRM</v>
      </c>
      <c r="C12" s="129">
        <f>'Non Proyek'!E48</f>
        <v>2027</v>
      </c>
      <c r="D12" s="129">
        <f>'Non Proyek'!F48</f>
        <v>2027</v>
      </c>
      <c r="E12" s="129" t="str">
        <f>'Non Proyek'!H48</f>
        <v>MI</v>
      </c>
    </row>
    <row r="13" spans="1:5">
      <c r="A13" s="129" t="str">
        <f>'Non Proyek'!A49</f>
        <v>NP-38</v>
      </c>
      <c r="B13" s="10" t="str">
        <f>'Non Proyek'!C49</f>
        <v>Konfigurasi WBS</v>
      </c>
      <c r="C13" s="129">
        <f>'Non Proyek'!E49</f>
        <v>2026</v>
      </c>
      <c r="D13" s="129">
        <f>'Non Proyek'!F49</f>
        <v>2026</v>
      </c>
      <c r="E13" s="129" t="str">
        <f>'Non Proyek'!H49</f>
        <v>MI</v>
      </c>
    </row>
    <row r="14" spans="1:5">
      <c r="A14" s="129" t="str">
        <f>'Non Proyek'!A50</f>
        <v>NP-39</v>
      </c>
      <c r="B14" s="10" t="str">
        <f>'Non Proyek'!C50</f>
        <v>Piloting Laporan LLD Bank High-Frequency</v>
      </c>
      <c r="C14" s="129">
        <f>'Non Proyek'!E50</f>
        <v>2026</v>
      </c>
      <c r="D14" s="129">
        <f>'Non Proyek'!F50</f>
        <v>2026</v>
      </c>
      <c r="E14" s="129" t="str">
        <f>'Non Proyek'!H50</f>
        <v>Middleware, Moneter</v>
      </c>
    </row>
    <row r="15" spans="1:5">
      <c r="A15" s="129" t="str">
        <f>'Non Proyek'!A51</f>
        <v>NP-40</v>
      </c>
      <c r="B15" s="10" t="str">
        <f>'Non Proyek'!C51</f>
        <v>Dukungan IN-FAST</v>
      </c>
      <c r="C15" s="129">
        <f>'Non Proyek'!E51</f>
        <v>2026</v>
      </c>
      <c r="D15" s="129">
        <f>'Non Proyek'!F51</f>
        <v>2026</v>
      </c>
      <c r="E15" s="129" t="str">
        <f>'Non Proyek'!H51</f>
        <v>SP</v>
      </c>
    </row>
    <row r="16" spans="1:5">
      <c r="A16" s="129" t="str">
        <f>'Non Proyek'!A52</f>
        <v>NP-29</v>
      </c>
      <c r="B16" s="10" t="str">
        <f>'Non Proyek'!C52</f>
        <v>Pengaliran Data Eksyar</v>
      </c>
      <c r="C16" s="129">
        <f>'Non Proyek'!E52</f>
        <v>2026</v>
      </c>
      <c r="D16" s="129">
        <f>'Non Proyek'!F52</f>
        <v>2027</v>
      </c>
      <c r="E16" s="129" t="str">
        <f>'Non Proyek'!H52</f>
        <v>Middleware</v>
      </c>
    </row>
  </sheetData>
  <autoFilter ref="A1:E16" xr:uid="{40480168-5CFC-46AE-A265-7823563063FC}"/>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C0F57817149004B956CE473950030FF" ma:contentTypeVersion="15" ma:contentTypeDescription="Create a new document." ma:contentTypeScope="" ma:versionID="818d46926a4e77bbc5820bf98da8fc53">
  <xsd:schema xmlns:xsd="http://www.w3.org/2001/XMLSchema" xmlns:xs="http://www.w3.org/2001/XMLSchema" xmlns:p="http://schemas.microsoft.com/office/2006/metadata/properties" xmlns:ns2="393beef8-c572-4998-87bd-9f5dec72c6e0" xmlns:ns3="81956274-d028-477b-9a0c-41ee061812ee" targetNamespace="http://schemas.microsoft.com/office/2006/metadata/properties" ma:root="true" ma:fieldsID="24809f1b7e2ebfcdf166eb1d91238bd2" ns2:_="" ns3:_="">
    <xsd:import namespace="393beef8-c572-4998-87bd-9f5dec72c6e0"/>
    <xsd:import namespace="81956274-d028-477b-9a0c-41ee061812e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3:MediaServiceOCR" minOccurs="0"/>
                <xsd:element ref="ns3:MediaServiceGenerationTime" minOccurs="0"/>
                <xsd:element ref="ns3:MediaServiceEventHashCode" minOccurs="0"/>
                <xsd:element ref="ns3:MediaLengthInSeconds" minOccurs="0"/>
                <xsd:element ref="ns3:MediaServiceDateTaken" minOccurs="0"/>
                <xsd:element ref="ns3:MediaServiceObjectDetectorVersions" minOccurs="0"/>
                <xsd:element ref="ns3:_Flow_SignoffStatus" minOccurs="0"/>
                <xsd:element ref="ns3:MediaServiceLoca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3beef8-c572-4998-87bd-9f5dec72c6e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1956274-d028-477b-9a0c-41ee061812e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2386835-2d85-4694-8305-7762611b1c0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_Flow_SignoffStatus" ma:index="20" nillable="true" ma:displayName="Sign-off status" ma:internalName="Sign_x002d_off_x0020_status">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Flow_SignoffStatus xmlns="81956274-d028-477b-9a0c-41ee061812ee" xsi:nil="true"/>
    <lcf76f155ced4ddcb4097134ff3c332f xmlns="81956274-d028-477b-9a0c-41ee061812e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340EFA8-A49A-44A0-A888-31366F9E9B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3beef8-c572-4998-87bd-9f5dec72c6e0"/>
    <ds:schemaRef ds:uri="81956274-d028-477b-9a0c-41ee061812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445CE20-0837-4BBF-9998-3AF082AA3D95}">
  <ds:schemaRefs>
    <ds:schemaRef ds:uri="http://purl.org/dc/terms/"/>
    <ds:schemaRef ds:uri="http://purl.org/dc/dcmitype/"/>
    <ds:schemaRef ds:uri="393beef8-c572-4998-87bd-9f5dec72c6e0"/>
    <ds:schemaRef ds:uri="http://schemas.microsoft.com/office/2006/metadata/properties"/>
    <ds:schemaRef ds:uri="http://schemas.openxmlformats.org/package/2006/metadata/core-properties"/>
    <ds:schemaRef ds:uri="http://www.w3.org/XML/1998/namespace"/>
    <ds:schemaRef ds:uri="http://schemas.microsoft.com/office/2006/documentManagement/types"/>
    <ds:schemaRef ds:uri="http://schemas.microsoft.com/office/infopath/2007/PartnerControls"/>
    <ds:schemaRef ds:uri="81956274-d028-477b-9a0c-41ee061812ee"/>
    <ds:schemaRef ds:uri="http://purl.org/dc/elements/1.1/"/>
  </ds:schemaRefs>
</ds:datastoreItem>
</file>

<file path=customXml/itemProps3.xml><?xml version="1.0" encoding="utf-8"?>
<ds:datastoreItem xmlns:ds="http://schemas.openxmlformats.org/officeDocument/2006/customXml" ds:itemID="{D67C4CD5-CB5E-4F8D-9969-A3103A591CE8}">
  <ds:schemaRefs>
    <ds:schemaRef ds:uri="http://schemas.microsoft.com/sharepoint/v3/contenttype/forms"/>
  </ds:schemaRefs>
</ds:datastoreItem>
</file>

<file path=docMetadata/LabelInfo.xml><?xml version="1.0" encoding="utf-8"?>
<clbl:labelList xmlns:clbl="http://schemas.microsoft.com/office/2020/mipLabelMetadata">
  <clbl:label id="{ca37492e-f410-427b-ab39-055bdc18ce02}" enabled="0" method="" siteId="{ca37492e-f410-427b-ab39-055bdc18ce0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WG BI Wide 2026 (2)</vt:lpstr>
      <vt:lpstr>WG BI Wide 2026</vt:lpstr>
      <vt:lpstr>SIT Deliverables</vt:lpstr>
      <vt:lpstr>Sheet2</vt:lpstr>
      <vt:lpstr>Proyek</vt:lpstr>
      <vt:lpstr>UKER RBT</vt:lpstr>
      <vt:lpstr>Non Proyek</vt:lpstr>
      <vt:lpstr>Proyek PPT</vt:lpstr>
      <vt:lpstr>Non Proyek PPT</vt:lpstr>
      <vt:lpstr>PIVOT</vt:lpstr>
      <vt:lpstr>Tabel 1</vt:lpstr>
      <vt:lpstr>Tabel 2</vt:lpstr>
      <vt:lpstr>Tabel 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Adinda Tri Wulandari</dc:creator>
  <cp:keywords/>
  <dc:description/>
  <cp:lastModifiedBy>Arif Sucipto</cp:lastModifiedBy>
  <cp:revision/>
  <dcterms:created xsi:type="dcterms:W3CDTF">2025-10-20T07:19:23Z</dcterms:created>
  <dcterms:modified xsi:type="dcterms:W3CDTF">2026-01-31T05:15:05Z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0x0101000C0F57817149004B956CE473950030FF</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